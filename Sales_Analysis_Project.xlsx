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th\Documents\sales\"/>
    </mc:Choice>
  </mc:AlternateContent>
  <xr:revisionPtr revIDLastSave="0" documentId="13_ncr:1_{A14CA3A4-08DC-4972-8E9E-B34D6164C400}" xr6:coauthVersionLast="47" xr6:coauthVersionMax="47" xr10:uidLastSave="{00000000-0000-0000-0000-000000000000}"/>
  <bookViews>
    <workbookView xWindow="-120" yWindow="-120" windowWidth="20730" windowHeight="11040" activeTab="1" xr2:uid="{56B072E7-2BB4-453E-82C7-E601B39AB154}"/>
  </bookViews>
  <sheets>
    <sheet name="Customers" sheetId="1" r:id="rId1"/>
    <sheet name="Order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J2" i="2"/>
  <c r="P2" i="2" s="1"/>
  <c r="Q2" i="2" s="1"/>
  <c r="J3" i="2"/>
  <c r="P3" i="2" s="1"/>
  <c r="Q3" i="2" s="1"/>
  <c r="J4" i="2"/>
  <c r="P4" i="2" s="1"/>
  <c r="Q4" i="2" s="1"/>
  <c r="J5" i="2"/>
  <c r="P5" i="2" s="1"/>
  <c r="Q5" i="2" s="1"/>
  <c r="J6" i="2"/>
  <c r="P6" i="2" s="1"/>
  <c r="Q6" i="2" s="1"/>
  <c r="J7" i="2"/>
  <c r="P7" i="2" s="1"/>
  <c r="Q7" i="2" s="1"/>
  <c r="J8" i="2"/>
  <c r="P8" i="2" s="1"/>
  <c r="Q8" i="2" s="1"/>
  <c r="J9" i="2"/>
  <c r="P9" i="2" s="1"/>
  <c r="Q9" i="2" s="1"/>
  <c r="J10" i="2"/>
  <c r="P10" i="2" s="1"/>
  <c r="Q10" i="2" s="1"/>
  <c r="J11" i="2"/>
  <c r="P11" i="2" s="1"/>
  <c r="Q11" i="2" s="1"/>
  <c r="J12" i="2"/>
  <c r="P12" i="2" s="1"/>
  <c r="Q12" i="2" s="1"/>
  <c r="J13" i="2"/>
  <c r="P13" i="2" s="1"/>
  <c r="Q13" i="2" s="1"/>
  <c r="J14" i="2"/>
  <c r="P14" i="2" s="1"/>
  <c r="Q14" i="2" s="1"/>
  <c r="J15" i="2"/>
  <c r="P15" i="2" s="1"/>
  <c r="Q15" i="2" s="1"/>
  <c r="J16" i="2"/>
  <c r="P16" i="2" s="1"/>
  <c r="Q16" i="2" s="1"/>
  <c r="J17" i="2"/>
  <c r="P17" i="2" s="1"/>
  <c r="Q17" i="2" s="1"/>
  <c r="J18" i="2"/>
  <c r="P18" i="2" s="1"/>
  <c r="Q18" i="2" s="1"/>
  <c r="J19" i="2"/>
  <c r="P19" i="2" s="1"/>
  <c r="Q19" i="2" s="1"/>
  <c r="J20" i="2"/>
  <c r="P20" i="2" s="1"/>
  <c r="Q20" i="2" s="1"/>
  <c r="J21" i="2"/>
  <c r="P21" i="2" s="1"/>
  <c r="Q21" i="2" s="1"/>
  <c r="J22" i="2"/>
  <c r="P22" i="2" s="1"/>
  <c r="Q22" i="2" s="1"/>
  <c r="J23" i="2"/>
  <c r="P23" i="2" s="1"/>
  <c r="Q23" i="2" s="1"/>
  <c r="J24" i="2"/>
  <c r="P24" i="2" s="1"/>
  <c r="Q24" i="2" s="1"/>
  <c r="J25" i="2"/>
  <c r="P25" i="2" s="1"/>
  <c r="Q25" i="2" s="1"/>
  <c r="J26" i="2"/>
  <c r="P26" i="2" s="1"/>
  <c r="Q26" i="2" s="1"/>
  <c r="J27" i="2"/>
  <c r="P27" i="2" s="1"/>
  <c r="Q27" i="2" s="1"/>
  <c r="J28" i="2"/>
  <c r="P28" i="2" s="1"/>
  <c r="Q28" i="2" s="1"/>
  <c r="J29" i="2"/>
  <c r="P29" i="2" s="1"/>
  <c r="Q29" i="2" s="1"/>
  <c r="J30" i="2"/>
  <c r="P30" i="2" s="1"/>
  <c r="Q30" i="2" s="1"/>
  <c r="J31" i="2"/>
  <c r="P31" i="2" s="1"/>
  <c r="Q31" i="2" s="1"/>
  <c r="J32" i="2"/>
  <c r="P32" i="2" s="1"/>
  <c r="Q32" i="2" s="1"/>
  <c r="J33" i="2"/>
  <c r="P33" i="2" s="1"/>
  <c r="Q33" i="2" s="1"/>
  <c r="J34" i="2"/>
  <c r="P34" i="2" s="1"/>
  <c r="Q34" i="2" s="1"/>
  <c r="J35" i="2"/>
  <c r="P35" i="2" s="1"/>
  <c r="Q35" i="2" s="1"/>
  <c r="J36" i="2"/>
  <c r="P36" i="2" s="1"/>
  <c r="Q36" i="2" s="1"/>
  <c r="J37" i="2"/>
  <c r="P37" i="2" s="1"/>
  <c r="Q37" i="2" s="1"/>
  <c r="J38" i="2"/>
  <c r="P38" i="2" s="1"/>
  <c r="Q38" i="2" s="1"/>
  <c r="J39" i="2"/>
  <c r="P39" i="2" s="1"/>
  <c r="Q39" i="2" s="1"/>
  <c r="J40" i="2"/>
  <c r="P40" i="2" s="1"/>
  <c r="Q40" i="2" s="1"/>
  <c r="J41" i="2"/>
  <c r="P41" i="2" s="1"/>
  <c r="Q41" i="2" s="1"/>
  <c r="J42" i="2"/>
  <c r="P42" i="2" s="1"/>
  <c r="Q42" i="2" s="1"/>
  <c r="J43" i="2"/>
  <c r="P43" i="2" s="1"/>
  <c r="Q43" i="2" s="1"/>
  <c r="J44" i="2"/>
  <c r="P44" i="2" s="1"/>
  <c r="Q44" i="2" s="1"/>
  <c r="J45" i="2"/>
  <c r="P45" i="2" s="1"/>
  <c r="Q45" i="2" s="1"/>
  <c r="J46" i="2"/>
  <c r="P46" i="2" s="1"/>
  <c r="Q46" i="2" s="1"/>
  <c r="J47" i="2"/>
  <c r="P47" i="2" s="1"/>
  <c r="Q47" i="2" s="1"/>
  <c r="J48" i="2"/>
  <c r="P48" i="2" s="1"/>
  <c r="Q48" i="2" s="1"/>
  <c r="J49" i="2"/>
  <c r="P49" i="2" s="1"/>
  <c r="Q49" i="2" s="1"/>
  <c r="J50" i="2"/>
  <c r="P50" i="2" s="1"/>
  <c r="Q50" i="2" s="1"/>
  <c r="J51" i="2"/>
  <c r="P51" i="2" s="1"/>
  <c r="Q51" i="2" s="1"/>
  <c r="J52" i="2"/>
  <c r="P52" i="2" s="1"/>
  <c r="Q52" i="2" s="1"/>
  <c r="J53" i="2"/>
  <c r="P53" i="2" s="1"/>
  <c r="Q53" i="2" s="1"/>
  <c r="J54" i="2"/>
  <c r="P54" i="2" s="1"/>
  <c r="Q54" i="2" s="1"/>
  <c r="J55" i="2"/>
  <c r="P55" i="2" s="1"/>
  <c r="Q55" i="2" s="1"/>
  <c r="J56" i="2"/>
  <c r="P56" i="2" s="1"/>
  <c r="Q56" i="2" s="1"/>
  <c r="J57" i="2"/>
  <c r="P57" i="2" s="1"/>
  <c r="Q57" i="2" s="1"/>
  <c r="J58" i="2"/>
  <c r="P58" i="2" s="1"/>
  <c r="Q58" i="2" s="1"/>
  <c r="J59" i="2"/>
  <c r="P59" i="2" s="1"/>
  <c r="Q59" i="2" s="1"/>
  <c r="J60" i="2"/>
  <c r="P60" i="2" s="1"/>
  <c r="Q60" i="2" s="1"/>
  <c r="J61" i="2"/>
  <c r="P61" i="2" s="1"/>
  <c r="Q61" i="2" s="1"/>
  <c r="J62" i="2"/>
  <c r="P62" i="2" s="1"/>
  <c r="Q62" i="2" s="1"/>
  <c r="J63" i="2"/>
  <c r="P63" i="2" s="1"/>
  <c r="Q63" i="2" s="1"/>
  <c r="J64" i="2"/>
  <c r="P64" i="2" s="1"/>
  <c r="Q64" i="2" s="1"/>
  <c r="J65" i="2"/>
  <c r="P65" i="2" s="1"/>
  <c r="Q65" i="2" s="1"/>
  <c r="J66" i="2"/>
  <c r="P66" i="2" s="1"/>
  <c r="Q66" i="2" s="1"/>
  <c r="J67" i="2"/>
  <c r="P67" i="2" s="1"/>
  <c r="Q67" i="2" s="1"/>
  <c r="J68" i="2"/>
  <c r="P68" i="2" s="1"/>
  <c r="Q68" i="2" s="1"/>
  <c r="J69" i="2"/>
  <c r="P69" i="2" s="1"/>
  <c r="Q69" i="2" s="1"/>
  <c r="J70" i="2"/>
  <c r="P70" i="2" s="1"/>
  <c r="Q70" i="2" s="1"/>
  <c r="J71" i="2"/>
  <c r="P71" i="2" s="1"/>
  <c r="Q71" i="2" s="1"/>
  <c r="J72" i="2"/>
  <c r="P72" i="2" s="1"/>
  <c r="Q72" i="2" s="1"/>
  <c r="J73" i="2"/>
  <c r="P73" i="2" s="1"/>
  <c r="Q73" i="2" s="1"/>
  <c r="J74" i="2"/>
  <c r="P74" i="2" s="1"/>
  <c r="Q74" i="2" s="1"/>
  <c r="J75" i="2"/>
  <c r="P75" i="2" s="1"/>
  <c r="Q75" i="2" s="1"/>
  <c r="J76" i="2"/>
  <c r="P76" i="2" s="1"/>
  <c r="Q76" i="2" s="1"/>
  <c r="J77" i="2"/>
  <c r="P77" i="2" s="1"/>
  <c r="Q77" i="2" s="1"/>
  <c r="J78" i="2"/>
  <c r="P78" i="2" s="1"/>
  <c r="Q78" i="2" s="1"/>
  <c r="J79" i="2"/>
  <c r="P79" i="2" s="1"/>
  <c r="Q79" i="2" s="1"/>
  <c r="J80" i="2"/>
  <c r="P80" i="2" s="1"/>
  <c r="Q80" i="2" s="1"/>
  <c r="J81" i="2"/>
  <c r="P81" i="2" s="1"/>
  <c r="Q81" i="2" s="1"/>
  <c r="J82" i="2"/>
  <c r="P82" i="2" s="1"/>
  <c r="Q82" i="2" s="1"/>
  <c r="J83" i="2"/>
  <c r="P83" i="2" s="1"/>
  <c r="Q83" i="2" s="1"/>
  <c r="J84" i="2"/>
  <c r="P84" i="2" s="1"/>
  <c r="Q84" i="2" s="1"/>
  <c r="J85" i="2"/>
  <c r="P85" i="2" s="1"/>
  <c r="Q85" i="2" s="1"/>
  <c r="J86" i="2"/>
  <c r="P86" i="2" s="1"/>
  <c r="Q86" i="2" s="1"/>
  <c r="J87" i="2"/>
  <c r="P87" i="2" s="1"/>
  <c r="Q87" i="2" s="1"/>
  <c r="J88" i="2"/>
  <c r="P88" i="2" s="1"/>
  <c r="Q88" i="2" s="1"/>
  <c r="J89" i="2"/>
  <c r="P89" i="2" s="1"/>
  <c r="Q89" i="2" s="1"/>
  <c r="J90" i="2"/>
  <c r="P90" i="2" s="1"/>
  <c r="Q90" i="2" s="1"/>
  <c r="J91" i="2"/>
  <c r="P91" i="2" s="1"/>
  <c r="Q91" i="2" s="1"/>
  <c r="J92" i="2"/>
  <c r="P92" i="2" s="1"/>
  <c r="Q92" i="2" s="1"/>
  <c r="J93" i="2"/>
  <c r="P93" i="2" s="1"/>
  <c r="Q93" i="2" s="1"/>
  <c r="J94" i="2"/>
  <c r="P94" i="2" s="1"/>
  <c r="Q94" i="2" s="1"/>
  <c r="J95" i="2"/>
  <c r="P95" i="2" s="1"/>
  <c r="Q95" i="2" s="1"/>
  <c r="J96" i="2"/>
  <c r="P96" i="2" s="1"/>
  <c r="Q96" i="2" s="1"/>
  <c r="J97" i="2"/>
  <c r="P97" i="2" s="1"/>
  <c r="Q97" i="2" s="1"/>
  <c r="J98" i="2"/>
  <c r="P98" i="2" s="1"/>
  <c r="Q98" i="2" s="1"/>
  <c r="J99" i="2"/>
  <c r="P99" i="2" s="1"/>
  <c r="Q99" i="2" s="1"/>
  <c r="J100" i="2"/>
  <c r="P100" i="2" s="1"/>
  <c r="Q100" i="2" s="1"/>
  <c r="J101" i="2"/>
  <c r="P101" i="2" s="1"/>
  <c r="Q101" i="2" s="1"/>
  <c r="J102" i="2"/>
  <c r="P102" i="2" s="1"/>
  <c r="Q102" i="2" s="1"/>
  <c r="J103" i="2"/>
  <c r="P103" i="2" s="1"/>
  <c r="Q103" i="2" s="1"/>
  <c r="J104" i="2"/>
  <c r="P104" i="2" s="1"/>
  <c r="Q104" i="2" s="1"/>
  <c r="J105" i="2"/>
  <c r="P105" i="2" s="1"/>
  <c r="Q105" i="2" s="1"/>
  <c r="J106" i="2"/>
  <c r="P106" i="2" s="1"/>
  <c r="Q106" i="2" s="1"/>
  <c r="J107" i="2"/>
  <c r="P107" i="2" s="1"/>
  <c r="Q107" i="2" s="1"/>
  <c r="J108" i="2"/>
  <c r="P108" i="2" s="1"/>
  <c r="Q108" i="2" s="1"/>
  <c r="J109" i="2"/>
  <c r="P109" i="2" s="1"/>
  <c r="Q109" i="2" s="1"/>
  <c r="J110" i="2"/>
  <c r="P110" i="2" s="1"/>
  <c r="Q110" i="2" s="1"/>
  <c r="J111" i="2"/>
  <c r="P111" i="2" s="1"/>
  <c r="Q111" i="2" s="1"/>
  <c r="J112" i="2"/>
  <c r="P112" i="2" s="1"/>
  <c r="Q112" i="2" s="1"/>
  <c r="J113" i="2"/>
  <c r="P113" i="2" s="1"/>
  <c r="Q113" i="2" s="1"/>
  <c r="J114" i="2"/>
  <c r="P114" i="2" s="1"/>
  <c r="Q114" i="2" s="1"/>
  <c r="J115" i="2"/>
  <c r="P115" i="2" s="1"/>
  <c r="Q115" i="2" s="1"/>
  <c r="J116" i="2"/>
  <c r="P116" i="2" s="1"/>
  <c r="Q116" i="2" s="1"/>
  <c r="J117" i="2"/>
  <c r="P117" i="2" s="1"/>
  <c r="Q117" i="2" s="1"/>
  <c r="J118" i="2"/>
  <c r="P118" i="2" s="1"/>
  <c r="Q118" i="2" s="1"/>
  <c r="J119" i="2"/>
  <c r="P119" i="2" s="1"/>
  <c r="Q119" i="2" s="1"/>
  <c r="J120" i="2"/>
  <c r="P120" i="2" s="1"/>
  <c r="Q120" i="2" s="1"/>
  <c r="J121" i="2"/>
  <c r="P121" i="2" s="1"/>
  <c r="Q121" i="2" s="1"/>
  <c r="J122" i="2"/>
  <c r="P122" i="2" s="1"/>
  <c r="Q122" i="2" s="1"/>
  <c r="J123" i="2"/>
  <c r="P123" i="2" s="1"/>
  <c r="Q123" i="2" s="1"/>
  <c r="J124" i="2"/>
  <c r="P124" i="2" s="1"/>
  <c r="Q124" i="2" s="1"/>
  <c r="J125" i="2"/>
  <c r="P125" i="2" s="1"/>
  <c r="Q125" i="2" s="1"/>
  <c r="J126" i="2"/>
  <c r="P126" i="2" s="1"/>
  <c r="Q126" i="2" s="1"/>
  <c r="J127" i="2"/>
  <c r="P127" i="2" s="1"/>
  <c r="Q127" i="2" s="1"/>
  <c r="J128" i="2"/>
  <c r="P128" i="2" s="1"/>
  <c r="Q128" i="2" s="1"/>
  <c r="J129" i="2"/>
  <c r="P129" i="2" s="1"/>
  <c r="Q129" i="2" s="1"/>
  <c r="J130" i="2"/>
  <c r="P130" i="2" s="1"/>
  <c r="Q130" i="2" s="1"/>
  <c r="J131" i="2"/>
  <c r="P131" i="2" s="1"/>
  <c r="Q131" i="2" s="1"/>
  <c r="J132" i="2"/>
  <c r="P132" i="2" s="1"/>
  <c r="Q132" i="2" s="1"/>
  <c r="J133" i="2"/>
  <c r="P133" i="2" s="1"/>
  <c r="Q133" i="2" s="1"/>
  <c r="J134" i="2"/>
  <c r="P134" i="2" s="1"/>
  <c r="Q134" i="2" s="1"/>
  <c r="J135" i="2"/>
  <c r="P135" i="2" s="1"/>
  <c r="Q135" i="2" s="1"/>
  <c r="J136" i="2"/>
  <c r="P136" i="2" s="1"/>
  <c r="Q136" i="2" s="1"/>
  <c r="J137" i="2"/>
  <c r="P137" i="2" s="1"/>
  <c r="Q137" i="2" s="1"/>
  <c r="J138" i="2"/>
  <c r="P138" i="2" s="1"/>
  <c r="Q138" i="2" s="1"/>
  <c r="J139" i="2"/>
  <c r="P139" i="2" s="1"/>
  <c r="Q139" i="2" s="1"/>
  <c r="J140" i="2"/>
  <c r="P140" i="2" s="1"/>
  <c r="Q140" i="2" s="1"/>
  <c r="J141" i="2"/>
  <c r="P141" i="2" s="1"/>
  <c r="Q141" i="2" s="1"/>
  <c r="J142" i="2"/>
  <c r="P142" i="2" s="1"/>
  <c r="Q142" i="2" s="1"/>
  <c r="J143" i="2"/>
  <c r="P143" i="2" s="1"/>
  <c r="Q143" i="2" s="1"/>
  <c r="J144" i="2"/>
  <c r="P144" i="2" s="1"/>
  <c r="Q144" i="2" s="1"/>
  <c r="J145" i="2"/>
  <c r="P145" i="2" s="1"/>
  <c r="Q145" i="2" s="1"/>
  <c r="J146" i="2"/>
  <c r="P146" i="2" s="1"/>
  <c r="Q146" i="2" s="1"/>
  <c r="J147" i="2"/>
  <c r="P147" i="2" s="1"/>
  <c r="Q147" i="2" s="1"/>
  <c r="J148" i="2"/>
  <c r="P148" i="2" s="1"/>
  <c r="Q148" i="2" s="1"/>
  <c r="J149" i="2"/>
  <c r="P149" i="2" s="1"/>
  <c r="Q149" i="2" s="1"/>
  <c r="J150" i="2"/>
  <c r="P150" i="2" s="1"/>
  <c r="Q150" i="2" s="1"/>
  <c r="J151" i="2"/>
  <c r="P151" i="2" s="1"/>
  <c r="Q151" i="2" s="1"/>
  <c r="J152" i="2"/>
  <c r="P152" i="2" s="1"/>
  <c r="Q152" i="2" s="1"/>
  <c r="J153" i="2"/>
  <c r="P153" i="2" s="1"/>
  <c r="Q153" i="2" s="1"/>
  <c r="J154" i="2"/>
  <c r="P154" i="2" s="1"/>
  <c r="Q154" i="2" s="1"/>
  <c r="J155" i="2"/>
  <c r="P155" i="2" s="1"/>
  <c r="Q155" i="2" s="1"/>
  <c r="J156" i="2"/>
  <c r="P156" i="2" s="1"/>
  <c r="Q156" i="2" s="1"/>
  <c r="J157" i="2"/>
  <c r="P157" i="2" s="1"/>
  <c r="Q157" i="2" s="1"/>
  <c r="J158" i="2"/>
  <c r="P158" i="2" s="1"/>
  <c r="Q158" i="2" s="1"/>
  <c r="J159" i="2"/>
  <c r="P159" i="2" s="1"/>
  <c r="Q159" i="2" s="1"/>
  <c r="J160" i="2"/>
  <c r="P160" i="2" s="1"/>
  <c r="Q160" i="2" s="1"/>
  <c r="J161" i="2"/>
  <c r="P161" i="2" s="1"/>
  <c r="Q161" i="2" s="1"/>
  <c r="J162" i="2"/>
  <c r="P162" i="2" s="1"/>
  <c r="Q162" i="2" s="1"/>
  <c r="J163" i="2"/>
  <c r="P163" i="2" s="1"/>
  <c r="Q163" i="2" s="1"/>
  <c r="J164" i="2"/>
  <c r="P164" i="2" s="1"/>
  <c r="Q164" i="2" s="1"/>
  <c r="J165" i="2"/>
  <c r="P165" i="2" s="1"/>
  <c r="Q165" i="2" s="1"/>
  <c r="J166" i="2"/>
  <c r="P166" i="2" s="1"/>
  <c r="Q166" i="2" s="1"/>
  <c r="J167" i="2"/>
  <c r="P167" i="2" s="1"/>
  <c r="Q167" i="2" s="1"/>
  <c r="J168" i="2"/>
  <c r="P168" i="2" s="1"/>
  <c r="Q168" i="2" s="1"/>
  <c r="J169" i="2"/>
  <c r="P169" i="2" s="1"/>
  <c r="Q169" i="2" s="1"/>
  <c r="J170" i="2"/>
  <c r="P170" i="2" s="1"/>
  <c r="Q170" i="2" s="1"/>
  <c r="J171" i="2"/>
  <c r="P171" i="2" s="1"/>
  <c r="Q171" i="2" s="1"/>
  <c r="J172" i="2"/>
  <c r="P172" i="2" s="1"/>
  <c r="Q172" i="2" s="1"/>
  <c r="J173" i="2"/>
  <c r="P173" i="2" s="1"/>
  <c r="Q173" i="2" s="1"/>
  <c r="J174" i="2"/>
  <c r="P174" i="2" s="1"/>
  <c r="Q174" i="2" s="1"/>
  <c r="J175" i="2"/>
  <c r="P175" i="2" s="1"/>
  <c r="Q175" i="2" s="1"/>
  <c r="J176" i="2"/>
  <c r="P176" i="2" s="1"/>
  <c r="Q176" i="2" s="1"/>
  <c r="J177" i="2"/>
  <c r="P177" i="2" s="1"/>
  <c r="Q177" i="2" s="1"/>
  <c r="J178" i="2"/>
  <c r="P178" i="2" s="1"/>
  <c r="Q178" i="2" s="1"/>
  <c r="J179" i="2"/>
  <c r="P179" i="2" s="1"/>
  <c r="Q179" i="2" s="1"/>
  <c r="J180" i="2"/>
  <c r="P180" i="2" s="1"/>
  <c r="Q180" i="2" s="1"/>
  <c r="J181" i="2"/>
  <c r="P181" i="2" s="1"/>
  <c r="Q181" i="2" s="1"/>
  <c r="J182" i="2"/>
  <c r="P182" i="2" s="1"/>
  <c r="Q182" i="2" s="1"/>
  <c r="J183" i="2"/>
  <c r="P183" i="2" s="1"/>
  <c r="Q183" i="2" s="1"/>
  <c r="J184" i="2"/>
  <c r="P184" i="2" s="1"/>
  <c r="Q184" i="2" s="1"/>
  <c r="J185" i="2"/>
  <c r="P185" i="2" s="1"/>
  <c r="Q185" i="2" s="1"/>
  <c r="J186" i="2"/>
  <c r="P186" i="2" s="1"/>
  <c r="Q186" i="2" s="1"/>
  <c r="J187" i="2"/>
  <c r="P187" i="2" s="1"/>
  <c r="Q187" i="2" s="1"/>
  <c r="J188" i="2"/>
  <c r="P188" i="2" s="1"/>
  <c r="Q188" i="2" s="1"/>
  <c r="J189" i="2"/>
  <c r="P189" i="2" s="1"/>
  <c r="Q189" i="2" s="1"/>
  <c r="J190" i="2"/>
  <c r="P190" i="2" s="1"/>
  <c r="Q190" i="2" s="1"/>
  <c r="J191" i="2"/>
  <c r="P191" i="2" s="1"/>
  <c r="Q191" i="2" s="1"/>
  <c r="J192" i="2"/>
  <c r="P192" i="2" s="1"/>
  <c r="Q192" i="2" s="1"/>
  <c r="J193" i="2"/>
  <c r="P193" i="2" s="1"/>
  <c r="Q193" i="2" s="1"/>
  <c r="J194" i="2"/>
  <c r="P194" i="2" s="1"/>
  <c r="Q194" i="2" s="1"/>
  <c r="J195" i="2"/>
  <c r="P195" i="2" s="1"/>
  <c r="Q195" i="2" s="1"/>
  <c r="J196" i="2"/>
  <c r="P196" i="2" s="1"/>
  <c r="Q196" i="2" s="1"/>
  <c r="J197" i="2"/>
  <c r="P197" i="2" s="1"/>
  <c r="Q197" i="2" s="1"/>
  <c r="J198" i="2"/>
  <c r="P198" i="2" s="1"/>
  <c r="Q198" i="2" s="1"/>
  <c r="J199" i="2"/>
  <c r="P199" i="2" s="1"/>
  <c r="Q199" i="2" s="1"/>
  <c r="J200" i="2"/>
  <c r="P200" i="2" s="1"/>
  <c r="Q200" i="2" s="1"/>
  <c r="J201" i="2"/>
  <c r="P201" i="2" s="1"/>
  <c r="Q201" i="2" s="1"/>
  <c r="J202" i="2"/>
  <c r="P202" i="2" s="1"/>
  <c r="Q202" i="2" s="1"/>
  <c r="J203" i="2"/>
  <c r="P203" i="2" s="1"/>
  <c r="Q203" i="2" s="1"/>
  <c r="J204" i="2"/>
  <c r="P204" i="2" s="1"/>
  <c r="Q204" i="2" s="1"/>
  <c r="J205" i="2"/>
  <c r="P205" i="2" s="1"/>
  <c r="Q205" i="2" s="1"/>
  <c r="J206" i="2"/>
  <c r="P206" i="2" s="1"/>
  <c r="Q206" i="2" s="1"/>
  <c r="J207" i="2"/>
  <c r="P207" i="2" s="1"/>
  <c r="Q207" i="2" s="1"/>
  <c r="J208" i="2"/>
  <c r="P208" i="2" s="1"/>
  <c r="Q208" i="2" s="1"/>
  <c r="J209" i="2"/>
  <c r="P209" i="2" s="1"/>
  <c r="Q209" i="2" s="1"/>
  <c r="J210" i="2"/>
  <c r="P210" i="2" s="1"/>
  <c r="Q210" i="2" s="1"/>
  <c r="J211" i="2"/>
  <c r="P211" i="2" s="1"/>
  <c r="Q211" i="2" s="1"/>
  <c r="J212" i="2"/>
  <c r="P212" i="2" s="1"/>
  <c r="Q212" i="2" s="1"/>
  <c r="J213" i="2"/>
  <c r="P213" i="2" s="1"/>
  <c r="Q213" i="2" s="1"/>
  <c r="J214" i="2"/>
  <c r="P214" i="2" s="1"/>
  <c r="Q214" i="2" s="1"/>
  <c r="J215" i="2"/>
  <c r="P215" i="2" s="1"/>
  <c r="Q215" i="2" s="1"/>
  <c r="J216" i="2"/>
  <c r="P216" i="2" s="1"/>
  <c r="Q216" i="2" s="1"/>
  <c r="J217" i="2"/>
  <c r="P217" i="2" s="1"/>
  <c r="Q217" i="2" s="1"/>
  <c r="J218" i="2"/>
  <c r="P218" i="2" s="1"/>
  <c r="Q218" i="2" s="1"/>
  <c r="J219" i="2"/>
  <c r="P219" i="2" s="1"/>
  <c r="Q219" i="2" s="1"/>
  <c r="J220" i="2"/>
  <c r="P220" i="2" s="1"/>
  <c r="Q220" i="2" s="1"/>
  <c r="J221" i="2"/>
  <c r="P221" i="2" s="1"/>
  <c r="Q221" i="2" s="1"/>
  <c r="J222" i="2"/>
  <c r="P222" i="2" s="1"/>
  <c r="Q222" i="2" s="1"/>
  <c r="J223" i="2"/>
  <c r="P223" i="2" s="1"/>
  <c r="Q223" i="2" s="1"/>
  <c r="J224" i="2"/>
  <c r="P224" i="2" s="1"/>
  <c r="Q224" i="2" s="1"/>
  <c r="J225" i="2"/>
  <c r="P225" i="2" s="1"/>
  <c r="Q225" i="2" s="1"/>
  <c r="J226" i="2"/>
  <c r="P226" i="2" s="1"/>
  <c r="Q226" i="2" s="1"/>
  <c r="J227" i="2"/>
  <c r="P227" i="2" s="1"/>
  <c r="Q227" i="2" s="1"/>
  <c r="J228" i="2"/>
  <c r="P228" i="2" s="1"/>
  <c r="Q228" i="2" s="1"/>
  <c r="J229" i="2"/>
  <c r="P229" i="2" s="1"/>
  <c r="Q229" i="2" s="1"/>
  <c r="J230" i="2"/>
  <c r="P230" i="2" s="1"/>
  <c r="Q230" i="2" s="1"/>
  <c r="J231" i="2"/>
  <c r="P231" i="2" s="1"/>
  <c r="Q231" i="2" s="1"/>
  <c r="J232" i="2"/>
  <c r="P232" i="2" s="1"/>
  <c r="Q232" i="2" s="1"/>
  <c r="J233" i="2"/>
  <c r="P233" i="2" s="1"/>
  <c r="Q233" i="2" s="1"/>
  <c r="J234" i="2"/>
  <c r="P234" i="2" s="1"/>
  <c r="Q234" i="2" s="1"/>
  <c r="J235" i="2"/>
  <c r="P235" i="2" s="1"/>
  <c r="Q235" i="2" s="1"/>
  <c r="J236" i="2"/>
  <c r="P236" i="2" s="1"/>
  <c r="Q236" i="2" s="1"/>
  <c r="J237" i="2"/>
  <c r="P237" i="2" s="1"/>
  <c r="Q237" i="2" s="1"/>
  <c r="J238" i="2"/>
  <c r="P238" i="2" s="1"/>
  <c r="Q238" i="2" s="1"/>
  <c r="J239" i="2"/>
  <c r="P239" i="2" s="1"/>
  <c r="Q239" i="2" s="1"/>
  <c r="J240" i="2"/>
  <c r="P240" i="2" s="1"/>
  <c r="Q240" i="2" s="1"/>
  <c r="J241" i="2"/>
  <c r="P241" i="2" s="1"/>
  <c r="Q241" i="2" s="1"/>
  <c r="J242" i="2"/>
  <c r="P242" i="2" s="1"/>
  <c r="Q242" i="2" s="1"/>
  <c r="J243" i="2"/>
  <c r="P243" i="2" s="1"/>
  <c r="Q243" i="2" s="1"/>
  <c r="J244" i="2"/>
  <c r="P244" i="2" s="1"/>
  <c r="Q244" i="2" s="1"/>
  <c r="J245" i="2"/>
  <c r="P245" i="2" s="1"/>
  <c r="Q245" i="2" s="1"/>
  <c r="J246" i="2"/>
  <c r="P246" i="2" s="1"/>
  <c r="Q246" i="2" s="1"/>
  <c r="J247" i="2"/>
  <c r="P247" i="2" s="1"/>
  <c r="Q247" i="2" s="1"/>
  <c r="J248" i="2"/>
  <c r="P248" i="2" s="1"/>
  <c r="Q248" i="2" s="1"/>
  <c r="J249" i="2"/>
  <c r="P249" i="2" s="1"/>
  <c r="Q249" i="2" s="1"/>
  <c r="J250" i="2"/>
  <c r="P250" i="2" s="1"/>
  <c r="Q250" i="2" s="1"/>
  <c r="J251" i="2"/>
  <c r="P251" i="2" s="1"/>
  <c r="Q251" i="2" s="1"/>
  <c r="J252" i="2"/>
  <c r="P252" i="2" s="1"/>
  <c r="Q252" i="2" s="1"/>
  <c r="J253" i="2"/>
  <c r="P253" i="2" s="1"/>
  <c r="Q253" i="2" s="1"/>
  <c r="J254" i="2"/>
  <c r="P254" i="2" s="1"/>
  <c r="Q254" i="2" s="1"/>
  <c r="J255" i="2"/>
  <c r="P255" i="2" s="1"/>
  <c r="Q255" i="2" s="1"/>
  <c r="J256" i="2"/>
  <c r="P256" i="2" s="1"/>
  <c r="Q256" i="2" s="1"/>
  <c r="J257" i="2"/>
  <c r="P257" i="2" s="1"/>
  <c r="Q257" i="2" s="1"/>
  <c r="J258" i="2"/>
  <c r="P258" i="2" s="1"/>
  <c r="Q258" i="2" s="1"/>
  <c r="J259" i="2"/>
  <c r="P259" i="2" s="1"/>
  <c r="Q259" i="2" s="1"/>
  <c r="J260" i="2"/>
  <c r="P260" i="2" s="1"/>
  <c r="Q260" i="2" s="1"/>
  <c r="J261" i="2"/>
  <c r="P261" i="2" s="1"/>
  <c r="Q261" i="2" s="1"/>
  <c r="J262" i="2"/>
  <c r="P262" i="2" s="1"/>
  <c r="Q262" i="2" s="1"/>
  <c r="J263" i="2"/>
  <c r="P263" i="2" s="1"/>
  <c r="Q263" i="2" s="1"/>
  <c r="J264" i="2"/>
  <c r="P264" i="2" s="1"/>
  <c r="Q264" i="2" s="1"/>
  <c r="J265" i="2"/>
  <c r="P265" i="2" s="1"/>
  <c r="Q265" i="2" s="1"/>
  <c r="J266" i="2"/>
  <c r="P266" i="2" s="1"/>
  <c r="Q266" i="2" s="1"/>
  <c r="J267" i="2"/>
  <c r="P267" i="2" s="1"/>
  <c r="Q267" i="2" s="1"/>
  <c r="J268" i="2"/>
  <c r="P268" i="2" s="1"/>
  <c r="Q268" i="2" s="1"/>
  <c r="J269" i="2"/>
  <c r="P269" i="2" s="1"/>
  <c r="Q269" i="2" s="1"/>
  <c r="J270" i="2"/>
  <c r="P270" i="2" s="1"/>
  <c r="Q270" i="2" s="1"/>
  <c r="J271" i="2"/>
  <c r="P271" i="2" s="1"/>
  <c r="Q271" i="2" s="1"/>
  <c r="J272" i="2"/>
  <c r="P272" i="2" s="1"/>
  <c r="Q272" i="2" s="1"/>
  <c r="J273" i="2"/>
  <c r="P273" i="2" s="1"/>
  <c r="Q273" i="2" s="1"/>
  <c r="J274" i="2"/>
  <c r="P274" i="2" s="1"/>
  <c r="Q274" i="2" s="1"/>
  <c r="J275" i="2"/>
  <c r="P275" i="2" s="1"/>
  <c r="Q275" i="2" s="1"/>
  <c r="J276" i="2"/>
  <c r="P276" i="2" s="1"/>
  <c r="Q276" i="2" s="1"/>
  <c r="J277" i="2"/>
  <c r="P277" i="2" s="1"/>
  <c r="Q277" i="2" s="1"/>
  <c r="J278" i="2"/>
  <c r="P278" i="2" s="1"/>
  <c r="Q278" i="2" s="1"/>
  <c r="J279" i="2"/>
  <c r="P279" i="2" s="1"/>
  <c r="Q279" i="2" s="1"/>
  <c r="J280" i="2"/>
  <c r="P280" i="2" s="1"/>
  <c r="Q280" i="2" s="1"/>
  <c r="J281" i="2"/>
  <c r="P281" i="2" s="1"/>
  <c r="Q281" i="2" s="1"/>
  <c r="J282" i="2"/>
  <c r="P282" i="2" s="1"/>
  <c r="Q282" i="2" s="1"/>
  <c r="J283" i="2"/>
  <c r="P283" i="2" s="1"/>
  <c r="Q283" i="2" s="1"/>
  <c r="J284" i="2"/>
  <c r="P284" i="2" s="1"/>
  <c r="Q284" i="2" s="1"/>
  <c r="J285" i="2"/>
  <c r="P285" i="2" s="1"/>
  <c r="Q285" i="2" s="1"/>
  <c r="J286" i="2"/>
  <c r="P286" i="2" s="1"/>
  <c r="Q286" i="2" s="1"/>
  <c r="J287" i="2"/>
  <c r="P287" i="2" s="1"/>
  <c r="Q287" i="2" s="1"/>
  <c r="J288" i="2"/>
  <c r="P288" i="2" s="1"/>
  <c r="Q288" i="2" s="1"/>
  <c r="J289" i="2"/>
  <c r="P289" i="2" s="1"/>
  <c r="Q289" i="2" s="1"/>
  <c r="J290" i="2"/>
  <c r="P290" i="2" s="1"/>
  <c r="Q290" i="2" s="1"/>
  <c r="J291" i="2"/>
  <c r="P291" i="2" s="1"/>
  <c r="Q291" i="2" s="1"/>
  <c r="J292" i="2"/>
  <c r="P292" i="2" s="1"/>
  <c r="Q292" i="2" s="1"/>
  <c r="J293" i="2"/>
  <c r="P293" i="2" s="1"/>
  <c r="Q293" i="2" s="1"/>
  <c r="J294" i="2"/>
  <c r="P294" i="2" s="1"/>
  <c r="Q294" i="2" s="1"/>
  <c r="J295" i="2"/>
  <c r="P295" i="2" s="1"/>
  <c r="Q295" i="2" s="1"/>
  <c r="J296" i="2"/>
  <c r="P296" i="2" s="1"/>
  <c r="Q296" i="2" s="1"/>
  <c r="J297" i="2"/>
  <c r="P297" i="2" s="1"/>
  <c r="Q297" i="2" s="1"/>
  <c r="J298" i="2"/>
  <c r="P298" i="2" s="1"/>
  <c r="Q298" i="2" s="1"/>
  <c r="J299" i="2"/>
  <c r="P299" i="2" s="1"/>
  <c r="Q299" i="2" s="1"/>
  <c r="J300" i="2"/>
  <c r="P300" i="2" s="1"/>
  <c r="Q300" i="2" s="1"/>
  <c r="J301" i="2"/>
  <c r="P301" i="2" s="1"/>
  <c r="Q301" i="2" s="1"/>
  <c r="J302" i="2"/>
  <c r="P302" i="2" s="1"/>
  <c r="Q302" i="2" s="1"/>
  <c r="J303" i="2"/>
  <c r="P303" i="2" s="1"/>
  <c r="Q303" i="2" s="1"/>
  <c r="J304" i="2"/>
  <c r="P304" i="2" s="1"/>
  <c r="Q304" i="2" s="1"/>
  <c r="J305" i="2"/>
  <c r="P305" i="2" s="1"/>
  <c r="Q305" i="2" s="1"/>
  <c r="J306" i="2"/>
  <c r="P306" i="2" s="1"/>
  <c r="Q306" i="2" s="1"/>
  <c r="J307" i="2"/>
  <c r="P307" i="2" s="1"/>
  <c r="Q307" i="2" s="1"/>
  <c r="J308" i="2"/>
  <c r="P308" i="2" s="1"/>
  <c r="Q308" i="2" s="1"/>
  <c r="J309" i="2"/>
  <c r="P309" i="2" s="1"/>
  <c r="Q309" i="2" s="1"/>
  <c r="J310" i="2"/>
  <c r="P310" i="2" s="1"/>
  <c r="Q310" i="2" s="1"/>
  <c r="J311" i="2"/>
  <c r="P311" i="2" s="1"/>
  <c r="Q311" i="2" s="1"/>
  <c r="J312" i="2"/>
  <c r="P312" i="2" s="1"/>
  <c r="Q312" i="2" s="1"/>
  <c r="J313" i="2"/>
  <c r="P313" i="2" s="1"/>
  <c r="Q313" i="2" s="1"/>
  <c r="J314" i="2"/>
  <c r="P314" i="2" s="1"/>
  <c r="Q314" i="2" s="1"/>
  <c r="J315" i="2"/>
  <c r="P315" i="2" s="1"/>
  <c r="Q315" i="2" s="1"/>
  <c r="J316" i="2"/>
  <c r="P316" i="2" s="1"/>
  <c r="Q316" i="2" s="1"/>
  <c r="J317" i="2"/>
  <c r="P317" i="2" s="1"/>
  <c r="Q317" i="2" s="1"/>
  <c r="J318" i="2"/>
  <c r="P318" i="2" s="1"/>
  <c r="Q318" i="2" s="1"/>
  <c r="J319" i="2"/>
  <c r="P319" i="2" s="1"/>
  <c r="Q319" i="2" s="1"/>
  <c r="J320" i="2"/>
  <c r="P320" i="2" s="1"/>
  <c r="Q320" i="2" s="1"/>
  <c r="J321" i="2"/>
  <c r="P321" i="2" s="1"/>
  <c r="Q321" i="2" s="1"/>
  <c r="J322" i="2"/>
  <c r="P322" i="2" s="1"/>
  <c r="Q322" i="2" s="1"/>
  <c r="J323" i="2"/>
  <c r="P323" i="2" s="1"/>
  <c r="Q323" i="2" s="1"/>
  <c r="J324" i="2"/>
  <c r="P324" i="2" s="1"/>
  <c r="Q324" i="2" s="1"/>
  <c r="J325" i="2"/>
  <c r="P325" i="2" s="1"/>
  <c r="Q325" i="2" s="1"/>
  <c r="J326" i="2"/>
  <c r="P326" i="2" s="1"/>
  <c r="Q326" i="2" s="1"/>
  <c r="J327" i="2"/>
  <c r="P327" i="2" s="1"/>
  <c r="Q327" i="2" s="1"/>
  <c r="J328" i="2"/>
  <c r="P328" i="2" s="1"/>
  <c r="Q328" i="2" s="1"/>
  <c r="J329" i="2"/>
  <c r="P329" i="2" s="1"/>
  <c r="Q329" i="2" s="1"/>
  <c r="J330" i="2"/>
  <c r="P330" i="2" s="1"/>
  <c r="Q330" i="2" s="1"/>
  <c r="J331" i="2"/>
  <c r="P331" i="2" s="1"/>
  <c r="Q331" i="2" s="1"/>
  <c r="J332" i="2"/>
  <c r="P332" i="2" s="1"/>
  <c r="Q332" i="2" s="1"/>
  <c r="J333" i="2"/>
  <c r="P333" i="2" s="1"/>
  <c r="Q333" i="2" s="1"/>
  <c r="J334" i="2"/>
  <c r="P334" i="2" s="1"/>
  <c r="Q334" i="2" s="1"/>
  <c r="J335" i="2"/>
  <c r="P335" i="2" s="1"/>
  <c r="Q335" i="2" s="1"/>
  <c r="J336" i="2"/>
  <c r="P336" i="2" s="1"/>
  <c r="Q336" i="2" s="1"/>
  <c r="J337" i="2"/>
  <c r="P337" i="2" s="1"/>
  <c r="Q337" i="2" s="1"/>
  <c r="J338" i="2"/>
  <c r="P338" i="2" s="1"/>
  <c r="Q338" i="2" s="1"/>
  <c r="J339" i="2"/>
  <c r="P339" i="2" s="1"/>
  <c r="Q339" i="2" s="1"/>
  <c r="J340" i="2"/>
  <c r="P340" i="2" s="1"/>
  <c r="Q340" i="2" s="1"/>
  <c r="J341" i="2"/>
  <c r="P341" i="2" s="1"/>
  <c r="Q341" i="2" s="1"/>
  <c r="J342" i="2"/>
  <c r="P342" i="2" s="1"/>
  <c r="Q342" i="2" s="1"/>
  <c r="J343" i="2"/>
  <c r="P343" i="2" s="1"/>
  <c r="Q343" i="2" s="1"/>
  <c r="J344" i="2"/>
  <c r="P344" i="2" s="1"/>
  <c r="Q344" i="2" s="1"/>
  <c r="J345" i="2"/>
  <c r="P345" i="2" s="1"/>
  <c r="Q345" i="2" s="1"/>
  <c r="J346" i="2"/>
  <c r="P346" i="2" s="1"/>
  <c r="Q346" i="2" s="1"/>
  <c r="J347" i="2"/>
  <c r="P347" i="2" s="1"/>
  <c r="Q347" i="2" s="1"/>
  <c r="J348" i="2"/>
  <c r="P348" i="2" s="1"/>
  <c r="Q348" i="2" s="1"/>
  <c r="J349" i="2"/>
  <c r="P349" i="2" s="1"/>
  <c r="Q349" i="2" s="1"/>
  <c r="J350" i="2"/>
  <c r="P350" i="2" s="1"/>
  <c r="Q350" i="2" s="1"/>
  <c r="J351" i="2"/>
  <c r="P351" i="2" s="1"/>
  <c r="Q351" i="2" s="1"/>
  <c r="J352" i="2"/>
  <c r="P352" i="2" s="1"/>
  <c r="Q352" i="2" s="1"/>
  <c r="J353" i="2"/>
  <c r="P353" i="2" s="1"/>
  <c r="Q353" i="2" s="1"/>
  <c r="J354" i="2"/>
  <c r="P354" i="2" s="1"/>
  <c r="Q354" i="2" s="1"/>
  <c r="J355" i="2"/>
  <c r="P355" i="2" s="1"/>
  <c r="Q355" i="2" s="1"/>
  <c r="J356" i="2"/>
  <c r="P356" i="2" s="1"/>
  <c r="Q356" i="2" s="1"/>
  <c r="J357" i="2"/>
  <c r="P357" i="2" s="1"/>
  <c r="Q357" i="2" s="1"/>
  <c r="J358" i="2"/>
  <c r="P358" i="2" s="1"/>
  <c r="Q358" i="2" s="1"/>
  <c r="J359" i="2"/>
  <c r="P359" i="2" s="1"/>
  <c r="Q359" i="2" s="1"/>
  <c r="J360" i="2"/>
  <c r="P360" i="2" s="1"/>
  <c r="Q360" i="2" s="1"/>
  <c r="J361" i="2"/>
  <c r="P361" i="2" s="1"/>
  <c r="Q361" i="2" s="1"/>
  <c r="J362" i="2"/>
  <c r="P362" i="2" s="1"/>
  <c r="Q362" i="2" s="1"/>
  <c r="J363" i="2"/>
  <c r="P363" i="2" s="1"/>
  <c r="Q363" i="2" s="1"/>
  <c r="J364" i="2"/>
  <c r="P364" i="2" s="1"/>
  <c r="Q364" i="2" s="1"/>
  <c r="J365" i="2"/>
  <c r="P365" i="2" s="1"/>
  <c r="Q365" i="2" s="1"/>
  <c r="J366" i="2"/>
  <c r="P366" i="2" s="1"/>
  <c r="Q366" i="2" s="1"/>
  <c r="J367" i="2"/>
  <c r="P367" i="2" s="1"/>
  <c r="Q367" i="2" s="1"/>
  <c r="J368" i="2"/>
  <c r="P368" i="2" s="1"/>
  <c r="Q368" i="2" s="1"/>
  <c r="J369" i="2"/>
  <c r="P369" i="2" s="1"/>
  <c r="Q369" i="2" s="1"/>
  <c r="J370" i="2"/>
  <c r="P370" i="2" s="1"/>
  <c r="Q370" i="2" s="1"/>
  <c r="J371" i="2"/>
  <c r="P371" i="2" s="1"/>
  <c r="Q371" i="2" s="1"/>
  <c r="J372" i="2"/>
  <c r="P372" i="2" s="1"/>
  <c r="Q372" i="2" s="1"/>
  <c r="J373" i="2"/>
  <c r="P373" i="2" s="1"/>
  <c r="Q373" i="2" s="1"/>
  <c r="J374" i="2"/>
  <c r="P374" i="2" s="1"/>
  <c r="Q374" i="2" s="1"/>
  <c r="J375" i="2"/>
  <c r="P375" i="2" s="1"/>
  <c r="Q375" i="2" s="1"/>
  <c r="J376" i="2"/>
  <c r="P376" i="2" s="1"/>
  <c r="Q376" i="2" s="1"/>
  <c r="J377" i="2"/>
  <c r="P377" i="2" s="1"/>
  <c r="Q377" i="2" s="1"/>
  <c r="J378" i="2"/>
  <c r="P378" i="2" s="1"/>
  <c r="Q378" i="2" s="1"/>
  <c r="J379" i="2"/>
  <c r="P379" i="2" s="1"/>
  <c r="Q379" i="2" s="1"/>
  <c r="J380" i="2"/>
  <c r="P380" i="2" s="1"/>
  <c r="Q380" i="2" s="1"/>
  <c r="J381" i="2"/>
  <c r="P381" i="2" s="1"/>
  <c r="Q381" i="2" s="1"/>
  <c r="J382" i="2"/>
  <c r="P382" i="2" s="1"/>
  <c r="Q382" i="2" s="1"/>
  <c r="J383" i="2"/>
  <c r="P383" i="2" s="1"/>
  <c r="Q383" i="2" s="1"/>
  <c r="J384" i="2"/>
  <c r="P384" i="2" s="1"/>
  <c r="Q384" i="2" s="1"/>
  <c r="J385" i="2"/>
  <c r="P385" i="2" s="1"/>
  <c r="Q385" i="2" s="1"/>
  <c r="J386" i="2"/>
  <c r="P386" i="2" s="1"/>
  <c r="Q386" i="2" s="1"/>
  <c r="J387" i="2"/>
  <c r="P387" i="2" s="1"/>
  <c r="Q387" i="2" s="1"/>
  <c r="J388" i="2"/>
  <c r="P388" i="2" s="1"/>
  <c r="Q388" i="2" s="1"/>
  <c r="J389" i="2"/>
  <c r="P389" i="2" s="1"/>
  <c r="Q389" i="2" s="1"/>
  <c r="J390" i="2"/>
  <c r="P390" i="2" s="1"/>
  <c r="Q390" i="2" s="1"/>
  <c r="J391" i="2"/>
  <c r="P391" i="2" s="1"/>
  <c r="Q391" i="2" s="1"/>
  <c r="J392" i="2"/>
  <c r="P392" i="2" s="1"/>
  <c r="Q392" i="2" s="1"/>
  <c r="J393" i="2"/>
  <c r="P393" i="2" s="1"/>
  <c r="Q393" i="2" s="1"/>
  <c r="J394" i="2"/>
  <c r="P394" i="2" s="1"/>
  <c r="Q394" i="2" s="1"/>
  <c r="J395" i="2"/>
  <c r="P395" i="2" s="1"/>
  <c r="Q395" i="2" s="1"/>
  <c r="J396" i="2"/>
  <c r="P396" i="2" s="1"/>
  <c r="Q396" i="2" s="1"/>
  <c r="J397" i="2"/>
  <c r="P397" i="2" s="1"/>
  <c r="Q397" i="2" s="1"/>
  <c r="J398" i="2"/>
  <c r="P398" i="2" s="1"/>
  <c r="Q398" i="2" s="1"/>
  <c r="J399" i="2"/>
  <c r="P399" i="2" s="1"/>
  <c r="Q399" i="2" s="1"/>
  <c r="J400" i="2"/>
  <c r="P400" i="2" s="1"/>
  <c r="Q400" i="2" s="1"/>
  <c r="J401" i="2"/>
  <c r="P401" i="2" s="1"/>
  <c r="Q401" i="2" s="1"/>
  <c r="J402" i="2"/>
  <c r="P402" i="2" s="1"/>
  <c r="Q402" i="2" s="1"/>
  <c r="J403" i="2"/>
  <c r="P403" i="2" s="1"/>
  <c r="Q403" i="2" s="1"/>
  <c r="J404" i="2"/>
  <c r="P404" i="2" s="1"/>
  <c r="Q404" i="2" s="1"/>
  <c r="J405" i="2"/>
  <c r="P405" i="2" s="1"/>
  <c r="Q405" i="2" s="1"/>
  <c r="J406" i="2"/>
  <c r="P406" i="2" s="1"/>
  <c r="Q406" i="2" s="1"/>
  <c r="J407" i="2"/>
  <c r="P407" i="2" s="1"/>
  <c r="Q407" i="2" s="1"/>
  <c r="J408" i="2"/>
  <c r="P408" i="2" s="1"/>
  <c r="Q408" i="2" s="1"/>
  <c r="J409" i="2"/>
  <c r="P409" i="2" s="1"/>
  <c r="Q409" i="2" s="1"/>
  <c r="J410" i="2"/>
  <c r="P410" i="2" s="1"/>
  <c r="Q410" i="2" s="1"/>
  <c r="J411" i="2"/>
  <c r="P411" i="2" s="1"/>
  <c r="Q411" i="2" s="1"/>
  <c r="J412" i="2"/>
  <c r="P412" i="2" s="1"/>
  <c r="Q412" i="2" s="1"/>
  <c r="J413" i="2"/>
  <c r="P413" i="2" s="1"/>
  <c r="Q413" i="2" s="1"/>
  <c r="J414" i="2"/>
  <c r="P414" i="2" s="1"/>
  <c r="Q414" i="2" s="1"/>
  <c r="J415" i="2"/>
  <c r="P415" i="2" s="1"/>
  <c r="Q415" i="2" s="1"/>
  <c r="J416" i="2"/>
  <c r="P416" i="2" s="1"/>
  <c r="Q416" i="2" s="1"/>
  <c r="J417" i="2"/>
  <c r="P417" i="2" s="1"/>
  <c r="Q417" i="2" s="1"/>
  <c r="J418" i="2"/>
  <c r="P418" i="2" s="1"/>
  <c r="Q418" i="2" s="1"/>
  <c r="J419" i="2"/>
  <c r="P419" i="2" s="1"/>
  <c r="Q419" i="2" s="1"/>
  <c r="J420" i="2"/>
  <c r="P420" i="2" s="1"/>
  <c r="Q420" i="2" s="1"/>
  <c r="J421" i="2"/>
  <c r="P421" i="2" s="1"/>
  <c r="Q421" i="2" s="1"/>
  <c r="J422" i="2"/>
  <c r="P422" i="2" s="1"/>
  <c r="Q422" i="2" s="1"/>
  <c r="J423" i="2"/>
  <c r="P423" i="2" s="1"/>
  <c r="Q423" i="2" s="1"/>
  <c r="J424" i="2"/>
  <c r="P424" i="2" s="1"/>
  <c r="Q424" i="2" s="1"/>
  <c r="J425" i="2"/>
  <c r="P425" i="2" s="1"/>
  <c r="Q425" i="2" s="1"/>
  <c r="J426" i="2"/>
  <c r="P426" i="2" s="1"/>
  <c r="Q426" i="2" s="1"/>
  <c r="J427" i="2"/>
  <c r="P427" i="2" s="1"/>
  <c r="Q427" i="2" s="1"/>
  <c r="J428" i="2"/>
  <c r="P428" i="2" s="1"/>
  <c r="Q428" i="2" s="1"/>
  <c r="J429" i="2"/>
  <c r="P429" i="2" s="1"/>
  <c r="Q429" i="2" s="1"/>
  <c r="J430" i="2"/>
  <c r="P430" i="2" s="1"/>
  <c r="Q430" i="2" s="1"/>
  <c r="J431" i="2"/>
  <c r="P431" i="2" s="1"/>
  <c r="Q431" i="2" s="1"/>
  <c r="J432" i="2"/>
  <c r="P432" i="2" s="1"/>
  <c r="Q432" i="2" s="1"/>
  <c r="J433" i="2"/>
  <c r="P433" i="2" s="1"/>
  <c r="Q433" i="2" s="1"/>
  <c r="J434" i="2"/>
  <c r="P434" i="2" s="1"/>
  <c r="Q434" i="2" s="1"/>
  <c r="J435" i="2"/>
  <c r="P435" i="2" s="1"/>
  <c r="Q435" i="2" s="1"/>
  <c r="J436" i="2"/>
  <c r="P436" i="2" s="1"/>
  <c r="Q436" i="2" s="1"/>
  <c r="J437" i="2"/>
  <c r="P437" i="2" s="1"/>
  <c r="Q437" i="2" s="1"/>
  <c r="J438" i="2"/>
  <c r="P438" i="2" s="1"/>
  <c r="Q438" i="2" s="1"/>
  <c r="J439" i="2"/>
  <c r="P439" i="2" s="1"/>
  <c r="Q439" i="2" s="1"/>
  <c r="J440" i="2"/>
  <c r="P440" i="2" s="1"/>
  <c r="Q440" i="2" s="1"/>
  <c r="J441" i="2"/>
  <c r="P441" i="2" s="1"/>
  <c r="Q441" i="2" s="1"/>
  <c r="J442" i="2"/>
  <c r="P442" i="2" s="1"/>
  <c r="Q442" i="2" s="1"/>
  <c r="J443" i="2"/>
  <c r="P443" i="2" s="1"/>
  <c r="Q443" i="2" s="1"/>
  <c r="J444" i="2"/>
  <c r="P444" i="2" s="1"/>
  <c r="Q444" i="2" s="1"/>
  <c r="J445" i="2"/>
  <c r="P445" i="2" s="1"/>
  <c r="Q445" i="2" s="1"/>
  <c r="J446" i="2"/>
  <c r="P446" i="2" s="1"/>
  <c r="Q446" i="2" s="1"/>
  <c r="J447" i="2"/>
  <c r="P447" i="2" s="1"/>
  <c r="Q447" i="2" s="1"/>
  <c r="J448" i="2"/>
  <c r="P448" i="2" s="1"/>
  <c r="Q448" i="2" s="1"/>
  <c r="J449" i="2"/>
  <c r="P449" i="2" s="1"/>
  <c r="Q449" i="2" s="1"/>
  <c r="J450" i="2"/>
  <c r="P450" i="2" s="1"/>
  <c r="Q450" i="2" s="1"/>
  <c r="J451" i="2"/>
  <c r="P451" i="2" s="1"/>
  <c r="Q451" i="2" s="1"/>
  <c r="J452" i="2"/>
  <c r="P452" i="2" s="1"/>
  <c r="Q452" i="2" s="1"/>
  <c r="J453" i="2"/>
  <c r="P453" i="2" s="1"/>
  <c r="Q453" i="2" s="1"/>
  <c r="J454" i="2"/>
  <c r="P454" i="2" s="1"/>
  <c r="Q454" i="2" s="1"/>
  <c r="J455" i="2"/>
  <c r="P455" i="2" s="1"/>
  <c r="Q455" i="2" s="1"/>
  <c r="J456" i="2"/>
  <c r="P456" i="2" s="1"/>
  <c r="Q456" i="2" s="1"/>
  <c r="J457" i="2"/>
  <c r="P457" i="2" s="1"/>
  <c r="Q457" i="2" s="1"/>
  <c r="J458" i="2"/>
  <c r="P458" i="2" s="1"/>
  <c r="Q458" i="2" s="1"/>
  <c r="J459" i="2"/>
  <c r="P459" i="2" s="1"/>
  <c r="Q459" i="2" s="1"/>
  <c r="J460" i="2"/>
  <c r="P460" i="2" s="1"/>
  <c r="Q460" i="2" s="1"/>
  <c r="J461" i="2"/>
  <c r="P461" i="2" s="1"/>
  <c r="Q461" i="2" s="1"/>
  <c r="J462" i="2"/>
  <c r="P462" i="2" s="1"/>
  <c r="Q462" i="2" s="1"/>
  <c r="J463" i="2"/>
  <c r="P463" i="2" s="1"/>
  <c r="Q463" i="2" s="1"/>
  <c r="J464" i="2"/>
  <c r="P464" i="2" s="1"/>
  <c r="Q464" i="2" s="1"/>
  <c r="J465" i="2"/>
  <c r="P465" i="2" s="1"/>
  <c r="Q465" i="2" s="1"/>
  <c r="J466" i="2"/>
  <c r="P466" i="2" s="1"/>
  <c r="Q466" i="2" s="1"/>
  <c r="J467" i="2"/>
  <c r="P467" i="2" s="1"/>
  <c r="Q467" i="2" s="1"/>
  <c r="J468" i="2"/>
  <c r="P468" i="2" s="1"/>
  <c r="Q468" i="2" s="1"/>
  <c r="J469" i="2"/>
  <c r="P469" i="2" s="1"/>
  <c r="Q469" i="2" s="1"/>
  <c r="J470" i="2"/>
  <c r="P470" i="2" s="1"/>
  <c r="Q470" i="2" s="1"/>
  <c r="J471" i="2"/>
  <c r="P471" i="2" s="1"/>
  <c r="Q471" i="2" s="1"/>
  <c r="J472" i="2"/>
  <c r="P472" i="2" s="1"/>
  <c r="Q472" i="2" s="1"/>
  <c r="J473" i="2"/>
  <c r="P473" i="2" s="1"/>
  <c r="Q473" i="2" s="1"/>
  <c r="J474" i="2"/>
  <c r="P474" i="2" s="1"/>
  <c r="Q474" i="2" s="1"/>
  <c r="J475" i="2"/>
  <c r="P475" i="2" s="1"/>
  <c r="Q475" i="2" s="1"/>
  <c r="J476" i="2"/>
  <c r="P476" i="2" s="1"/>
  <c r="Q476" i="2" s="1"/>
  <c r="J477" i="2"/>
  <c r="P477" i="2" s="1"/>
  <c r="Q477" i="2" s="1"/>
  <c r="J478" i="2"/>
  <c r="P478" i="2" s="1"/>
  <c r="Q478" i="2" s="1"/>
  <c r="J479" i="2"/>
  <c r="P479" i="2" s="1"/>
  <c r="Q479" i="2" s="1"/>
  <c r="J480" i="2"/>
  <c r="P480" i="2" s="1"/>
  <c r="Q480" i="2" s="1"/>
  <c r="J481" i="2"/>
  <c r="P481" i="2" s="1"/>
  <c r="Q481" i="2" s="1"/>
  <c r="J482" i="2"/>
  <c r="P482" i="2" s="1"/>
  <c r="Q482" i="2" s="1"/>
  <c r="J483" i="2"/>
  <c r="P483" i="2" s="1"/>
  <c r="Q483" i="2" s="1"/>
  <c r="J484" i="2"/>
  <c r="P484" i="2" s="1"/>
  <c r="Q484" i="2" s="1"/>
  <c r="J485" i="2"/>
  <c r="P485" i="2" s="1"/>
  <c r="Q485" i="2" s="1"/>
  <c r="J486" i="2"/>
  <c r="P486" i="2" s="1"/>
  <c r="Q486" i="2" s="1"/>
  <c r="J487" i="2"/>
  <c r="P487" i="2" s="1"/>
  <c r="Q487" i="2" s="1"/>
  <c r="J488" i="2"/>
  <c r="P488" i="2" s="1"/>
  <c r="Q488" i="2" s="1"/>
  <c r="J489" i="2"/>
  <c r="P489" i="2" s="1"/>
  <c r="Q489" i="2" s="1"/>
  <c r="J490" i="2"/>
  <c r="P490" i="2" s="1"/>
  <c r="Q490" i="2" s="1"/>
  <c r="J491" i="2"/>
  <c r="P491" i="2" s="1"/>
  <c r="Q491" i="2" s="1"/>
  <c r="J492" i="2"/>
  <c r="P492" i="2" s="1"/>
  <c r="Q492" i="2" s="1"/>
  <c r="J493" i="2"/>
  <c r="P493" i="2" s="1"/>
  <c r="Q493" i="2" s="1"/>
  <c r="J494" i="2"/>
  <c r="P494" i="2" s="1"/>
  <c r="Q494" i="2" s="1"/>
  <c r="J495" i="2"/>
  <c r="P495" i="2" s="1"/>
  <c r="Q495" i="2" s="1"/>
  <c r="J496" i="2"/>
  <c r="P496" i="2" s="1"/>
  <c r="Q496" i="2" s="1"/>
  <c r="J497" i="2"/>
  <c r="P497" i="2" s="1"/>
  <c r="Q497" i="2" s="1"/>
  <c r="J498" i="2"/>
  <c r="P498" i="2" s="1"/>
  <c r="Q498" i="2" s="1"/>
  <c r="J499" i="2"/>
  <c r="P499" i="2" s="1"/>
  <c r="Q499" i="2" s="1"/>
  <c r="J500" i="2"/>
  <c r="P500" i="2" s="1"/>
  <c r="Q500" i="2" s="1"/>
  <c r="J501" i="2"/>
  <c r="P501" i="2" s="1"/>
  <c r="Q501" i="2" s="1"/>
  <c r="J502" i="2"/>
  <c r="P502" i="2" s="1"/>
  <c r="Q502" i="2" s="1"/>
  <c r="J503" i="2"/>
  <c r="P503" i="2" s="1"/>
  <c r="Q503" i="2" s="1"/>
  <c r="J504" i="2"/>
  <c r="P504" i="2" s="1"/>
  <c r="Q504" i="2" s="1"/>
  <c r="J505" i="2"/>
  <c r="P505" i="2" s="1"/>
  <c r="Q505" i="2" s="1"/>
  <c r="J506" i="2"/>
  <c r="P506" i="2" s="1"/>
  <c r="Q506" i="2" s="1"/>
  <c r="J507" i="2"/>
  <c r="P507" i="2" s="1"/>
  <c r="Q507" i="2" s="1"/>
  <c r="J508" i="2"/>
  <c r="P508" i="2" s="1"/>
  <c r="Q508" i="2" s="1"/>
  <c r="J509" i="2"/>
  <c r="P509" i="2" s="1"/>
  <c r="Q509" i="2" s="1"/>
  <c r="J510" i="2"/>
  <c r="P510" i="2" s="1"/>
  <c r="Q510" i="2" s="1"/>
  <c r="J511" i="2"/>
  <c r="P511" i="2" s="1"/>
  <c r="Q511" i="2" s="1"/>
  <c r="J512" i="2"/>
  <c r="P512" i="2" s="1"/>
  <c r="Q512" i="2" s="1"/>
  <c r="J513" i="2"/>
  <c r="P513" i="2" s="1"/>
  <c r="Q513" i="2" s="1"/>
  <c r="J514" i="2"/>
  <c r="P514" i="2" s="1"/>
  <c r="Q514" i="2" s="1"/>
  <c r="J515" i="2"/>
  <c r="P515" i="2" s="1"/>
  <c r="Q515" i="2" s="1"/>
  <c r="J516" i="2"/>
  <c r="P516" i="2" s="1"/>
  <c r="Q516" i="2" s="1"/>
  <c r="J517" i="2"/>
  <c r="P517" i="2" s="1"/>
  <c r="Q517" i="2" s="1"/>
  <c r="J518" i="2"/>
  <c r="P518" i="2" s="1"/>
  <c r="Q518" i="2" s="1"/>
  <c r="J519" i="2"/>
  <c r="P519" i="2" s="1"/>
  <c r="Q519" i="2" s="1"/>
  <c r="J520" i="2"/>
  <c r="P520" i="2" s="1"/>
  <c r="Q520" i="2" s="1"/>
  <c r="J521" i="2"/>
  <c r="P521" i="2" s="1"/>
  <c r="Q521" i="2" s="1"/>
  <c r="J522" i="2"/>
  <c r="P522" i="2" s="1"/>
  <c r="Q522" i="2" s="1"/>
  <c r="J523" i="2"/>
  <c r="P523" i="2" s="1"/>
  <c r="Q523" i="2" s="1"/>
  <c r="J524" i="2"/>
  <c r="P524" i="2" s="1"/>
  <c r="Q524" i="2" s="1"/>
  <c r="J525" i="2"/>
  <c r="P525" i="2" s="1"/>
  <c r="Q525" i="2" s="1"/>
  <c r="J526" i="2"/>
  <c r="P526" i="2" s="1"/>
  <c r="Q526" i="2" s="1"/>
  <c r="J527" i="2"/>
  <c r="P527" i="2" s="1"/>
  <c r="Q527" i="2" s="1"/>
  <c r="J528" i="2"/>
  <c r="P528" i="2" s="1"/>
  <c r="Q528" i="2" s="1"/>
  <c r="J529" i="2"/>
  <c r="P529" i="2" s="1"/>
  <c r="Q529" i="2" s="1"/>
  <c r="J530" i="2"/>
  <c r="P530" i="2" s="1"/>
  <c r="Q530" i="2" s="1"/>
  <c r="J531" i="2"/>
  <c r="P531" i="2" s="1"/>
  <c r="Q531" i="2" s="1"/>
  <c r="J532" i="2"/>
  <c r="P532" i="2" s="1"/>
  <c r="Q532" i="2" s="1"/>
  <c r="J533" i="2"/>
  <c r="P533" i="2" s="1"/>
  <c r="Q533" i="2" s="1"/>
  <c r="J534" i="2"/>
  <c r="P534" i="2" s="1"/>
  <c r="Q534" i="2" s="1"/>
  <c r="J535" i="2"/>
  <c r="P535" i="2" s="1"/>
  <c r="Q535" i="2" s="1"/>
  <c r="J536" i="2"/>
  <c r="P536" i="2" s="1"/>
  <c r="Q536" i="2" s="1"/>
  <c r="J537" i="2"/>
  <c r="P537" i="2" s="1"/>
  <c r="Q537" i="2" s="1"/>
  <c r="J538" i="2"/>
  <c r="P538" i="2" s="1"/>
  <c r="Q538" i="2" s="1"/>
  <c r="J539" i="2"/>
  <c r="P539" i="2" s="1"/>
  <c r="Q539" i="2" s="1"/>
  <c r="J540" i="2"/>
  <c r="P540" i="2" s="1"/>
  <c r="Q540" i="2" s="1"/>
  <c r="J541" i="2"/>
  <c r="P541" i="2" s="1"/>
  <c r="Q541" i="2" s="1"/>
  <c r="J542" i="2"/>
  <c r="P542" i="2" s="1"/>
  <c r="Q542" i="2" s="1"/>
  <c r="J543" i="2"/>
  <c r="P543" i="2" s="1"/>
  <c r="Q543" i="2" s="1"/>
  <c r="J544" i="2"/>
  <c r="P544" i="2" s="1"/>
  <c r="Q544" i="2" s="1"/>
  <c r="J545" i="2"/>
  <c r="P545" i="2" s="1"/>
  <c r="Q545" i="2" s="1"/>
  <c r="J546" i="2"/>
  <c r="P546" i="2" s="1"/>
  <c r="Q546" i="2" s="1"/>
  <c r="J547" i="2"/>
  <c r="P547" i="2" s="1"/>
  <c r="Q547" i="2" s="1"/>
  <c r="J548" i="2"/>
  <c r="P548" i="2" s="1"/>
  <c r="Q548" i="2" s="1"/>
  <c r="J549" i="2"/>
  <c r="P549" i="2" s="1"/>
  <c r="Q549" i="2" s="1"/>
  <c r="J550" i="2"/>
  <c r="P550" i="2" s="1"/>
  <c r="Q550" i="2" s="1"/>
  <c r="J551" i="2"/>
  <c r="P551" i="2" s="1"/>
  <c r="Q551" i="2" s="1"/>
  <c r="J552" i="2"/>
  <c r="P552" i="2" s="1"/>
  <c r="Q552" i="2" s="1"/>
  <c r="J553" i="2"/>
  <c r="P553" i="2" s="1"/>
  <c r="Q553" i="2" s="1"/>
  <c r="J554" i="2"/>
  <c r="P554" i="2" s="1"/>
  <c r="Q554" i="2" s="1"/>
  <c r="J555" i="2"/>
  <c r="P555" i="2" s="1"/>
  <c r="Q555" i="2" s="1"/>
  <c r="J556" i="2"/>
  <c r="P556" i="2" s="1"/>
  <c r="Q556" i="2" s="1"/>
  <c r="J557" i="2"/>
  <c r="P557" i="2" s="1"/>
  <c r="Q557" i="2" s="1"/>
  <c r="J558" i="2"/>
  <c r="P558" i="2" s="1"/>
  <c r="Q558" i="2" s="1"/>
  <c r="J559" i="2"/>
  <c r="P559" i="2" s="1"/>
  <c r="Q559" i="2" s="1"/>
  <c r="J560" i="2"/>
  <c r="P560" i="2" s="1"/>
  <c r="Q560" i="2" s="1"/>
  <c r="J561" i="2"/>
  <c r="P561" i="2" s="1"/>
  <c r="Q561" i="2" s="1"/>
  <c r="J562" i="2"/>
  <c r="P562" i="2" s="1"/>
  <c r="Q562" i="2" s="1"/>
  <c r="J563" i="2"/>
  <c r="P563" i="2" s="1"/>
  <c r="Q563" i="2" s="1"/>
  <c r="J564" i="2"/>
  <c r="P564" i="2" s="1"/>
  <c r="Q564" i="2" s="1"/>
  <c r="J565" i="2"/>
  <c r="P565" i="2" s="1"/>
  <c r="Q565" i="2" s="1"/>
  <c r="J566" i="2"/>
  <c r="P566" i="2" s="1"/>
  <c r="Q566" i="2" s="1"/>
  <c r="J567" i="2"/>
  <c r="P567" i="2" s="1"/>
  <c r="Q567" i="2" s="1"/>
  <c r="J568" i="2"/>
  <c r="P568" i="2" s="1"/>
  <c r="Q568" i="2" s="1"/>
  <c r="J569" i="2"/>
  <c r="P569" i="2" s="1"/>
  <c r="Q569" i="2" s="1"/>
  <c r="J570" i="2"/>
  <c r="P570" i="2" s="1"/>
  <c r="Q570" i="2" s="1"/>
  <c r="J571" i="2"/>
  <c r="P571" i="2" s="1"/>
  <c r="Q571" i="2" s="1"/>
  <c r="J572" i="2"/>
  <c r="P572" i="2" s="1"/>
  <c r="Q572" i="2" s="1"/>
  <c r="J573" i="2"/>
  <c r="P573" i="2" s="1"/>
  <c r="Q573" i="2" s="1"/>
  <c r="J574" i="2"/>
  <c r="P574" i="2" s="1"/>
  <c r="Q574" i="2" s="1"/>
  <c r="J575" i="2"/>
  <c r="P575" i="2" s="1"/>
  <c r="Q575" i="2" s="1"/>
  <c r="J576" i="2"/>
  <c r="P576" i="2" s="1"/>
  <c r="Q576" i="2" s="1"/>
  <c r="J577" i="2"/>
  <c r="P577" i="2" s="1"/>
  <c r="Q577" i="2" s="1"/>
  <c r="J578" i="2"/>
  <c r="P578" i="2" s="1"/>
  <c r="Q578" i="2" s="1"/>
  <c r="J579" i="2"/>
  <c r="P579" i="2" s="1"/>
  <c r="Q579" i="2" s="1"/>
  <c r="J580" i="2"/>
  <c r="P580" i="2" s="1"/>
  <c r="Q580" i="2" s="1"/>
  <c r="J581" i="2"/>
  <c r="P581" i="2" s="1"/>
  <c r="Q581" i="2" s="1"/>
  <c r="J582" i="2"/>
  <c r="P582" i="2" s="1"/>
  <c r="Q582" i="2" s="1"/>
  <c r="J583" i="2"/>
  <c r="P583" i="2" s="1"/>
  <c r="Q583" i="2" s="1"/>
  <c r="J584" i="2"/>
  <c r="P584" i="2" s="1"/>
  <c r="Q584" i="2" s="1"/>
  <c r="J585" i="2"/>
  <c r="P585" i="2" s="1"/>
  <c r="Q585" i="2" s="1"/>
  <c r="J586" i="2"/>
  <c r="P586" i="2" s="1"/>
  <c r="Q586" i="2" s="1"/>
  <c r="J587" i="2"/>
  <c r="P587" i="2" s="1"/>
  <c r="Q587" i="2" s="1"/>
  <c r="J588" i="2"/>
  <c r="P588" i="2" s="1"/>
  <c r="Q588" i="2" s="1"/>
  <c r="J589" i="2"/>
  <c r="P589" i="2" s="1"/>
  <c r="Q589" i="2" s="1"/>
  <c r="J590" i="2"/>
  <c r="P590" i="2" s="1"/>
  <c r="Q590" i="2" s="1"/>
  <c r="J591" i="2"/>
  <c r="P591" i="2" s="1"/>
  <c r="Q591" i="2" s="1"/>
  <c r="J592" i="2"/>
  <c r="P592" i="2" s="1"/>
  <c r="Q592" i="2" s="1"/>
  <c r="J593" i="2"/>
  <c r="P593" i="2" s="1"/>
  <c r="Q593" i="2" s="1"/>
  <c r="J594" i="2"/>
  <c r="P594" i="2" s="1"/>
  <c r="Q594" i="2" s="1"/>
  <c r="J595" i="2"/>
  <c r="P595" i="2" s="1"/>
  <c r="Q595" i="2" s="1"/>
  <c r="J596" i="2"/>
  <c r="P596" i="2" s="1"/>
  <c r="Q596" i="2" s="1"/>
  <c r="J597" i="2"/>
  <c r="P597" i="2" s="1"/>
  <c r="Q597" i="2" s="1"/>
  <c r="J598" i="2"/>
  <c r="P598" i="2" s="1"/>
  <c r="Q598" i="2" s="1"/>
  <c r="J599" i="2"/>
  <c r="P599" i="2" s="1"/>
  <c r="Q599" i="2" s="1"/>
  <c r="J600" i="2"/>
  <c r="P600" i="2" s="1"/>
  <c r="Q600" i="2" s="1"/>
  <c r="J601" i="2"/>
  <c r="P601" i="2" s="1"/>
  <c r="Q601" i="2" s="1"/>
  <c r="J602" i="2"/>
  <c r="P602" i="2" s="1"/>
  <c r="Q602" i="2" s="1"/>
  <c r="J603" i="2"/>
  <c r="P603" i="2" s="1"/>
  <c r="Q603" i="2" s="1"/>
  <c r="J604" i="2"/>
  <c r="P604" i="2" s="1"/>
  <c r="Q604" i="2" s="1"/>
  <c r="J605" i="2"/>
  <c r="P605" i="2" s="1"/>
  <c r="Q605" i="2" s="1"/>
  <c r="J606" i="2"/>
  <c r="P606" i="2" s="1"/>
  <c r="Q606" i="2" s="1"/>
  <c r="J607" i="2"/>
  <c r="P607" i="2" s="1"/>
  <c r="Q607" i="2" s="1"/>
  <c r="J608" i="2"/>
  <c r="P608" i="2" s="1"/>
  <c r="Q608" i="2" s="1"/>
  <c r="J609" i="2"/>
  <c r="P609" i="2" s="1"/>
  <c r="Q609" i="2" s="1"/>
  <c r="J610" i="2"/>
  <c r="P610" i="2" s="1"/>
  <c r="Q610" i="2" s="1"/>
  <c r="J611" i="2"/>
  <c r="P611" i="2" s="1"/>
  <c r="Q611" i="2" s="1"/>
  <c r="J612" i="2"/>
  <c r="P612" i="2" s="1"/>
  <c r="Q612" i="2" s="1"/>
  <c r="J613" i="2"/>
  <c r="P613" i="2" s="1"/>
  <c r="Q613" i="2" s="1"/>
  <c r="J614" i="2"/>
  <c r="P614" i="2" s="1"/>
  <c r="Q614" i="2" s="1"/>
  <c r="J615" i="2"/>
  <c r="P615" i="2" s="1"/>
  <c r="Q615" i="2" s="1"/>
  <c r="J616" i="2"/>
  <c r="P616" i="2" s="1"/>
  <c r="Q616" i="2" s="1"/>
  <c r="J617" i="2"/>
  <c r="P617" i="2" s="1"/>
  <c r="Q617" i="2" s="1"/>
  <c r="J618" i="2"/>
  <c r="P618" i="2" s="1"/>
  <c r="Q618" i="2" s="1"/>
  <c r="J619" i="2"/>
  <c r="P619" i="2" s="1"/>
  <c r="Q619" i="2" s="1"/>
  <c r="J620" i="2"/>
  <c r="P620" i="2" s="1"/>
  <c r="Q620" i="2" s="1"/>
  <c r="J621" i="2"/>
  <c r="P621" i="2" s="1"/>
  <c r="Q621" i="2" s="1"/>
  <c r="J622" i="2"/>
  <c r="P622" i="2" s="1"/>
  <c r="Q622" i="2" s="1"/>
  <c r="J623" i="2"/>
  <c r="P623" i="2" s="1"/>
  <c r="Q623" i="2" s="1"/>
  <c r="J624" i="2"/>
  <c r="P624" i="2" s="1"/>
  <c r="Q624" i="2" s="1"/>
  <c r="J625" i="2"/>
  <c r="P625" i="2" s="1"/>
  <c r="Q625" i="2" s="1"/>
  <c r="J626" i="2"/>
  <c r="P626" i="2" s="1"/>
  <c r="Q626" i="2" s="1"/>
  <c r="J627" i="2"/>
  <c r="P627" i="2" s="1"/>
  <c r="Q627" i="2" s="1"/>
  <c r="J628" i="2"/>
  <c r="P628" i="2" s="1"/>
  <c r="Q628" i="2" s="1"/>
  <c r="J629" i="2"/>
  <c r="P629" i="2" s="1"/>
  <c r="Q629" i="2" s="1"/>
  <c r="J630" i="2"/>
  <c r="P630" i="2" s="1"/>
  <c r="Q630" i="2" s="1"/>
  <c r="J631" i="2"/>
  <c r="P631" i="2" s="1"/>
  <c r="Q631" i="2" s="1"/>
  <c r="J632" i="2"/>
  <c r="P632" i="2" s="1"/>
  <c r="Q632" i="2" s="1"/>
  <c r="J633" i="2"/>
  <c r="P633" i="2" s="1"/>
  <c r="Q633" i="2" s="1"/>
  <c r="J634" i="2"/>
  <c r="P634" i="2" s="1"/>
  <c r="Q634" i="2" s="1"/>
  <c r="J635" i="2"/>
  <c r="P635" i="2" s="1"/>
  <c r="Q635" i="2" s="1"/>
  <c r="J636" i="2"/>
  <c r="P636" i="2" s="1"/>
  <c r="Q636" i="2" s="1"/>
  <c r="J637" i="2"/>
  <c r="P637" i="2" s="1"/>
  <c r="Q637" i="2" s="1"/>
  <c r="J638" i="2"/>
  <c r="P638" i="2" s="1"/>
  <c r="Q638" i="2" s="1"/>
  <c r="J639" i="2"/>
  <c r="P639" i="2" s="1"/>
  <c r="Q639" i="2" s="1"/>
  <c r="J640" i="2"/>
  <c r="P640" i="2" s="1"/>
  <c r="Q640" i="2" s="1"/>
  <c r="J641" i="2"/>
  <c r="P641" i="2" s="1"/>
  <c r="Q641" i="2" s="1"/>
  <c r="J642" i="2"/>
  <c r="P642" i="2" s="1"/>
  <c r="Q642" i="2" s="1"/>
  <c r="J643" i="2"/>
  <c r="P643" i="2" s="1"/>
  <c r="Q643" i="2" s="1"/>
  <c r="J644" i="2"/>
  <c r="P644" i="2" s="1"/>
  <c r="Q644" i="2" s="1"/>
  <c r="J645" i="2"/>
  <c r="P645" i="2" s="1"/>
  <c r="Q645" i="2" s="1"/>
  <c r="J646" i="2"/>
  <c r="P646" i="2" s="1"/>
  <c r="Q646" i="2" s="1"/>
  <c r="J647" i="2"/>
  <c r="P647" i="2" s="1"/>
  <c r="Q647" i="2" s="1"/>
  <c r="J648" i="2"/>
  <c r="P648" i="2" s="1"/>
  <c r="Q648" i="2" s="1"/>
  <c r="J649" i="2"/>
  <c r="P649" i="2" s="1"/>
  <c r="Q649" i="2" s="1"/>
  <c r="J650" i="2"/>
  <c r="P650" i="2" s="1"/>
  <c r="Q650" i="2" s="1"/>
  <c r="J651" i="2"/>
  <c r="P651" i="2" s="1"/>
  <c r="Q651" i="2" s="1"/>
  <c r="J652" i="2"/>
  <c r="P652" i="2" s="1"/>
  <c r="Q652" i="2" s="1"/>
  <c r="J653" i="2"/>
  <c r="P653" i="2" s="1"/>
  <c r="Q653" i="2" s="1"/>
  <c r="J654" i="2"/>
  <c r="P654" i="2" s="1"/>
  <c r="Q654" i="2" s="1"/>
  <c r="J655" i="2"/>
  <c r="P655" i="2" s="1"/>
  <c r="Q655" i="2" s="1"/>
  <c r="J656" i="2"/>
  <c r="P656" i="2" s="1"/>
  <c r="Q656" i="2" s="1"/>
  <c r="J657" i="2"/>
  <c r="P657" i="2" s="1"/>
  <c r="Q657" i="2" s="1"/>
  <c r="J658" i="2"/>
  <c r="P658" i="2" s="1"/>
  <c r="Q658" i="2" s="1"/>
  <c r="J659" i="2"/>
  <c r="P659" i="2" s="1"/>
  <c r="Q659" i="2" s="1"/>
  <c r="J660" i="2"/>
  <c r="P660" i="2" s="1"/>
  <c r="Q660" i="2" s="1"/>
  <c r="J661" i="2"/>
  <c r="P661" i="2" s="1"/>
  <c r="Q661" i="2" s="1"/>
  <c r="J662" i="2"/>
  <c r="P662" i="2" s="1"/>
  <c r="Q662" i="2" s="1"/>
  <c r="J663" i="2"/>
  <c r="P663" i="2" s="1"/>
  <c r="Q663" i="2" s="1"/>
  <c r="J664" i="2"/>
  <c r="P664" i="2" s="1"/>
  <c r="Q664" i="2" s="1"/>
  <c r="J665" i="2"/>
  <c r="P665" i="2" s="1"/>
  <c r="Q665" i="2" s="1"/>
  <c r="J666" i="2"/>
  <c r="P666" i="2" s="1"/>
  <c r="Q666" i="2" s="1"/>
  <c r="J667" i="2"/>
  <c r="P667" i="2" s="1"/>
  <c r="Q667" i="2" s="1"/>
  <c r="J668" i="2"/>
  <c r="P668" i="2" s="1"/>
  <c r="Q668" i="2" s="1"/>
  <c r="J669" i="2"/>
  <c r="P669" i="2" s="1"/>
  <c r="Q669" i="2" s="1"/>
  <c r="J670" i="2"/>
  <c r="P670" i="2" s="1"/>
  <c r="Q670" i="2" s="1"/>
  <c r="J671" i="2"/>
  <c r="P671" i="2" s="1"/>
  <c r="Q671" i="2" s="1"/>
  <c r="J672" i="2"/>
  <c r="P672" i="2" s="1"/>
  <c r="Q672" i="2" s="1"/>
  <c r="J673" i="2"/>
  <c r="P673" i="2" s="1"/>
  <c r="Q673" i="2" s="1"/>
  <c r="J674" i="2"/>
  <c r="P674" i="2" s="1"/>
  <c r="Q674" i="2" s="1"/>
  <c r="J675" i="2"/>
  <c r="P675" i="2" s="1"/>
  <c r="Q675" i="2" s="1"/>
  <c r="J676" i="2"/>
  <c r="P676" i="2" s="1"/>
  <c r="Q676" i="2" s="1"/>
  <c r="J677" i="2"/>
  <c r="P677" i="2" s="1"/>
  <c r="Q677" i="2" s="1"/>
  <c r="J678" i="2"/>
  <c r="P678" i="2" s="1"/>
  <c r="Q678" i="2" s="1"/>
  <c r="J679" i="2"/>
  <c r="P679" i="2" s="1"/>
  <c r="Q679" i="2" s="1"/>
  <c r="J680" i="2"/>
  <c r="P680" i="2" s="1"/>
  <c r="Q680" i="2" s="1"/>
  <c r="J681" i="2"/>
  <c r="P681" i="2" s="1"/>
  <c r="Q681" i="2" s="1"/>
  <c r="J682" i="2"/>
  <c r="P682" i="2" s="1"/>
  <c r="Q682" i="2" s="1"/>
  <c r="J683" i="2"/>
  <c r="P683" i="2" s="1"/>
  <c r="Q683" i="2" s="1"/>
  <c r="J684" i="2"/>
  <c r="P684" i="2" s="1"/>
  <c r="Q684" i="2" s="1"/>
  <c r="J685" i="2"/>
  <c r="P685" i="2" s="1"/>
  <c r="Q685" i="2" s="1"/>
  <c r="J686" i="2"/>
  <c r="P686" i="2" s="1"/>
  <c r="Q686" i="2" s="1"/>
  <c r="J687" i="2"/>
  <c r="P687" i="2" s="1"/>
  <c r="Q687" i="2" s="1"/>
  <c r="J688" i="2"/>
  <c r="P688" i="2" s="1"/>
  <c r="Q688" i="2" s="1"/>
  <c r="J689" i="2"/>
  <c r="P689" i="2" s="1"/>
  <c r="Q689" i="2" s="1"/>
  <c r="J690" i="2"/>
  <c r="P690" i="2" s="1"/>
  <c r="Q690" i="2" s="1"/>
  <c r="J691" i="2"/>
  <c r="P691" i="2" s="1"/>
  <c r="Q691" i="2" s="1"/>
  <c r="J692" i="2"/>
  <c r="P692" i="2" s="1"/>
  <c r="Q692" i="2" s="1"/>
  <c r="J693" i="2"/>
  <c r="P693" i="2" s="1"/>
  <c r="Q693" i="2" s="1"/>
  <c r="J694" i="2"/>
  <c r="P694" i="2" s="1"/>
  <c r="Q694" i="2" s="1"/>
  <c r="J695" i="2"/>
  <c r="P695" i="2" s="1"/>
  <c r="Q695" i="2" s="1"/>
  <c r="J696" i="2"/>
  <c r="P696" i="2" s="1"/>
  <c r="Q696" i="2" s="1"/>
  <c r="J697" i="2"/>
  <c r="P697" i="2" s="1"/>
  <c r="Q697" i="2" s="1"/>
  <c r="J698" i="2"/>
  <c r="P698" i="2" s="1"/>
  <c r="Q698" i="2" s="1"/>
  <c r="J699" i="2"/>
  <c r="P699" i="2" s="1"/>
  <c r="Q699" i="2" s="1"/>
  <c r="J700" i="2"/>
  <c r="P700" i="2" s="1"/>
  <c r="Q700" i="2" s="1"/>
  <c r="J701" i="2"/>
  <c r="P701" i="2" s="1"/>
  <c r="Q701" i="2" s="1"/>
  <c r="J702" i="2"/>
  <c r="P702" i="2" s="1"/>
  <c r="Q702" i="2" s="1"/>
  <c r="J703" i="2"/>
  <c r="P703" i="2" s="1"/>
  <c r="Q703" i="2" s="1"/>
  <c r="J704" i="2"/>
  <c r="P704" i="2" s="1"/>
  <c r="Q704" i="2" s="1"/>
  <c r="J705" i="2"/>
  <c r="P705" i="2" s="1"/>
  <c r="Q705" i="2" s="1"/>
  <c r="J706" i="2"/>
  <c r="P706" i="2" s="1"/>
  <c r="Q706" i="2" s="1"/>
  <c r="J707" i="2"/>
  <c r="P707" i="2" s="1"/>
  <c r="Q707" i="2" s="1"/>
  <c r="J708" i="2"/>
  <c r="P708" i="2" s="1"/>
  <c r="Q708" i="2" s="1"/>
  <c r="J709" i="2"/>
  <c r="P709" i="2" s="1"/>
  <c r="Q709" i="2" s="1"/>
  <c r="J710" i="2"/>
  <c r="P710" i="2" s="1"/>
  <c r="Q710" i="2" s="1"/>
  <c r="J711" i="2"/>
  <c r="P711" i="2" s="1"/>
  <c r="Q711" i="2" s="1"/>
  <c r="J712" i="2"/>
  <c r="P712" i="2" s="1"/>
  <c r="Q712" i="2" s="1"/>
  <c r="J713" i="2"/>
  <c r="P713" i="2" s="1"/>
  <c r="Q713" i="2" s="1"/>
  <c r="J714" i="2"/>
  <c r="P714" i="2" s="1"/>
  <c r="Q714" i="2" s="1"/>
  <c r="J715" i="2"/>
  <c r="P715" i="2" s="1"/>
  <c r="Q715" i="2" s="1"/>
  <c r="J716" i="2"/>
  <c r="P716" i="2" s="1"/>
  <c r="Q716" i="2" s="1"/>
  <c r="J717" i="2"/>
  <c r="P717" i="2" s="1"/>
  <c r="Q717" i="2" s="1"/>
  <c r="J718" i="2"/>
  <c r="P718" i="2" s="1"/>
  <c r="Q718" i="2" s="1"/>
  <c r="J719" i="2"/>
  <c r="P719" i="2" s="1"/>
  <c r="Q719" i="2" s="1"/>
  <c r="J720" i="2"/>
  <c r="P720" i="2" s="1"/>
  <c r="Q720" i="2" s="1"/>
  <c r="J721" i="2"/>
  <c r="P721" i="2" s="1"/>
  <c r="Q721" i="2" s="1"/>
  <c r="J722" i="2"/>
  <c r="P722" i="2" s="1"/>
  <c r="Q722" i="2" s="1"/>
  <c r="J723" i="2"/>
  <c r="P723" i="2" s="1"/>
  <c r="Q723" i="2" s="1"/>
  <c r="J724" i="2"/>
  <c r="P724" i="2" s="1"/>
  <c r="Q724" i="2" s="1"/>
  <c r="J725" i="2"/>
  <c r="P725" i="2" s="1"/>
  <c r="Q725" i="2" s="1"/>
  <c r="J726" i="2"/>
  <c r="P726" i="2" s="1"/>
  <c r="Q726" i="2" s="1"/>
  <c r="J727" i="2"/>
  <c r="P727" i="2" s="1"/>
  <c r="Q727" i="2" s="1"/>
  <c r="J728" i="2"/>
  <c r="P728" i="2" s="1"/>
  <c r="Q728" i="2" s="1"/>
  <c r="J729" i="2"/>
  <c r="P729" i="2" s="1"/>
  <c r="Q729" i="2" s="1"/>
  <c r="J730" i="2"/>
  <c r="P730" i="2" s="1"/>
  <c r="Q730" i="2" s="1"/>
  <c r="J731" i="2"/>
  <c r="P731" i="2" s="1"/>
  <c r="Q731" i="2" s="1"/>
  <c r="J732" i="2"/>
  <c r="P732" i="2" s="1"/>
  <c r="Q732" i="2" s="1"/>
  <c r="J733" i="2"/>
  <c r="P733" i="2" s="1"/>
  <c r="Q733" i="2" s="1"/>
  <c r="J734" i="2"/>
  <c r="P734" i="2" s="1"/>
  <c r="Q734" i="2" s="1"/>
  <c r="J735" i="2"/>
  <c r="P735" i="2" s="1"/>
  <c r="Q735" i="2" s="1"/>
  <c r="J736" i="2"/>
  <c r="P736" i="2" s="1"/>
  <c r="Q736" i="2" s="1"/>
  <c r="J737" i="2"/>
  <c r="P737" i="2" s="1"/>
  <c r="Q737" i="2" s="1"/>
  <c r="J738" i="2"/>
  <c r="P738" i="2" s="1"/>
  <c r="Q738" i="2" s="1"/>
  <c r="J739" i="2"/>
  <c r="P739" i="2" s="1"/>
  <c r="Q739" i="2" s="1"/>
  <c r="J740" i="2"/>
  <c r="P740" i="2" s="1"/>
  <c r="Q740" i="2" s="1"/>
  <c r="J741" i="2"/>
  <c r="P741" i="2" s="1"/>
  <c r="Q741" i="2" s="1"/>
  <c r="J742" i="2"/>
  <c r="P742" i="2" s="1"/>
  <c r="Q742" i="2" s="1"/>
  <c r="J743" i="2"/>
  <c r="P743" i="2" s="1"/>
  <c r="Q743" i="2" s="1"/>
  <c r="J744" i="2"/>
  <c r="P744" i="2" s="1"/>
  <c r="Q744" i="2" s="1"/>
  <c r="J745" i="2"/>
  <c r="P745" i="2" s="1"/>
  <c r="Q745" i="2" s="1"/>
  <c r="J746" i="2"/>
  <c r="P746" i="2" s="1"/>
  <c r="Q746" i="2" s="1"/>
  <c r="J747" i="2"/>
  <c r="P747" i="2" s="1"/>
  <c r="Q747" i="2" s="1"/>
  <c r="J748" i="2"/>
  <c r="P748" i="2" s="1"/>
  <c r="Q748" i="2" s="1"/>
  <c r="J749" i="2"/>
  <c r="P749" i="2" s="1"/>
  <c r="Q749" i="2" s="1"/>
  <c r="J750" i="2"/>
  <c r="P750" i="2" s="1"/>
  <c r="Q750" i="2" s="1"/>
  <c r="J751" i="2"/>
  <c r="P751" i="2" s="1"/>
  <c r="Q751" i="2" s="1"/>
  <c r="J752" i="2"/>
  <c r="P752" i="2" s="1"/>
  <c r="Q752" i="2" s="1"/>
  <c r="J753" i="2"/>
  <c r="P753" i="2" s="1"/>
  <c r="Q753" i="2" s="1"/>
  <c r="J754" i="2"/>
  <c r="P754" i="2" s="1"/>
  <c r="Q754" i="2" s="1"/>
  <c r="J755" i="2"/>
  <c r="P755" i="2" s="1"/>
  <c r="Q755" i="2" s="1"/>
  <c r="J756" i="2"/>
  <c r="P756" i="2" s="1"/>
  <c r="Q756" i="2" s="1"/>
  <c r="J757" i="2"/>
  <c r="P757" i="2" s="1"/>
  <c r="Q757" i="2" s="1"/>
  <c r="J758" i="2"/>
  <c r="P758" i="2" s="1"/>
  <c r="Q758" i="2" s="1"/>
  <c r="J759" i="2"/>
  <c r="P759" i="2" s="1"/>
  <c r="Q759" i="2" s="1"/>
  <c r="J760" i="2"/>
  <c r="P760" i="2" s="1"/>
  <c r="Q760" i="2" s="1"/>
  <c r="J761" i="2"/>
  <c r="P761" i="2" s="1"/>
  <c r="Q761" i="2" s="1"/>
  <c r="J762" i="2"/>
  <c r="P762" i="2" s="1"/>
  <c r="Q762" i="2" s="1"/>
  <c r="J763" i="2"/>
  <c r="P763" i="2" s="1"/>
  <c r="Q763" i="2" s="1"/>
  <c r="J764" i="2"/>
  <c r="P764" i="2" s="1"/>
  <c r="Q764" i="2" s="1"/>
  <c r="J765" i="2"/>
  <c r="P765" i="2" s="1"/>
  <c r="Q765" i="2" s="1"/>
  <c r="J766" i="2"/>
  <c r="P766" i="2" s="1"/>
  <c r="Q766" i="2" s="1"/>
  <c r="J767" i="2"/>
  <c r="P767" i="2" s="1"/>
  <c r="Q767" i="2" s="1"/>
  <c r="J768" i="2"/>
  <c r="P768" i="2" s="1"/>
  <c r="Q768" i="2" s="1"/>
  <c r="J769" i="2"/>
  <c r="P769" i="2" s="1"/>
  <c r="Q769" i="2" s="1"/>
  <c r="J770" i="2"/>
  <c r="P770" i="2" s="1"/>
  <c r="Q770" i="2" s="1"/>
  <c r="J771" i="2"/>
  <c r="P771" i="2" s="1"/>
  <c r="Q771" i="2" s="1"/>
  <c r="J772" i="2"/>
  <c r="P772" i="2" s="1"/>
  <c r="Q772" i="2" s="1"/>
  <c r="J773" i="2"/>
  <c r="P773" i="2" s="1"/>
  <c r="Q773" i="2" s="1"/>
  <c r="J774" i="2"/>
  <c r="P774" i="2" s="1"/>
  <c r="Q774" i="2" s="1"/>
  <c r="J775" i="2"/>
  <c r="P775" i="2" s="1"/>
  <c r="Q775" i="2" s="1"/>
  <c r="J776" i="2"/>
  <c r="P776" i="2" s="1"/>
  <c r="Q776" i="2" s="1"/>
  <c r="J777" i="2"/>
  <c r="P777" i="2" s="1"/>
  <c r="Q777" i="2" s="1"/>
  <c r="J778" i="2"/>
  <c r="P778" i="2" s="1"/>
  <c r="Q778" i="2" s="1"/>
  <c r="J779" i="2"/>
  <c r="P779" i="2" s="1"/>
  <c r="Q779" i="2" s="1"/>
  <c r="J780" i="2"/>
  <c r="P780" i="2" s="1"/>
  <c r="Q780" i="2" s="1"/>
  <c r="J781" i="2"/>
  <c r="P781" i="2" s="1"/>
  <c r="Q781" i="2" s="1"/>
  <c r="J782" i="2"/>
  <c r="P782" i="2" s="1"/>
  <c r="Q782" i="2" s="1"/>
  <c r="J783" i="2"/>
  <c r="P783" i="2" s="1"/>
  <c r="Q783" i="2" s="1"/>
  <c r="J784" i="2"/>
  <c r="P784" i="2" s="1"/>
  <c r="Q784" i="2" s="1"/>
  <c r="J785" i="2"/>
  <c r="P785" i="2" s="1"/>
  <c r="Q785" i="2" s="1"/>
  <c r="J786" i="2"/>
  <c r="P786" i="2" s="1"/>
  <c r="Q786" i="2" s="1"/>
  <c r="J787" i="2"/>
  <c r="P787" i="2" s="1"/>
  <c r="Q787" i="2" s="1"/>
  <c r="J788" i="2"/>
  <c r="P788" i="2" s="1"/>
  <c r="Q788" i="2" s="1"/>
  <c r="J789" i="2"/>
  <c r="P789" i="2" s="1"/>
  <c r="Q789" i="2" s="1"/>
  <c r="J790" i="2"/>
  <c r="P790" i="2" s="1"/>
  <c r="Q790" i="2" s="1"/>
  <c r="J791" i="2"/>
  <c r="P791" i="2" s="1"/>
  <c r="Q791" i="2" s="1"/>
  <c r="J792" i="2"/>
  <c r="P792" i="2" s="1"/>
  <c r="Q792" i="2" s="1"/>
  <c r="J793" i="2"/>
  <c r="P793" i="2" s="1"/>
  <c r="Q793" i="2" s="1"/>
  <c r="J794" i="2"/>
  <c r="P794" i="2" s="1"/>
  <c r="Q794" i="2" s="1"/>
  <c r="J795" i="2"/>
  <c r="P795" i="2" s="1"/>
  <c r="Q795" i="2" s="1"/>
  <c r="J796" i="2"/>
  <c r="P796" i="2" s="1"/>
  <c r="Q796" i="2" s="1"/>
  <c r="J797" i="2"/>
  <c r="P797" i="2" s="1"/>
  <c r="Q797" i="2" s="1"/>
  <c r="J798" i="2"/>
  <c r="P798" i="2" s="1"/>
  <c r="Q798" i="2" s="1"/>
  <c r="J799" i="2"/>
  <c r="P799" i="2" s="1"/>
  <c r="Q799" i="2" s="1"/>
  <c r="J800" i="2"/>
  <c r="P800" i="2" s="1"/>
  <c r="Q800" i="2" s="1"/>
  <c r="J801" i="2"/>
  <c r="P801" i="2" s="1"/>
  <c r="Q801" i="2" s="1"/>
  <c r="J802" i="2"/>
  <c r="P802" i="2" s="1"/>
  <c r="Q802" i="2" s="1"/>
  <c r="J803" i="2"/>
  <c r="P803" i="2" s="1"/>
  <c r="Q803" i="2" s="1"/>
  <c r="J804" i="2"/>
  <c r="P804" i="2" s="1"/>
  <c r="Q804" i="2" s="1"/>
  <c r="J805" i="2"/>
  <c r="P805" i="2" s="1"/>
  <c r="Q805" i="2" s="1"/>
  <c r="J806" i="2"/>
  <c r="P806" i="2" s="1"/>
  <c r="Q806" i="2" s="1"/>
  <c r="J807" i="2"/>
  <c r="P807" i="2" s="1"/>
  <c r="Q807" i="2" s="1"/>
  <c r="J808" i="2"/>
  <c r="P808" i="2" s="1"/>
  <c r="Q808" i="2" s="1"/>
  <c r="J809" i="2"/>
  <c r="P809" i="2" s="1"/>
  <c r="Q809" i="2" s="1"/>
  <c r="J810" i="2"/>
  <c r="P810" i="2" s="1"/>
  <c r="Q810" i="2" s="1"/>
  <c r="J811" i="2"/>
  <c r="P811" i="2" s="1"/>
  <c r="Q811" i="2" s="1"/>
  <c r="J812" i="2"/>
  <c r="P812" i="2" s="1"/>
  <c r="Q812" i="2" s="1"/>
  <c r="J813" i="2"/>
  <c r="P813" i="2" s="1"/>
  <c r="Q813" i="2" s="1"/>
  <c r="J814" i="2"/>
  <c r="P814" i="2" s="1"/>
  <c r="Q814" i="2" s="1"/>
  <c r="J815" i="2"/>
  <c r="P815" i="2" s="1"/>
  <c r="Q815" i="2" s="1"/>
  <c r="J816" i="2"/>
  <c r="P816" i="2" s="1"/>
  <c r="Q816" i="2" s="1"/>
  <c r="J817" i="2"/>
  <c r="P817" i="2" s="1"/>
  <c r="Q817" i="2" s="1"/>
  <c r="J818" i="2"/>
  <c r="P818" i="2" s="1"/>
  <c r="Q818" i="2" s="1"/>
  <c r="J819" i="2"/>
  <c r="P819" i="2" s="1"/>
  <c r="Q819" i="2" s="1"/>
  <c r="J820" i="2"/>
  <c r="P820" i="2" s="1"/>
  <c r="Q820" i="2" s="1"/>
  <c r="J821" i="2"/>
  <c r="P821" i="2" s="1"/>
  <c r="Q821" i="2" s="1"/>
  <c r="J822" i="2"/>
  <c r="P822" i="2" s="1"/>
  <c r="Q822" i="2" s="1"/>
  <c r="J823" i="2"/>
  <c r="P823" i="2" s="1"/>
  <c r="Q823" i="2" s="1"/>
  <c r="J824" i="2"/>
  <c r="P824" i="2" s="1"/>
  <c r="Q824" i="2" s="1"/>
  <c r="J825" i="2"/>
  <c r="P825" i="2" s="1"/>
  <c r="Q825" i="2" s="1"/>
  <c r="J826" i="2"/>
  <c r="P826" i="2" s="1"/>
  <c r="Q826" i="2" s="1"/>
  <c r="J827" i="2"/>
  <c r="P827" i="2" s="1"/>
  <c r="Q827" i="2" s="1"/>
  <c r="J828" i="2"/>
  <c r="P828" i="2" s="1"/>
  <c r="Q828" i="2" s="1"/>
  <c r="J829" i="2"/>
  <c r="P829" i="2" s="1"/>
  <c r="Q829" i="2" s="1"/>
  <c r="J830" i="2"/>
  <c r="P830" i="2" s="1"/>
  <c r="Q830" i="2" s="1"/>
  <c r="J831" i="2"/>
  <c r="P831" i="2" s="1"/>
  <c r="Q831" i="2" s="1"/>
  <c r="J832" i="2"/>
  <c r="P832" i="2" s="1"/>
  <c r="Q832" i="2" s="1"/>
  <c r="J833" i="2"/>
  <c r="P833" i="2" s="1"/>
  <c r="Q833" i="2" s="1"/>
  <c r="J834" i="2"/>
  <c r="P834" i="2" s="1"/>
  <c r="Q834" i="2" s="1"/>
  <c r="J835" i="2"/>
  <c r="P835" i="2" s="1"/>
  <c r="Q835" i="2" s="1"/>
  <c r="J836" i="2"/>
  <c r="P836" i="2" s="1"/>
  <c r="Q836" i="2" s="1"/>
  <c r="J837" i="2"/>
  <c r="P837" i="2" s="1"/>
  <c r="Q837" i="2" s="1"/>
  <c r="J838" i="2"/>
  <c r="P838" i="2" s="1"/>
  <c r="Q838" i="2" s="1"/>
  <c r="J839" i="2"/>
  <c r="P839" i="2" s="1"/>
  <c r="Q839" i="2" s="1"/>
  <c r="J840" i="2"/>
  <c r="P840" i="2" s="1"/>
  <c r="Q840" i="2" s="1"/>
  <c r="J841" i="2"/>
  <c r="P841" i="2" s="1"/>
  <c r="Q841" i="2" s="1"/>
  <c r="J842" i="2"/>
  <c r="P842" i="2" s="1"/>
  <c r="Q842" i="2" s="1"/>
  <c r="J843" i="2"/>
  <c r="P843" i="2" s="1"/>
  <c r="Q843" i="2" s="1"/>
  <c r="J844" i="2"/>
  <c r="P844" i="2" s="1"/>
  <c r="Q844" i="2" s="1"/>
  <c r="J845" i="2"/>
  <c r="P845" i="2" s="1"/>
  <c r="Q845" i="2" s="1"/>
  <c r="J846" i="2"/>
  <c r="P846" i="2" s="1"/>
  <c r="Q846" i="2" s="1"/>
  <c r="J847" i="2"/>
  <c r="P847" i="2" s="1"/>
  <c r="Q847" i="2" s="1"/>
  <c r="J848" i="2"/>
  <c r="P848" i="2" s="1"/>
  <c r="Q848" i="2" s="1"/>
  <c r="J849" i="2"/>
  <c r="P849" i="2" s="1"/>
  <c r="Q849" i="2" s="1"/>
  <c r="J850" i="2"/>
  <c r="P850" i="2" s="1"/>
  <c r="Q850" i="2" s="1"/>
  <c r="J851" i="2"/>
  <c r="P851" i="2" s="1"/>
  <c r="Q851" i="2" s="1"/>
  <c r="J852" i="2"/>
  <c r="P852" i="2" s="1"/>
  <c r="Q852" i="2" s="1"/>
  <c r="J853" i="2"/>
  <c r="P853" i="2" s="1"/>
  <c r="Q853" i="2" s="1"/>
  <c r="J854" i="2"/>
  <c r="P854" i="2" s="1"/>
  <c r="Q854" i="2" s="1"/>
  <c r="J855" i="2"/>
  <c r="P855" i="2" s="1"/>
  <c r="Q855" i="2" s="1"/>
  <c r="J856" i="2"/>
  <c r="P856" i="2" s="1"/>
  <c r="Q856" i="2" s="1"/>
  <c r="J857" i="2"/>
  <c r="P857" i="2" s="1"/>
  <c r="Q857" i="2" s="1"/>
  <c r="J858" i="2"/>
  <c r="P858" i="2" s="1"/>
  <c r="Q858" i="2" s="1"/>
  <c r="J859" i="2"/>
  <c r="P859" i="2" s="1"/>
  <c r="Q859" i="2" s="1"/>
  <c r="J860" i="2"/>
  <c r="P860" i="2" s="1"/>
  <c r="Q860" i="2" s="1"/>
  <c r="J861" i="2"/>
  <c r="P861" i="2" s="1"/>
  <c r="Q861" i="2" s="1"/>
  <c r="J862" i="2"/>
  <c r="P862" i="2" s="1"/>
  <c r="Q862" i="2" s="1"/>
  <c r="J863" i="2"/>
  <c r="P863" i="2" s="1"/>
  <c r="Q863" i="2" s="1"/>
  <c r="J864" i="2"/>
  <c r="P864" i="2" s="1"/>
  <c r="Q864" i="2" s="1"/>
  <c r="J865" i="2"/>
  <c r="P865" i="2" s="1"/>
  <c r="Q865" i="2" s="1"/>
  <c r="J866" i="2"/>
  <c r="P866" i="2" s="1"/>
  <c r="Q866" i="2" s="1"/>
  <c r="J867" i="2"/>
  <c r="P867" i="2" s="1"/>
  <c r="Q867" i="2" s="1"/>
  <c r="J868" i="2"/>
  <c r="P868" i="2" s="1"/>
  <c r="Q868" i="2" s="1"/>
  <c r="J869" i="2"/>
  <c r="P869" i="2" s="1"/>
  <c r="Q869" i="2" s="1"/>
  <c r="J870" i="2"/>
  <c r="P870" i="2" s="1"/>
  <c r="Q870" i="2" s="1"/>
  <c r="J871" i="2"/>
  <c r="P871" i="2" s="1"/>
  <c r="Q871" i="2" s="1"/>
  <c r="J872" i="2"/>
  <c r="P872" i="2" s="1"/>
  <c r="Q872" i="2" s="1"/>
  <c r="J873" i="2"/>
  <c r="P873" i="2" s="1"/>
  <c r="Q873" i="2" s="1"/>
  <c r="J874" i="2"/>
  <c r="P874" i="2" s="1"/>
  <c r="Q874" i="2" s="1"/>
  <c r="J875" i="2"/>
  <c r="P875" i="2" s="1"/>
  <c r="Q875" i="2" s="1"/>
  <c r="J876" i="2"/>
  <c r="P876" i="2" s="1"/>
  <c r="Q876" i="2" s="1"/>
  <c r="J877" i="2"/>
  <c r="P877" i="2" s="1"/>
  <c r="Q877" i="2" s="1"/>
  <c r="J878" i="2"/>
  <c r="P878" i="2" s="1"/>
  <c r="Q878" i="2" s="1"/>
  <c r="J879" i="2"/>
  <c r="P879" i="2" s="1"/>
  <c r="Q879" i="2" s="1"/>
  <c r="J880" i="2"/>
  <c r="P880" i="2" s="1"/>
  <c r="Q880" i="2" s="1"/>
  <c r="J881" i="2"/>
  <c r="P881" i="2" s="1"/>
  <c r="Q881" i="2" s="1"/>
  <c r="J882" i="2"/>
  <c r="P882" i="2" s="1"/>
  <c r="Q882" i="2" s="1"/>
  <c r="J883" i="2"/>
  <c r="P883" i="2" s="1"/>
  <c r="Q883" i="2" s="1"/>
  <c r="J884" i="2"/>
  <c r="P884" i="2" s="1"/>
  <c r="Q884" i="2" s="1"/>
  <c r="J885" i="2"/>
  <c r="P885" i="2" s="1"/>
  <c r="Q885" i="2" s="1"/>
  <c r="J886" i="2"/>
  <c r="P886" i="2" s="1"/>
  <c r="Q886" i="2" s="1"/>
  <c r="J887" i="2"/>
  <c r="P887" i="2" s="1"/>
  <c r="Q887" i="2" s="1"/>
  <c r="J888" i="2"/>
  <c r="P888" i="2" s="1"/>
  <c r="Q888" i="2" s="1"/>
  <c r="J889" i="2"/>
  <c r="P889" i="2" s="1"/>
  <c r="Q889" i="2" s="1"/>
  <c r="J890" i="2"/>
  <c r="P890" i="2" s="1"/>
  <c r="Q890" i="2" s="1"/>
  <c r="J891" i="2"/>
  <c r="P891" i="2" s="1"/>
  <c r="Q891" i="2" s="1"/>
  <c r="J892" i="2"/>
  <c r="P892" i="2" s="1"/>
  <c r="Q892" i="2" s="1"/>
  <c r="J893" i="2"/>
  <c r="P893" i="2" s="1"/>
  <c r="Q893" i="2" s="1"/>
  <c r="J894" i="2"/>
  <c r="P894" i="2" s="1"/>
  <c r="Q894" i="2" s="1"/>
  <c r="J895" i="2"/>
  <c r="P895" i="2" s="1"/>
  <c r="Q895" i="2" s="1"/>
  <c r="J896" i="2"/>
  <c r="P896" i="2" s="1"/>
  <c r="Q896" i="2" s="1"/>
  <c r="J897" i="2"/>
  <c r="P897" i="2" s="1"/>
  <c r="Q897" i="2" s="1"/>
  <c r="J898" i="2"/>
  <c r="P898" i="2" s="1"/>
  <c r="Q898" i="2" s="1"/>
  <c r="J899" i="2"/>
  <c r="P899" i="2" s="1"/>
  <c r="Q899" i="2" s="1"/>
  <c r="J900" i="2"/>
  <c r="P900" i="2" s="1"/>
  <c r="Q900" i="2" s="1"/>
  <c r="J901" i="2"/>
  <c r="P901" i="2" s="1"/>
  <c r="Q901" i="2" s="1"/>
  <c r="J902" i="2"/>
  <c r="P902" i="2" s="1"/>
  <c r="Q902" i="2" s="1"/>
  <c r="J903" i="2"/>
  <c r="P903" i="2" s="1"/>
  <c r="Q903" i="2" s="1"/>
  <c r="J904" i="2"/>
  <c r="P904" i="2" s="1"/>
  <c r="Q904" i="2" s="1"/>
  <c r="J905" i="2"/>
  <c r="P905" i="2" s="1"/>
  <c r="Q905" i="2" s="1"/>
  <c r="J906" i="2"/>
  <c r="P906" i="2" s="1"/>
  <c r="Q906" i="2" s="1"/>
  <c r="J907" i="2"/>
  <c r="P907" i="2" s="1"/>
  <c r="Q907" i="2" s="1"/>
  <c r="J908" i="2"/>
  <c r="P908" i="2" s="1"/>
  <c r="Q908" i="2" s="1"/>
  <c r="J909" i="2"/>
  <c r="P909" i="2" s="1"/>
  <c r="Q909" i="2" s="1"/>
  <c r="J910" i="2"/>
  <c r="P910" i="2" s="1"/>
  <c r="Q910" i="2" s="1"/>
  <c r="J911" i="2"/>
  <c r="P911" i="2" s="1"/>
  <c r="Q911" i="2" s="1"/>
  <c r="J912" i="2"/>
  <c r="P912" i="2" s="1"/>
  <c r="Q912" i="2" s="1"/>
  <c r="J913" i="2"/>
  <c r="P913" i="2" s="1"/>
  <c r="Q913" i="2" s="1"/>
  <c r="J914" i="2"/>
  <c r="P914" i="2" s="1"/>
  <c r="Q914" i="2" s="1"/>
  <c r="J915" i="2"/>
  <c r="P915" i="2" s="1"/>
  <c r="Q915" i="2" s="1"/>
  <c r="J916" i="2"/>
  <c r="P916" i="2" s="1"/>
  <c r="Q916" i="2" s="1"/>
  <c r="J917" i="2"/>
  <c r="P917" i="2" s="1"/>
  <c r="Q917" i="2" s="1"/>
  <c r="J918" i="2"/>
  <c r="P918" i="2" s="1"/>
  <c r="Q918" i="2" s="1"/>
  <c r="J919" i="2"/>
  <c r="P919" i="2" s="1"/>
  <c r="Q919" i="2" s="1"/>
  <c r="J920" i="2"/>
  <c r="P920" i="2" s="1"/>
  <c r="Q920" i="2" s="1"/>
  <c r="J921" i="2"/>
  <c r="P921" i="2" s="1"/>
  <c r="Q921" i="2" s="1"/>
  <c r="J922" i="2"/>
  <c r="P922" i="2" s="1"/>
  <c r="Q922" i="2" s="1"/>
  <c r="J923" i="2"/>
  <c r="P923" i="2" s="1"/>
  <c r="Q923" i="2" s="1"/>
  <c r="J924" i="2"/>
  <c r="P924" i="2" s="1"/>
  <c r="Q924" i="2" s="1"/>
  <c r="J925" i="2"/>
  <c r="P925" i="2" s="1"/>
  <c r="Q925" i="2" s="1"/>
  <c r="J926" i="2"/>
  <c r="P926" i="2" s="1"/>
  <c r="Q926" i="2" s="1"/>
  <c r="J927" i="2"/>
  <c r="P927" i="2" s="1"/>
  <c r="Q927" i="2" s="1"/>
  <c r="J928" i="2"/>
  <c r="P928" i="2" s="1"/>
  <c r="Q928" i="2" s="1"/>
  <c r="J929" i="2"/>
  <c r="P929" i="2" s="1"/>
  <c r="Q929" i="2" s="1"/>
  <c r="J930" i="2"/>
  <c r="P930" i="2" s="1"/>
  <c r="Q930" i="2" s="1"/>
  <c r="J931" i="2"/>
  <c r="P931" i="2" s="1"/>
  <c r="Q931" i="2" s="1"/>
  <c r="J932" i="2"/>
  <c r="P932" i="2" s="1"/>
  <c r="Q932" i="2" s="1"/>
  <c r="J933" i="2"/>
  <c r="P933" i="2" s="1"/>
  <c r="Q933" i="2" s="1"/>
  <c r="J934" i="2"/>
  <c r="P934" i="2" s="1"/>
  <c r="Q934" i="2" s="1"/>
  <c r="J935" i="2"/>
  <c r="P935" i="2" s="1"/>
  <c r="Q935" i="2" s="1"/>
  <c r="J936" i="2"/>
  <c r="P936" i="2" s="1"/>
  <c r="Q936" i="2" s="1"/>
  <c r="J937" i="2"/>
  <c r="P937" i="2" s="1"/>
  <c r="Q937" i="2" s="1"/>
  <c r="J938" i="2"/>
  <c r="P938" i="2" s="1"/>
  <c r="Q938" i="2" s="1"/>
  <c r="J939" i="2"/>
  <c r="P939" i="2" s="1"/>
  <c r="Q939" i="2" s="1"/>
  <c r="J940" i="2"/>
  <c r="P940" i="2" s="1"/>
  <c r="Q940" i="2" s="1"/>
  <c r="J941" i="2"/>
  <c r="P941" i="2" s="1"/>
  <c r="Q941" i="2" s="1"/>
  <c r="J942" i="2"/>
  <c r="P942" i="2" s="1"/>
  <c r="Q942" i="2" s="1"/>
  <c r="J943" i="2"/>
  <c r="P943" i="2" s="1"/>
  <c r="Q943" i="2" s="1"/>
  <c r="J944" i="2"/>
  <c r="P944" i="2" s="1"/>
  <c r="Q944" i="2" s="1"/>
  <c r="J945" i="2"/>
  <c r="P945" i="2" s="1"/>
  <c r="Q945" i="2" s="1"/>
  <c r="J946" i="2"/>
  <c r="P946" i="2" s="1"/>
  <c r="Q946" i="2" s="1"/>
  <c r="J947" i="2"/>
  <c r="P947" i="2" s="1"/>
  <c r="Q947" i="2" s="1"/>
  <c r="J948" i="2"/>
  <c r="P948" i="2" s="1"/>
  <c r="Q948" i="2" s="1"/>
  <c r="J949" i="2"/>
  <c r="P949" i="2" s="1"/>
  <c r="Q949" i="2" s="1"/>
  <c r="J950" i="2"/>
  <c r="P950" i="2" s="1"/>
  <c r="Q950" i="2" s="1"/>
  <c r="J951" i="2"/>
  <c r="P951" i="2" s="1"/>
  <c r="Q951" i="2" s="1"/>
  <c r="J952" i="2"/>
  <c r="P952" i="2" s="1"/>
  <c r="Q952" i="2" s="1"/>
  <c r="J953" i="2"/>
  <c r="P953" i="2" s="1"/>
  <c r="Q953" i="2" s="1"/>
  <c r="J954" i="2"/>
  <c r="P954" i="2" s="1"/>
  <c r="Q954" i="2" s="1"/>
  <c r="J955" i="2"/>
  <c r="P955" i="2" s="1"/>
  <c r="Q955" i="2" s="1"/>
  <c r="J956" i="2"/>
  <c r="P956" i="2" s="1"/>
  <c r="Q956" i="2" s="1"/>
  <c r="J957" i="2"/>
  <c r="P957" i="2" s="1"/>
  <c r="Q957" i="2" s="1"/>
  <c r="J958" i="2"/>
  <c r="P958" i="2" s="1"/>
  <c r="Q958" i="2" s="1"/>
  <c r="J959" i="2"/>
  <c r="P959" i="2" s="1"/>
  <c r="Q959" i="2" s="1"/>
  <c r="J960" i="2"/>
  <c r="P960" i="2" s="1"/>
  <c r="Q960" i="2" s="1"/>
  <c r="J961" i="2"/>
  <c r="P961" i="2" s="1"/>
  <c r="Q961" i="2" s="1"/>
  <c r="J962" i="2"/>
  <c r="P962" i="2" s="1"/>
  <c r="Q962" i="2" s="1"/>
  <c r="J963" i="2"/>
  <c r="P963" i="2" s="1"/>
  <c r="Q963" i="2" s="1"/>
  <c r="J964" i="2"/>
  <c r="P964" i="2" s="1"/>
  <c r="Q964" i="2" s="1"/>
  <c r="J965" i="2"/>
  <c r="P965" i="2" s="1"/>
  <c r="Q965" i="2" s="1"/>
  <c r="J966" i="2"/>
  <c r="P966" i="2" s="1"/>
  <c r="Q966" i="2" s="1"/>
  <c r="J967" i="2"/>
  <c r="P967" i="2" s="1"/>
  <c r="Q967" i="2" s="1"/>
  <c r="J968" i="2"/>
  <c r="P968" i="2" s="1"/>
  <c r="Q968" i="2" s="1"/>
  <c r="J969" i="2"/>
  <c r="P969" i="2" s="1"/>
  <c r="Q969" i="2" s="1"/>
  <c r="J970" i="2"/>
  <c r="P970" i="2" s="1"/>
  <c r="Q970" i="2" s="1"/>
  <c r="J971" i="2"/>
  <c r="P971" i="2" s="1"/>
  <c r="Q971" i="2" s="1"/>
  <c r="J972" i="2"/>
  <c r="P972" i="2" s="1"/>
  <c r="Q972" i="2" s="1"/>
  <c r="J973" i="2"/>
  <c r="P973" i="2" s="1"/>
  <c r="Q973" i="2" s="1"/>
  <c r="J974" i="2"/>
  <c r="P974" i="2" s="1"/>
  <c r="Q974" i="2" s="1"/>
  <c r="J975" i="2"/>
  <c r="P975" i="2" s="1"/>
  <c r="Q975" i="2" s="1"/>
  <c r="J976" i="2"/>
  <c r="P976" i="2" s="1"/>
  <c r="Q976" i="2" s="1"/>
  <c r="J977" i="2"/>
  <c r="P977" i="2" s="1"/>
  <c r="Q977" i="2" s="1"/>
  <c r="J978" i="2"/>
  <c r="P978" i="2" s="1"/>
  <c r="Q978" i="2" s="1"/>
  <c r="J979" i="2"/>
  <c r="P979" i="2" s="1"/>
  <c r="Q979" i="2" s="1"/>
  <c r="J980" i="2"/>
  <c r="P980" i="2" s="1"/>
  <c r="Q980" i="2" s="1"/>
  <c r="J981" i="2"/>
  <c r="P981" i="2" s="1"/>
  <c r="Q981" i="2" s="1"/>
  <c r="J982" i="2"/>
  <c r="P982" i="2" s="1"/>
  <c r="Q982" i="2" s="1"/>
  <c r="J983" i="2"/>
  <c r="P983" i="2" s="1"/>
  <c r="Q983" i="2" s="1"/>
  <c r="J984" i="2"/>
  <c r="P984" i="2" s="1"/>
  <c r="Q984" i="2" s="1"/>
  <c r="J985" i="2"/>
  <c r="P985" i="2" s="1"/>
  <c r="Q985" i="2" s="1"/>
  <c r="J986" i="2"/>
  <c r="P986" i="2" s="1"/>
  <c r="Q986" i="2" s="1"/>
  <c r="J987" i="2"/>
  <c r="P987" i="2" s="1"/>
  <c r="Q987" i="2" s="1"/>
  <c r="J988" i="2"/>
  <c r="P988" i="2" s="1"/>
  <c r="Q988" i="2" s="1"/>
  <c r="J989" i="2"/>
  <c r="P989" i="2" s="1"/>
  <c r="Q989" i="2" s="1"/>
  <c r="J990" i="2"/>
  <c r="P990" i="2" s="1"/>
  <c r="Q990" i="2" s="1"/>
  <c r="J991" i="2"/>
  <c r="P991" i="2" s="1"/>
  <c r="Q991" i="2" s="1"/>
  <c r="J992" i="2"/>
  <c r="P992" i="2" s="1"/>
  <c r="Q992" i="2" s="1"/>
  <c r="J993" i="2"/>
  <c r="P993" i="2" s="1"/>
  <c r="Q993" i="2" s="1"/>
  <c r="J994" i="2"/>
  <c r="P994" i="2" s="1"/>
  <c r="Q994" i="2" s="1"/>
  <c r="J995" i="2"/>
  <c r="P995" i="2" s="1"/>
  <c r="Q995" i="2" s="1"/>
  <c r="J996" i="2"/>
  <c r="P996" i="2" s="1"/>
  <c r="Q996" i="2" s="1"/>
  <c r="J997" i="2"/>
  <c r="P997" i="2" s="1"/>
  <c r="Q997" i="2" s="1"/>
  <c r="J998" i="2"/>
  <c r="P998" i="2" s="1"/>
  <c r="Q998" i="2" s="1"/>
  <c r="J999" i="2"/>
  <c r="P999" i="2" s="1"/>
  <c r="Q999" i="2" s="1"/>
  <c r="J1000" i="2"/>
  <c r="P1000" i="2" s="1"/>
  <c r="Q1000" i="2" s="1"/>
  <c r="J1001" i="2"/>
  <c r="P1001" i="2" s="1"/>
  <c r="Q1001" i="2" s="1"/>
  <c r="J1002" i="2"/>
  <c r="P1002" i="2" s="1"/>
  <c r="Q1002" i="2" s="1"/>
  <c r="J1003" i="2"/>
  <c r="P1003" i="2" s="1"/>
  <c r="Q1003" i="2" s="1"/>
  <c r="J1004" i="2"/>
  <c r="P1004" i="2" s="1"/>
  <c r="Q1004" i="2" s="1"/>
  <c r="J1005" i="2"/>
  <c r="P1005" i="2" s="1"/>
  <c r="Q1005" i="2" s="1"/>
  <c r="J1006" i="2"/>
  <c r="P1006" i="2" s="1"/>
  <c r="Q1006" i="2" s="1"/>
  <c r="J1007" i="2"/>
  <c r="P1007" i="2" s="1"/>
  <c r="Q1007" i="2" s="1"/>
  <c r="J1008" i="2"/>
  <c r="P1008" i="2" s="1"/>
  <c r="Q1008" i="2" s="1"/>
  <c r="J1009" i="2"/>
  <c r="P1009" i="2" s="1"/>
  <c r="Q1009" i="2" s="1"/>
  <c r="J1010" i="2"/>
  <c r="P1010" i="2" s="1"/>
  <c r="Q1010" i="2" s="1"/>
  <c r="J1011" i="2"/>
  <c r="P1011" i="2" s="1"/>
  <c r="Q1011" i="2" s="1"/>
  <c r="J1012" i="2"/>
  <c r="P1012" i="2" s="1"/>
  <c r="Q1012" i="2" s="1"/>
  <c r="J1013" i="2"/>
  <c r="P1013" i="2" s="1"/>
  <c r="Q1013" i="2" s="1"/>
  <c r="J1014" i="2"/>
  <c r="P1014" i="2" s="1"/>
  <c r="Q1014" i="2" s="1"/>
  <c r="J1015" i="2"/>
  <c r="P1015" i="2" s="1"/>
  <c r="Q1015" i="2" s="1"/>
  <c r="J1016" i="2"/>
  <c r="P1016" i="2" s="1"/>
  <c r="Q1016" i="2" s="1"/>
  <c r="J1017" i="2"/>
  <c r="P1017" i="2" s="1"/>
  <c r="Q1017" i="2" s="1"/>
  <c r="J1018" i="2"/>
  <c r="P1018" i="2" s="1"/>
  <c r="Q1018" i="2" s="1"/>
  <c r="J1019" i="2"/>
  <c r="P1019" i="2" s="1"/>
  <c r="Q1019" i="2" s="1"/>
  <c r="J1020" i="2"/>
  <c r="P1020" i="2" s="1"/>
  <c r="Q1020" i="2" s="1"/>
  <c r="J1021" i="2"/>
  <c r="P1021" i="2" s="1"/>
  <c r="Q1021" i="2" s="1"/>
  <c r="J1022" i="2"/>
  <c r="P1022" i="2" s="1"/>
  <c r="Q1022" i="2" s="1"/>
  <c r="J1023" i="2"/>
  <c r="P1023" i="2" s="1"/>
  <c r="Q1023" i="2" s="1"/>
  <c r="J1024" i="2"/>
  <c r="P1024" i="2" s="1"/>
  <c r="Q1024" i="2" s="1"/>
  <c r="J1025" i="2"/>
  <c r="P1025" i="2" s="1"/>
  <c r="Q1025" i="2" s="1"/>
  <c r="J1026" i="2"/>
  <c r="P1026" i="2" s="1"/>
  <c r="Q1026" i="2" s="1"/>
  <c r="J1027" i="2"/>
  <c r="P1027" i="2" s="1"/>
  <c r="Q1027" i="2" s="1"/>
  <c r="J1028" i="2"/>
  <c r="P1028" i="2" s="1"/>
  <c r="Q1028" i="2" s="1"/>
  <c r="J1029" i="2"/>
  <c r="P1029" i="2" s="1"/>
  <c r="Q1029" i="2" s="1"/>
  <c r="J1030" i="2"/>
  <c r="P1030" i="2" s="1"/>
  <c r="Q1030" i="2" s="1"/>
  <c r="J1031" i="2"/>
  <c r="P1031" i="2" s="1"/>
  <c r="Q1031" i="2" s="1"/>
  <c r="J1032" i="2"/>
  <c r="P1032" i="2" s="1"/>
  <c r="Q1032" i="2" s="1"/>
  <c r="J1033" i="2"/>
  <c r="P1033" i="2" s="1"/>
  <c r="Q1033" i="2" s="1"/>
  <c r="J1034" i="2"/>
  <c r="P1034" i="2" s="1"/>
  <c r="Q1034" i="2" s="1"/>
  <c r="J1035" i="2"/>
  <c r="P1035" i="2" s="1"/>
  <c r="Q1035" i="2" s="1"/>
  <c r="J1036" i="2"/>
  <c r="P1036" i="2" s="1"/>
  <c r="Q1036" i="2" s="1"/>
  <c r="J1037" i="2"/>
  <c r="P1037" i="2" s="1"/>
  <c r="Q1037" i="2" s="1"/>
  <c r="J1038" i="2"/>
  <c r="P1038" i="2" s="1"/>
  <c r="Q1038" i="2" s="1"/>
  <c r="J1039" i="2"/>
  <c r="P1039" i="2" s="1"/>
  <c r="Q1039" i="2" s="1"/>
  <c r="J1040" i="2"/>
  <c r="P1040" i="2" s="1"/>
  <c r="Q1040" i="2" s="1"/>
  <c r="J1041" i="2"/>
  <c r="P1041" i="2" s="1"/>
  <c r="Q1041" i="2" s="1"/>
  <c r="J1042" i="2"/>
  <c r="P1042" i="2" s="1"/>
  <c r="Q1042" i="2" s="1"/>
  <c r="J1043" i="2"/>
  <c r="P1043" i="2" s="1"/>
  <c r="Q1043" i="2" s="1"/>
  <c r="J1044" i="2"/>
  <c r="P1044" i="2" s="1"/>
  <c r="Q1044" i="2" s="1"/>
  <c r="J1045" i="2"/>
  <c r="P1045" i="2" s="1"/>
  <c r="Q1045" i="2" s="1"/>
  <c r="J1046" i="2"/>
  <c r="P1046" i="2" s="1"/>
  <c r="Q1046" i="2" s="1"/>
  <c r="J1047" i="2"/>
  <c r="P1047" i="2" s="1"/>
  <c r="Q1047" i="2" s="1"/>
  <c r="J1048" i="2"/>
  <c r="P1048" i="2" s="1"/>
  <c r="Q1048" i="2" s="1"/>
  <c r="J1049" i="2"/>
  <c r="P1049" i="2" s="1"/>
  <c r="Q1049" i="2" s="1"/>
  <c r="J1050" i="2"/>
  <c r="P1050" i="2" s="1"/>
  <c r="Q1050" i="2" s="1"/>
  <c r="J1051" i="2"/>
  <c r="P1051" i="2" s="1"/>
  <c r="Q1051" i="2" s="1"/>
  <c r="J1052" i="2"/>
  <c r="P1052" i="2" s="1"/>
  <c r="Q1052" i="2" s="1"/>
  <c r="J1053" i="2"/>
  <c r="P1053" i="2" s="1"/>
  <c r="Q1053" i="2" s="1"/>
  <c r="J1054" i="2"/>
  <c r="P1054" i="2" s="1"/>
  <c r="Q1054" i="2" s="1"/>
  <c r="J1055" i="2"/>
  <c r="P1055" i="2" s="1"/>
  <c r="Q1055" i="2" s="1"/>
  <c r="J1056" i="2"/>
  <c r="P1056" i="2" s="1"/>
  <c r="Q1056" i="2" s="1"/>
  <c r="J1057" i="2"/>
  <c r="P1057" i="2" s="1"/>
  <c r="Q1057" i="2" s="1"/>
  <c r="J1058" i="2"/>
  <c r="P1058" i="2" s="1"/>
  <c r="Q1058" i="2" s="1"/>
  <c r="J1059" i="2"/>
  <c r="P1059" i="2" s="1"/>
  <c r="Q1059" i="2" s="1"/>
  <c r="J1060" i="2"/>
  <c r="P1060" i="2" s="1"/>
  <c r="Q1060" i="2" s="1"/>
  <c r="J1061" i="2"/>
  <c r="P1061" i="2" s="1"/>
  <c r="Q1061" i="2" s="1"/>
  <c r="J1062" i="2"/>
  <c r="P1062" i="2" s="1"/>
  <c r="Q1062" i="2" s="1"/>
  <c r="J1063" i="2"/>
  <c r="P1063" i="2" s="1"/>
  <c r="Q1063" i="2" s="1"/>
  <c r="J1064" i="2"/>
  <c r="P1064" i="2" s="1"/>
  <c r="Q1064" i="2" s="1"/>
  <c r="J1065" i="2"/>
  <c r="P1065" i="2" s="1"/>
  <c r="Q1065" i="2" s="1"/>
  <c r="J1066" i="2"/>
  <c r="P1066" i="2" s="1"/>
  <c r="Q1066" i="2" s="1"/>
  <c r="J1067" i="2"/>
  <c r="P1067" i="2" s="1"/>
  <c r="Q1067" i="2" s="1"/>
  <c r="J1068" i="2"/>
  <c r="P1068" i="2" s="1"/>
  <c r="Q1068" i="2" s="1"/>
  <c r="J1069" i="2"/>
  <c r="P1069" i="2" s="1"/>
  <c r="Q1069" i="2" s="1"/>
  <c r="J1070" i="2"/>
  <c r="P1070" i="2" s="1"/>
  <c r="Q1070" i="2" s="1"/>
  <c r="J1071" i="2"/>
  <c r="P1071" i="2" s="1"/>
  <c r="Q1071" i="2" s="1"/>
  <c r="J1072" i="2"/>
  <c r="P1072" i="2" s="1"/>
  <c r="Q1072" i="2" s="1"/>
  <c r="J1073" i="2"/>
  <c r="P1073" i="2" s="1"/>
  <c r="Q1073" i="2" s="1"/>
  <c r="J1074" i="2"/>
  <c r="P1074" i="2" s="1"/>
  <c r="Q1074" i="2" s="1"/>
  <c r="J1075" i="2"/>
  <c r="P1075" i="2" s="1"/>
  <c r="Q1075" i="2" s="1"/>
  <c r="J1076" i="2"/>
  <c r="P1076" i="2" s="1"/>
  <c r="Q1076" i="2" s="1"/>
  <c r="J1077" i="2"/>
  <c r="P1077" i="2" s="1"/>
  <c r="Q1077" i="2" s="1"/>
  <c r="J1078" i="2"/>
  <c r="P1078" i="2" s="1"/>
  <c r="Q1078" i="2" s="1"/>
  <c r="J1079" i="2"/>
  <c r="P1079" i="2" s="1"/>
  <c r="Q1079" i="2" s="1"/>
  <c r="J1080" i="2"/>
  <c r="P1080" i="2" s="1"/>
  <c r="Q1080" i="2" s="1"/>
  <c r="J1081" i="2"/>
  <c r="P1081" i="2" s="1"/>
  <c r="Q1081" i="2" s="1"/>
  <c r="J1082" i="2"/>
  <c r="P1082" i="2" s="1"/>
  <c r="Q1082" i="2" s="1"/>
  <c r="J1083" i="2"/>
  <c r="P1083" i="2" s="1"/>
  <c r="Q1083" i="2" s="1"/>
  <c r="J1084" i="2"/>
  <c r="P1084" i="2" s="1"/>
  <c r="Q1084" i="2" s="1"/>
  <c r="J1085" i="2"/>
  <c r="P1085" i="2" s="1"/>
  <c r="Q1085" i="2" s="1"/>
  <c r="J1086" i="2"/>
  <c r="P1086" i="2" s="1"/>
  <c r="Q1086" i="2" s="1"/>
  <c r="J1087" i="2"/>
  <c r="P1087" i="2" s="1"/>
  <c r="Q1087" i="2" s="1"/>
  <c r="J1088" i="2"/>
  <c r="P1088" i="2" s="1"/>
  <c r="Q1088" i="2" s="1"/>
  <c r="J1089" i="2"/>
  <c r="P1089" i="2" s="1"/>
  <c r="Q1089" i="2" s="1"/>
  <c r="J1090" i="2"/>
  <c r="P1090" i="2" s="1"/>
  <c r="Q1090" i="2" s="1"/>
  <c r="J1091" i="2"/>
  <c r="P1091" i="2" s="1"/>
  <c r="Q1091" i="2" s="1"/>
  <c r="J1092" i="2"/>
  <c r="P1092" i="2" s="1"/>
  <c r="Q1092" i="2" s="1"/>
  <c r="J1093" i="2"/>
  <c r="P1093" i="2" s="1"/>
  <c r="Q1093" i="2" s="1"/>
  <c r="J1094" i="2"/>
  <c r="P1094" i="2" s="1"/>
  <c r="Q1094" i="2" s="1"/>
  <c r="J1095" i="2"/>
  <c r="P1095" i="2" s="1"/>
  <c r="Q1095" i="2" s="1"/>
  <c r="J1096" i="2"/>
  <c r="P1096" i="2" s="1"/>
  <c r="Q1096" i="2" s="1"/>
  <c r="J1097" i="2"/>
  <c r="P1097" i="2" s="1"/>
  <c r="Q1097" i="2" s="1"/>
  <c r="J1098" i="2"/>
  <c r="P1098" i="2" s="1"/>
  <c r="Q1098" i="2" s="1"/>
  <c r="J1099" i="2"/>
  <c r="P1099" i="2" s="1"/>
  <c r="Q1099" i="2" s="1"/>
  <c r="J1100" i="2"/>
  <c r="P1100" i="2" s="1"/>
  <c r="Q1100" i="2" s="1"/>
  <c r="J1101" i="2"/>
  <c r="P1101" i="2" s="1"/>
  <c r="Q1101" i="2" s="1"/>
  <c r="J1102" i="2"/>
  <c r="P1102" i="2" s="1"/>
  <c r="Q1102" i="2" s="1"/>
  <c r="J1103" i="2"/>
  <c r="P1103" i="2" s="1"/>
  <c r="Q1103" i="2" s="1"/>
  <c r="J1104" i="2"/>
  <c r="P1104" i="2" s="1"/>
  <c r="Q1104" i="2" s="1"/>
  <c r="J1105" i="2"/>
  <c r="P1105" i="2" s="1"/>
  <c r="Q1105" i="2" s="1"/>
  <c r="J1106" i="2"/>
  <c r="P1106" i="2" s="1"/>
  <c r="Q1106" i="2" s="1"/>
  <c r="J1107" i="2"/>
  <c r="P1107" i="2" s="1"/>
  <c r="Q1107" i="2" s="1"/>
  <c r="J1108" i="2"/>
  <c r="P1108" i="2" s="1"/>
  <c r="Q1108" i="2" s="1"/>
  <c r="J1109" i="2"/>
  <c r="P1109" i="2" s="1"/>
  <c r="Q1109" i="2" s="1"/>
  <c r="J1110" i="2"/>
  <c r="P1110" i="2" s="1"/>
  <c r="Q1110" i="2" s="1"/>
  <c r="J1111" i="2"/>
  <c r="P1111" i="2" s="1"/>
  <c r="Q1111" i="2" s="1"/>
  <c r="J1112" i="2"/>
  <c r="P1112" i="2" s="1"/>
  <c r="Q1112" i="2" s="1"/>
  <c r="J1113" i="2"/>
  <c r="P1113" i="2" s="1"/>
  <c r="Q1113" i="2" s="1"/>
  <c r="J1114" i="2"/>
  <c r="P1114" i="2" s="1"/>
  <c r="Q1114" i="2" s="1"/>
  <c r="J1115" i="2"/>
  <c r="P1115" i="2" s="1"/>
  <c r="Q1115" i="2" s="1"/>
  <c r="J1116" i="2"/>
  <c r="P1116" i="2" s="1"/>
  <c r="Q1116" i="2" s="1"/>
  <c r="J1117" i="2"/>
  <c r="P1117" i="2" s="1"/>
  <c r="Q1117" i="2" s="1"/>
  <c r="J1118" i="2"/>
  <c r="P1118" i="2" s="1"/>
  <c r="Q1118" i="2" s="1"/>
  <c r="J1119" i="2"/>
  <c r="P1119" i="2" s="1"/>
  <c r="Q1119" i="2" s="1"/>
  <c r="J1120" i="2"/>
  <c r="P1120" i="2" s="1"/>
  <c r="Q1120" i="2" s="1"/>
  <c r="J1121" i="2"/>
  <c r="P1121" i="2" s="1"/>
  <c r="Q1121" i="2" s="1"/>
  <c r="J1122" i="2"/>
  <c r="P1122" i="2" s="1"/>
  <c r="Q1122" i="2" s="1"/>
  <c r="J1123" i="2"/>
  <c r="P1123" i="2" s="1"/>
  <c r="Q1123" i="2" s="1"/>
  <c r="J1124" i="2"/>
  <c r="P1124" i="2" s="1"/>
  <c r="Q1124" i="2" s="1"/>
  <c r="J1125" i="2"/>
  <c r="P1125" i="2" s="1"/>
  <c r="Q1125" i="2" s="1"/>
  <c r="J1126" i="2"/>
  <c r="P1126" i="2" s="1"/>
  <c r="Q1126" i="2" s="1"/>
  <c r="J1127" i="2"/>
  <c r="P1127" i="2" s="1"/>
  <c r="Q1127" i="2" s="1"/>
  <c r="J1128" i="2"/>
  <c r="P1128" i="2" s="1"/>
  <c r="Q1128" i="2" s="1"/>
  <c r="J1129" i="2"/>
  <c r="P1129" i="2" s="1"/>
  <c r="Q1129" i="2" s="1"/>
  <c r="J1130" i="2"/>
  <c r="P1130" i="2" s="1"/>
  <c r="Q1130" i="2" s="1"/>
  <c r="J1131" i="2"/>
  <c r="P1131" i="2" s="1"/>
  <c r="Q1131" i="2" s="1"/>
  <c r="J1132" i="2"/>
  <c r="P1132" i="2" s="1"/>
  <c r="Q1132" i="2" s="1"/>
  <c r="J1133" i="2"/>
  <c r="P1133" i="2" s="1"/>
  <c r="Q1133" i="2" s="1"/>
  <c r="J1134" i="2"/>
  <c r="P1134" i="2" s="1"/>
  <c r="Q1134" i="2" s="1"/>
  <c r="J1135" i="2"/>
  <c r="P1135" i="2" s="1"/>
  <c r="Q1135" i="2" s="1"/>
  <c r="J1136" i="2"/>
  <c r="P1136" i="2" s="1"/>
  <c r="Q1136" i="2" s="1"/>
  <c r="J1137" i="2"/>
  <c r="P1137" i="2" s="1"/>
  <c r="Q1137" i="2" s="1"/>
  <c r="J1138" i="2"/>
  <c r="P1138" i="2" s="1"/>
  <c r="Q1138" i="2" s="1"/>
  <c r="J1139" i="2"/>
  <c r="P1139" i="2" s="1"/>
  <c r="Q1139" i="2" s="1"/>
  <c r="J1140" i="2"/>
  <c r="P1140" i="2" s="1"/>
  <c r="Q1140" i="2" s="1"/>
  <c r="J1141" i="2"/>
  <c r="P1141" i="2" s="1"/>
  <c r="Q1141" i="2" s="1"/>
  <c r="J1142" i="2"/>
  <c r="P1142" i="2" s="1"/>
  <c r="Q1142" i="2" s="1"/>
  <c r="J1143" i="2"/>
  <c r="P1143" i="2" s="1"/>
  <c r="Q1143" i="2" s="1"/>
  <c r="J1144" i="2"/>
  <c r="P1144" i="2" s="1"/>
  <c r="Q1144" i="2" s="1"/>
  <c r="J1145" i="2"/>
  <c r="P1145" i="2" s="1"/>
  <c r="Q1145" i="2" s="1"/>
  <c r="J1146" i="2"/>
  <c r="P1146" i="2" s="1"/>
  <c r="Q1146" i="2" s="1"/>
  <c r="J1147" i="2"/>
  <c r="P1147" i="2" s="1"/>
  <c r="Q1147" i="2" s="1"/>
  <c r="J1148" i="2"/>
  <c r="P1148" i="2" s="1"/>
  <c r="Q1148" i="2" s="1"/>
  <c r="J1149" i="2"/>
  <c r="P1149" i="2" s="1"/>
  <c r="Q1149" i="2" s="1"/>
  <c r="J1150" i="2"/>
  <c r="P1150" i="2" s="1"/>
  <c r="Q1150" i="2" s="1"/>
  <c r="J1151" i="2"/>
  <c r="P1151" i="2" s="1"/>
  <c r="Q1151" i="2" s="1"/>
  <c r="J1152" i="2"/>
  <c r="P1152" i="2" s="1"/>
  <c r="Q1152" i="2" s="1"/>
  <c r="J1153" i="2"/>
  <c r="P1153" i="2" s="1"/>
  <c r="Q1153" i="2" s="1"/>
  <c r="J1154" i="2"/>
  <c r="P1154" i="2" s="1"/>
  <c r="Q1154" i="2" s="1"/>
  <c r="J1155" i="2"/>
  <c r="P1155" i="2" s="1"/>
  <c r="Q1155" i="2" s="1"/>
  <c r="J1156" i="2"/>
  <c r="P1156" i="2" s="1"/>
  <c r="Q1156" i="2" s="1"/>
  <c r="J1157" i="2"/>
  <c r="P1157" i="2" s="1"/>
  <c r="Q1157" i="2" s="1"/>
  <c r="J1158" i="2"/>
  <c r="P1158" i="2" s="1"/>
  <c r="Q1158" i="2" s="1"/>
  <c r="J1159" i="2"/>
  <c r="P1159" i="2" s="1"/>
  <c r="Q1159" i="2" s="1"/>
  <c r="J1160" i="2"/>
  <c r="P1160" i="2" s="1"/>
  <c r="Q1160" i="2" s="1"/>
  <c r="J1161" i="2"/>
  <c r="P1161" i="2" s="1"/>
  <c r="Q1161" i="2" s="1"/>
  <c r="J1162" i="2"/>
  <c r="P1162" i="2" s="1"/>
  <c r="Q1162" i="2" s="1"/>
  <c r="J1163" i="2"/>
  <c r="P1163" i="2" s="1"/>
  <c r="Q1163" i="2" s="1"/>
  <c r="J1164" i="2"/>
  <c r="P1164" i="2" s="1"/>
  <c r="Q1164" i="2" s="1"/>
  <c r="J1165" i="2"/>
  <c r="P1165" i="2" s="1"/>
  <c r="Q1165" i="2" s="1"/>
  <c r="J1166" i="2"/>
  <c r="P1166" i="2" s="1"/>
  <c r="Q1166" i="2" s="1"/>
  <c r="J1167" i="2"/>
  <c r="P1167" i="2" s="1"/>
  <c r="Q1167" i="2" s="1"/>
  <c r="J1168" i="2"/>
  <c r="P1168" i="2" s="1"/>
  <c r="Q1168" i="2" s="1"/>
  <c r="J1169" i="2"/>
  <c r="P1169" i="2" s="1"/>
  <c r="Q1169" i="2" s="1"/>
  <c r="J1170" i="2"/>
  <c r="P1170" i="2" s="1"/>
  <c r="Q1170" i="2" s="1"/>
  <c r="J1171" i="2"/>
  <c r="P1171" i="2" s="1"/>
  <c r="Q1171" i="2" s="1"/>
  <c r="J1172" i="2"/>
  <c r="P1172" i="2" s="1"/>
  <c r="Q1172" i="2" s="1"/>
  <c r="J1173" i="2"/>
  <c r="P1173" i="2" s="1"/>
  <c r="Q1173" i="2" s="1"/>
  <c r="J1174" i="2"/>
  <c r="P1174" i="2" s="1"/>
  <c r="Q1174" i="2" s="1"/>
  <c r="J1175" i="2"/>
  <c r="P1175" i="2" s="1"/>
  <c r="Q1175" i="2" s="1"/>
  <c r="J1176" i="2"/>
  <c r="P1176" i="2" s="1"/>
  <c r="Q1176" i="2" s="1"/>
  <c r="J1177" i="2"/>
  <c r="P1177" i="2" s="1"/>
  <c r="Q1177" i="2" s="1"/>
  <c r="J1178" i="2"/>
  <c r="P1178" i="2" s="1"/>
  <c r="Q1178" i="2" s="1"/>
  <c r="J1179" i="2"/>
  <c r="P1179" i="2" s="1"/>
  <c r="Q1179" i="2" s="1"/>
  <c r="J1180" i="2"/>
  <c r="P1180" i="2" s="1"/>
  <c r="Q1180" i="2" s="1"/>
  <c r="J1181" i="2"/>
  <c r="P1181" i="2" s="1"/>
  <c r="Q1181" i="2" s="1"/>
  <c r="J1182" i="2"/>
  <c r="P1182" i="2" s="1"/>
  <c r="Q1182" i="2" s="1"/>
  <c r="J1183" i="2"/>
  <c r="P1183" i="2" s="1"/>
  <c r="Q1183" i="2" s="1"/>
  <c r="J1184" i="2"/>
  <c r="P1184" i="2" s="1"/>
  <c r="Q1184" i="2" s="1"/>
  <c r="J1185" i="2"/>
  <c r="P1185" i="2" s="1"/>
  <c r="Q1185" i="2" s="1"/>
  <c r="J1186" i="2"/>
  <c r="P1186" i="2" s="1"/>
  <c r="Q1186" i="2" s="1"/>
  <c r="J1187" i="2"/>
  <c r="P1187" i="2" s="1"/>
  <c r="Q1187" i="2" s="1"/>
  <c r="J1188" i="2"/>
  <c r="P1188" i="2" s="1"/>
  <c r="Q1188" i="2" s="1"/>
  <c r="J1189" i="2"/>
  <c r="P1189" i="2" s="1"/>
  <c r="Q1189" i="2" s="1"/>
  <c r="J1190" i="2"/>
  <c r="P1190" i="2" s="1"/>
  <c r="Q1190" i="2" s="1"/>
  <c r="J1191" i="2"/>
  <c r="P1191" i="2" s="1"/>
  <c r="Q1191" i="2" s="1"/>
  <c r="J1192" i="2"/>
  <c r="P1192" i="2" s="1"/>
  <c r="Q1192" i="2" s="1"/>
  <c r="J1193" i="2"/>
  <c r="P1193" i="2" s="1"/>
  <c r="Q1193" i="2" s="1"/>
  <c r="J1194" i="2"/>
  <c r="P1194" i="2" s="1"/>
  <c r="Q1194" i="2" s="1"/>
  <c r="J1195" i="2"/>
  <c r="P1195" i="2" s="1"/>
  <c r="Q1195" i="2" s="1"/>
  <c r="J1196" i="2"/>
  <c r="P1196" i="2" s="1"/>
  <c r="Q1196" i="2" s="1"/>
  <c r="J1197" i="2"/>
  <c r="P1197" i="2" s="1"/>
  <c r="Q1197" i="2" s="1"/>
  <c r="J1198" i="2"/>
  <c r="P1198" i="2" s="1"/>
  <c r="Q1198" i="2" s="1"/>
  <c r="J1199" i="2"/>
  <c r="P1199" i="2" s="1"/>
  <c r="Q1199" i="2" s="1"/>
  <c r="J1200" i="2"/>
  <c r="P1200" i="2" s="1"/>
  <c r="Q1200" i="2" s="1"/>
  <c r="J1201" i="2"/>
  <c r="P1201" i="2" s="1"/>
  <c r="Q1201" i="2" s="1"/>
  <c r="J1202" i="2"/>
  <c r="P1202" i="2" s="1"/>
  <c r="Q1202" i="2" s="1"/>
  <c r="J1203" i="2"/>
  <c r="P1203" i="2" s="1"/>
  <c r="Q1203" i="2" s="1"/>
  <c r="J1204" i="2"/>
  <c r="P1204" i="2" s="1"/>
  <c r="Q1204" i="2" s="1"/>
  <c r="J1205" i="2"/>
  <c r="P1205" i="2" s="1"/>
  <c r="Q1205" i="2" s="1"/>
  <c r="J1206" i="2"/>
  <c r="P1206" i="2" s="1"/>
  <c r="Q1206" i="2" s="1"/>
  <c r="J1207" i="2"/>
  <c r="P1207" i="2" s="1"/>
  <c r="Q1207" i="2" s="1"/>
  <c r="J1208" i="2"/>
  <c r="P1208" i="2" s="1"/>
  <c r="Q1208" i="2" s="1"/>
  <c r="J1209" i="2"/>
  <c r="P1209" i="2" s="1"/>
  <c r="Q1209" i="2" s="1"/>
  <c r="J1210" i="2"/>
  <c r="P1210" i="2" s="1"/>
  <c r="Q1210" i="2" s="1"/>
  <c r="J1211" i="2"/>
  <c r="P1211" i="2" s="1"/>
  <c r="Q1211" i="2" s="1"/>
  <c r="J1212" i="2"/>
  <c r="P1212" i="2" s="1"/>
  <c r="Q1212" i="2" s="1"/>
  <c r="J1213" i="2"/>
  <c r="P1213" i="2" s="1"/>
  <c r="Q1213" i="2" s="1"/>
  <c r="J1214" i="2"/>
  <c r="P1214" i="2" s="1"/>
  <c r="Q1214" i="2" s="1"/>
  <c r="J1215" i="2"/>
  <c r="P1215" i="2" s="1"/>
  <c r="Q1215" i="2" s="1"/>
  <c r="J1216" i="2"/>
  <c r="P1216" i="2" s="1"/>
  <c r="Q1216" i="2" s="1"/>
  <c r="J1217" i="2"/>
  <c r="P1217" i="2" s="1"/>
  <c r="Q1217" i="2" s="1"/>
  <c r="J1218" i="2"/>
  <c r="P1218" i="2" s="1"/>
  <c r="Q1218" i="2" s="1"/>
  <c r="J1219" i="2"/>
  <c r="P1219" i="2" s="1"/>
  <c r="Q1219" i="2" s="1"/>
  <c r="J1220" i="2"/>
  <c r="P1220" i="2" s="1"/>
  <c r="Q1220" i="2" s="1"/>
  <c r="J1221" i="2"/>
  <c r="P1221" i="2" s="1"/>
  <c r="Q1221" i="2" s="1"/>
  <c r="J1222" i="2"/>
  <c r="P1222" i="2" s="1"/>
  <c r="Q1222" i="2" s="1"/>
  <c r="J1223" i="2"/>
  <c r="P1223" i="2" s="1"/>
  <c r="Q1223" i="2" s="1"/>
  <c r="J1224" i="2"/>
  <c r="P1224" i="2" s="1"/>
  <c r="Q1224" i="2" s="1"/>
  <c r="J1225" i="2"/>
  <c r="P1225" i="2" s="1"/>
  <c r="Q1225" i="2" s="1"/>
  <c r="J1226" i="2"/>
  <c r="P1226" i="2" s="1"/>
  <c r="Q1226" i="2" s="1"/>
  <c r="J1227" i="2"/>
  <c r="P1227" i="2" s="1"/>
  <c r="Q1227" i="2" s="1"/>
  <c r="J1228" i="2"/>
  <c r="P1228" i="2" s="1"/>
  <c r="Q1228" i="2" s="1"/>
  <c r="J1229" i="2"/>
  <c r="P1229" i="2" s="1"/>
  <c r="Q1229" i="2" s="1"/>
  <c r="J1230" i="2"/>
  <c r="P1230" i="2" s="1"/>
  <c r="Q1230" i="2" s="1"/>
  <c r="J1231" i="2"/>
  <c r="P1231" i="2" s="1"/>
  <c r="Q1231" i="2" s="1"/>
  <c r="J1232" i="2"/>
  <c r="P1232" i="2" s="1"/>
  <c r="Q1232" i="2" s="1"/>
  <c r="J1233" i="2"/>
  <c r="P1233" i="2" s="1"/>
  <c r="Q1233" i="2" s="1"/>
  <c r="J1234" i="2"/>
  <c r="P1234" i="2" s="1"/>
  <c r="Q1234" i="2" s="1"/>
  <c r="J1235" i="2"/>
  <c r="P1235" i="2" s="1"/>
  <c r="Q1235" i="2" s="1"/>
  <c r="J1236" i="2"/>
  <c r="P1236" i="2" s="1"/>
  <c r="Q1236" i="2" s="1"/>
  <c r="J1237" i="2"/>
  <c r="P1237" i="2" s="1"/>
  <c r="Q1237" i="2" s="1"/>
  <c r="J1238" i="2"/>
  <c r="P1238" i="2" s="1"/>
  <c r="Q1238" i="2" s="1"/>
  <c r="J1239" i="2"/>
  <c r="P1239" i="2" s="1"/>
  <c r="Q1239" i="2" s="1"/>
  <c r="J1240" i="2"/>
  <c r="P1240" i="2" s="1"/>
  <c r="Q1240" i="2" s="1"/>
  <c r="J1241" i="2"/>
  <c r="P1241" i="2" s="1"/>
  <c r="Q1241" i="2" s="1"/>
  <c r="J1242" i="2"/>
  <c r="P1242" i="2" s="1"/>
  <c r="Q1242" i="2" s="1"/>
  <c r="J1243" i="2"/>
  <c r="P1243" i="2" s="1"/>
  <c r="Q1243" i="2" s="1"/>
  <c r="J1244" i="2"/>
  <c r="P1244" i="2" s="1"/>
  <c r="Q1244" i="2" s="1"/>
  <c r="J1245" i="2"/>
  <c r="P1245" i="2" s="1"/>
  <c r="Q1245" i="2" s="1"/>
  <c r="J1246" i="2"/>
  <c r="P1246" i="2" s="1"/>
  <c r="Q1246" i="2" s="1"/>
  <c r="J1247" i="2"/>
  <c r="P1247" i="2" s="1"/>
  <c r="Q1247" i="2" s="1"/>
  <c r="J1248" i="2"/>
  <c r="P1248" i="2" s="1"/>
  <c r="Q1248" i="2" s="1"/>
  <c r="J1249" i="2"/>
  <c r="P1249" i="2" s="1"/>
  <c r="Q1249" i="2" s="1"/>
  <c r="J1250" i="2"/>
  <c r="P1250" i="2" s="1"/>
  <c r="Q1250" i="2" s="1"/>
  <c r="J1251" i="2"/>
  <c r="P1251" i="2" s="1"/>
  <c r="Q1251" i="2" s="1"/>
  <c r="J1252" i="2"/>
  <c r="P1252" i="2" s="1"/>
  <c r="Q1252" i="2" s="1"/>
  <c r="J1253" i="2"/>
  <c r="P1253" i="2" s="1"/>
  <c r="Q1253" i="2" s="1"/>
  <c r="J1254" i="2"/>
  <c r="P1254" i="2" s="1"/>
  <c r="Q1254" i="2" s="1"/>
  <c r="J1255" i="2"/>
  <c r="P1255" i="2" s="1"/>
  <c r="Q1255" i="2" s="1"/>
  <c r="J1256" i="2"/>
  <c r="P1256" i="2" s="1"/>
  <c r="Q1256" i="2" s="1"/>
  <c r="J1257" i="2"/>
  <c r="P1257" i="2" s="1"/>
  <c r="Q1257" i="2" s="1"/>
  <c r="J1258" i="2"/>
  <c r="P1258" i="2" s="1"/>
  <c r="Q1258" i="2" s="1"/>
  <c r="J1259" i="2"/>
  <c r="P1259" i="2" s="1"/>
  <c r="Q1259" i="2" s="1"/>
  <c r="J1260" i="2"/>
  <c r="P1260" i="2" s="1"/>
  <c r="Q1260" i="2" s="1"/>
  <c r="J1261" i="2"/>
  <c r="P1261" i="2" s="1"/>
  <c r="Q1261" i="2" s="1"/>
  <c r="J1262" i="2"/>
  <c r="P1262" i="2" s="1"/>
  <c r="Q1262" i="2" s="1"/>
  <c r="J1263" i="2"/>
  <c r="P1263" i="2" s="1"/>
  <c r="Q1263" i="2" s="1"/>
  <c r="J1264" i="2"/>
  <c r="P1264" i="2" s="1"/>
  <c r="Q1264" i="2" s="1"/>
  <c r="J1265" i="2"/>
  <c r="P1265" i="2" s="1"/>
  <c r="Q1265" i="2" s="1"/>
  <c r="J1266" i="2"/>
  <c r="P1266" i="2" s="1"/>
  <c r="Q1266" i="2" s="1"/>
  <c r="J1267" i="2"/>
  <c r="P1267" i="2" s="1"/>
  <c r="Q1267" i="2" s="1"/>
  <c r="J1268" i="2"/>
  <c r="P1268" i="2" s="1"/>
  <c r="Q1268" i="2" s="1"/>
  <c r="J1269" i="2"/>
  <c r="P1269" i="2" s="1"/>
  <c r="Q1269" i="2" s="1"/>
  <c r="J1270" i="2"/>
  <c r="P1270" i="2" s="1"/>
  <c r="Q1270" i="2" s="1"/>
  <c r="J1271" i="2"/>
  <c r="P1271" i="2" s="1"/>
  <c r="Q1271" i="2" s="1"/>
  <c r="J1272" i="2"/>
  <c r="P1272" i="2" s="1"/>
  <c r="Q1272" i="2" s="1"/>
  <c r="J1273" i="2"/>
  <c r="P1273" i="2" s="1"/>
  <c r="Q1273" i="2" s="1"/>
  <c r="J1274" i="2"/>
  <c r="P1274" i="2" s="1"/>
  <c r="Q1274" i="2" s="1"/>
  <c r="J1275" i="2"/>
  <c r="P1275" i="2" s="1"/>
  <c r="Q1275" i="2" s="1"/>
  <c r="J1276" i="2"/>
  <c r="P1276" i="2" s="1"/>
  <c r="Q1276" i="2" s="1"/>
  <c r="J1277" i="2"/>
  <c r="P1277" i="2" s="1"/>
  <c r="Q1277" i="2" s="1"/>
  <c r="J1278" i="2"/>
  <c r="P1278" i="2" s="1"/>
  <c r="Q1278" i="2" s="1"/>
  <c r="J1279" i="2"/>
  <c r="P1279" i="2" s="1"/>
  <c r="Q1279" i="2" s="1"/>
  <c r="J1280" i="2"/>
  <c r="P1280" i="2" s="1"/>
  <c r="Q1280" i="2" s="1"/>
  <c r="J1281" i="2"/>
  <c r="P1281" i="2" s="1"/>
  <c r="Q1281" i="2" s="1"/>
  <c r="J1282" i="2"/>
  <c r="P1282" i="2" s="1"/>
  <c r="Q1282" i="2" s="1"/>
  <c r="J1283" i="2"/>
  <c r="P1283" i="2" s="1"/>
  <c r="Q1283" i="2" s="1"/>
  <c r="J1284" i="2"/>
  <c r="P1284" i="2" s="1"/>
  <c r="Q1284" i="2" s="1"/>
  <c r="J1285" i="2"/>
  <c r="P1285" i="2" s="1"/>
  <c r="Q1285" i="2" s="1"/>
  <c r="J1286" i="2"/>
  <c r="P1286" i="2" s="1"/>
  <c r="Q1286" i="2" s="1"/>
  <c r="J1287" i="2"/>
  <c r="P1287" i="2" s="1"/>
  <c r="Q1287" i="2" s="1"/>
  <c r="J1288" i="2"/>
  <c r="P1288" i="2" s="1"/>
  <c r="Q1288" i="2" s="1"/>
  <c r="J1289" i="2"/>
  <c r="P1289" i="2" s="1"/>
  <c r="Q1289" i="2" s="1"/>
  <c r="J1290" i="2"/>
  <c r="P1290" i="2" s="1"/>
  <c r="Q1290" i="2" s="1"/>
  <c r="J1291" i="2"/>
  <c r="P1291" i="2" s="1"/>
  <c r="Q1291" i="2" s="1"/>
  <c r="J1292" i="2"/>
  <c r="P1292" i="2" s="1"/>
  <c r="Q1292" i="2" s="1"/>
  <c r="J1293" i="2"/>
  <c r="P1293" i="2" s="1"/>
  <c r="Q1293" i="2" s="1"/>
  <c r="J1294" i="2"/>
  <c r="P1294" i="2" s="1"/>
  <c r="Q1294" i="2" s="1"/>
  <c r="J1295" i="2"/>
  <c r="P1295" i="2" s="1"/>
  <c r="Q1295" i="2" s="1"/>
  <c r="J1296" i="2"/>
  <c r="P1296" i="2" s="1"/>
  <c r="Q1296" i="2" s="1"/>
  <c r="J1297" i="2"/>
  <c r="P1297" i="2" s="1"/>
  <c r="Q1297" i="2" s="1"/>
  <c r="J1298" i="2"/>
  <c r="P1298" i="2" s="1"/>
  <c r="Q1298" i="2" s="1"/>
  <c r="J1299" i="2"/>
  <c r="P1299" i="2" s="1"/>
  <c r="Q1299" i="2" s="1"/>
  <c r="J1300" i="2"/>
  <c r="P1300" i="2" s="1"/>
  <c r="Q1300" i="2" s="1"/>
  <c r="J1301" i="2"/>
  <c r="P1301" i="2" s="1"/>
  <c r="Q1301" i="2" s="1"/>
  <c r="J1302" i="2"/>
  <c r="P1302" i="2" s="1"/>
  <c r="Q1302" i="2" s="1"/>
  <c r="J1303" i="2"/>
  <c r="P1303" i="2" s="1"/>
  <c r="Q1303" i="2" s="1"/>
  <c r="J1304" i="2"/>
  <c r="P1304" i="2" s="1"/>
  <c r="Q1304" i="2" s="1"/>
  <c r="J1305" i="2"/>
  <c r="P1305" i="2" s="1"/>
  <c r="Q1305" i="2" s="1"/>
  <c r="J1306" i="2"/>
  <c r="P1306" i="2" s="1"/>
  <c r="Q1306" i="2" s="1"/>
  <c r="J1307" i="2"/>
  <c r="P1307" i="2" s="1"/>
  <c r="Q1307" i="2" s="1"/>
  <c r="J1308" i="2"/>
  <c r="P1308" i="2" s="1"/>
  <c r="Q1308" i="2" s="1"/>
  <c r="J1309" i="2"/>
  <c r="P1309" i="2" s="1"/>
  <c r="Q1309" i="2" s="1"/>
  <c r="J1310" i="2"/>
  <c r="P1310" i="2" s="1"/>
  <c r="Q1310" i="2" s="1"/>
  <c r="J1311" i="2"/>
  <c r="P1311" i="2" s="1"/>
  <c r="Q1311" i="2" s="1"/>
  <c r="J1312" i="2"/>
  <c r="P1312" i="2" s="1"/>
  <c r="Q1312" i="2" s="1"/>
  <c r="J1313" i="2"/>
  <c r="P1313" i="2" s="1"/>
  <c r="Q1313" i="2" s="1"/>
  <c r="J1314" i="2"/>
  <c r="P1314" i="2" s="1"/>
  <c r="Q1314" i="2" s="1"/>
  <c r="J1315" i="2"/>
  <c r="P1315" i="2" s="1"/>
  <c r="Q1315" i="2" s="1"/>
  <c r="J1316" i="2"/>
  <c r="P1316" i="2" s="1"/>
  <c r="Q1316" i="2" s="1"/>
  <c r="J1317" i="2"/>
  <c r="P1317" i="2" s="1"/>
  <c r="Q1317" i="2" s="1"/>
  <c r="J1318" i="2"/>
  <c r="P1318" i="2" s="1"/>
  <c r="Q1318" i="2" s="1"/>
  <c r="J1319" i="2"/>
  <c r="P1319" i="2" s="1"/>
  <c r="Q1319" i="2" s="1"/>
  <c r="J1320" i="2"/>
  <c r="P1320" i="2" s="1"/>
  <c r="Q1320" i="2" s="1"/>
  <c r="J1321" i="2"/>
  <c r="P1321" i="2" s="1"/>
  <c r="Q1321" i="2" s="1"/>
  <c r="J1322" i="2"/>
  <c r="P1322" i="2" s="1"/>
  <c r="Q1322" i="2" s="1"/>
  <c r="J1323" i="2"/>
  <c r="P1323" i="2" s="1"/>
  <c r="Q1323" i="2" s="1"/>
  <c r="J1324" i="2"/>
  <c r="P1324" i="2" s="1"/>
  <c r="Q1324" i="2" s="1"/>
  <c r="J1325" i="2"/>
  <c r="P1325" i="2" s="1"/>
  <c r="Q1325" i="2" s="1"/>
  <c r="J1326" i="2"/>
  <c r="P1326" i="2" s="1"/>
  <c r="Q1326" i="2" s="1"/>
  <c r="J1327" i="2"/>
  <c r="P1327" i="2" s="1"/>
  <c r="Q1327" i="2" s="1"/>
  <c r="J1328" i="2"/>
  <c r="P1328" i="2" s="1"/>
  <c r="Q1328" i="2" s="1"/>
  <c r="J1329" i="2"/>
  <c r="P1329" i="2" s="1"/>
  <c r="Q1329" i="2" s="1"/>
  <c r="J1330" i="2"/>
  <c r="P1330" i="2" s="1"/>
  <c r="Q1330" i="2" s="1"/>
  <c r="J1331" i="2"/>
  <c r="P1331" i="2" s="1"/>
  <c r="Q1331" i="2" s="1"/>
  <c r="J1332" i="2"/>
  <c r="P1332" i="2" s="1"/>
  <c r="Q1332" i="2" s="1"/>
  <c r="J1333" i="2"/>
  <c r="P1333" i="2" s="1"/>
  <c r="Q1333" i="2" s="1"/>
  <c r="J1334" i="2"/>
  <c r="P1334" i="2" s="1"/>
  <c r="Q1334" i="2" s="1"/>
  <c r="J1335" i="2"/>
  <c r="P1335" i="2" s="1"/>
  <c r="Q1335" i="2" s="1"/>
  <c r="J1336" i="2"/>
  <c r="P1336" i="2" s="1"/>
  <c r="Q1336" i="2" s="1"/>
  <c r="J1337" i="2"/>
  <c r="P1337" i="2" s="1"/>
  <c r="Q1337" i="2" s="1"/>
  <c r="J1338" i="2"/>
  <c r="P1338" i="2" s="1"/>
  <c r="Q1338" i="2" s="1"/>
  <c r="J1339" i="2"/>
  <c r="P1339" i="2" s="1"/>
  <c r="Q1339" i="2" s="1"/>
  <c r="J1340" i="2"/>
  <c r="P1340" i="2" s="1"/>
  <c r="Q1340" i="2" s="1"/>
  <c r="J1341" i="2"/>
  <c r="P1341" i="2" s="1"/>
  <c r="Q1341" i="2" s="1"/>
  <c r="J1342" i="2"/>
  <c r="P1342" i="2" s="1"/>
  <c r="Q1342" i="2" s="1"/>
  <c r="J1343" i="2"/>
  <c r="P1343" i="2" s="1"/>
  <c r="Q1343" i="2" s="1"/>
  <c r="J1344" i="2"/>
  <c r="P1344" i="2" s="1"/>
  <c r="Q1344" i="2" s="1"/>
  <c r="J1345" i="2"/>
  <c r="P1345" i="2" s="1"/>
  <c r="Q1345" i="2" s="1"/>
  <c r="J1346" i="2"/>
  <c r="P1346" i="2" s="1"/>
  <c r="Q1346" i="2" s="1"/>
  <c r="J1347" i="2"/>
  <c r="P1347" i="2" s="1"/>
  <c r="Q1347" i="2" s="1"/>
  <c r="J1348" i="2"/>
  <c r="P1348" i="2" s="1"/>
  <c r="Q1348" i="2" s="1"/>
  <c r="J1349" i="2"/>
  <c r="P1349" i="2" s="1"/>
  <c r="Q1349" i="2" s="1"/>
  <c r="J1350" i="2"/>
  <c r="P1350" i="2" s="1"/>
  <c r="Q1350" i="2" s="1"/>
  <c r="J1351" i="2"/>
  <c r="P1351" i="2" s="1"/>
  <c r="Q1351" i="2" s="1"/>
  <c r="J1352" i="2"/>
  <c r="P1352" i="2" s="1"/>
  <c r="Q1352" i="2" s="1"/>
  <c r="J1353" i="2"/>
  <c r="P1353" i="2" s="1"/>
  <c r="Q1353" i="2" s="1"/>
  <c r="J1354" i="2"/>
  <c r="P1354" i="2" s="1"/>
  <c r="Q1354" i="2" s="1"/>
  <c r="J1355" i="2"/>
  <c r="P1355" i="2" s="1"/>
  <c r="Q1355" i="2" s="1"/>
  <c r="J1356" i="2"/>
  <c r="P1356" i="2" s="1"/>
  <c r="Q1356" i="2" s="1"/>
  <c r="J1357" i="2"/>
  <c r="P1357" i="2" s="1"/>
  <c r="Q1357" i="2" s="1"/>
  <c r="J1358" i="2"/>
  <c r="P1358" i="2" s="1"/>
  <c r="Q1358" i="2" s="1"/>
  <c r="J1359" i="2"/>
  <c r="P1359" i="2" s="1"/>
  <c r="Q1359" i="2" s="1"/>
  <c r="J1360" i="2"/>
  <c r="P1360" i="2" s="1"/>
  <c r="Q1360" i="2" s="1"/>
  <c r="J1361" i="2"/>
  <c r="P1361" i="2" s="1"/>
  <c r="Q1361" i="2" s="1"/>
  <c r="J1362" i="2"/>
  <c r="P1362" i="2" s="1"/>
  <c r="Q1362" i="2" s="1"/>
  <c r="J1363" i="2"/>
  <c r="P1363" i="2" s="1"/>
  <c r="Q1363" i="2" s="1"/>
  <c r="J1364" i="2"/>
  <c r="P1364" i="2" s="1"/>
  <c r="Q1364" i="2" s="1"/>
  <c r="J1365" i="2"/>
  <c r="P1365" i="2" s="1"/>
  <c r="Q1365" i="2" s="1"/>
  <c r="J1366" i="2"/>
  <c r="P1366" i="2" s="1"/>
  <c r="Q1366" i="2" s="1"/>
  <c r="J1367" i="2"/>
  <c r="P1367" i="2" s="1"/>
  <c r="Q1367" i="2" s="1"/>
  <c r="J1368" i="2"/>
  <c r="P1368" i="2" s="1"/>
  <c r="Q1368" i="2" s="1"/>
  <c r="J1369" i="2"/>
  <c r="P1369" i="2" s="1"/>
  <c r="Q1369" i="2" s="1"/>
  <c r="J1370" i="2"/>
  <c r="P1370" i="2" s="1"/>
  <c r="Q1370" i="2" s="1"/>
  <c r="J1371" i="2"/>
  <c r="P1371" i="2" s="1"/>
  <c r="Q1371" i="2" s="1"/>
  <c r="J1372" i="2"/>
  <c r="P1372" i="2" s="1"/>
  <c r="Q1372" i="2" s="1"/>
  <c r="J1373" i="2"/>
  <c r="P1373" i="2" s="1"/>
  <c r="Q1373" i="2" s="1"/>
  <c r="J1374" i="2"/>
  <c r="P1374" i="2" s="1"/>
  <c r="Q1374" i="2" s="1"/>
  <c r="J1375" i="2"/>
  <c r="P1375" i="2" s="1"/>
  <c r="Q1375" i="2" s="1"/>
  <c r="J1376" i="2"/>
  <c r="P1376" i="2" s="1"/>
  <c r="Q1376" i="2" s="1"/>
  <c r="J1377" i="2"/>
  <c r="P1377" i="2" s="1"/>
  <c r="Q1377" i="2" s="1"/>
  <c r="J1378" i="2"/>
  <c r="P1378" i="2" s="1"/>
  <c r="Q1378" i="2" s="1"/>
  <c r="J1379" i="2"/>
  <c r="P1379" i="2" s="1"/>
  <c r="Q1379" i="2" s="1"/>
  <c r="J1380" i="2"/>
  <c r="P1380" i="2" s="1"/>
  <c r="Q1380" i="2" s="1"/>
  <c r="J1381" i="2"/>
  <c r="P1381" i="2" s="1"/>
  <c r="Q1381" i="2" s="1"/>
  <c r="J1382" i="2"/>
  <c r="P1382" i="2" s="1"/>
  <c r="Q1382" i="2" s="1"/>
  <c r="J1383" i="2"/>
  <c r="P1383" i="2" s="1"/>
  <c r="Q1383" i="2" s="1"/>
  <c r="J1384" i="2"/>
  <c r="P1384" i="2" s="1"/>
  <c r="Q1384" i="2" s="1"/>
  <c r="J1385" i="2"/>
  <c r="P1385" i="2" s="1"/>
  <c r="Q1385" i="2" s="1"/>
  <c r="J1386" i="2"/>
  <c r="P1386" i="2" s="1"/>
  <c r="Q1386" i="2" s="1"/>
  <c r="J1387" i="2"/>
  <c r="P1387" i="2" s="1"/>
  <c r="Q1387" i="2" s="1"/>
  <c r="J1388" i="2"/>
  <c r="P1388" i="2" s="1"/>
  <c r="Q1388" i="2" s="1"/>
  <c r="J1389" i="2"/>
  <c r="P1389" i="2" s="1"/>
  <c r="Q1389" i="2" s="1"/>
  <c r="J1390" i="2"/>
  <c r="P1390" i="2" s="1"/>
  <c r="Q1390" i="2" s="1"/>
  <c r="J1391" i="2"/>
  <c r="P1391" i="2" s="1"/>
  <c r="Q1391" i="2" s="1"/>
  <c r="J1392" i="2"/>
  <c r="P1392" i="2" s="1"/>
  <c r="Q1392" i="2" s="1"/>
  <c r="J1393" i="2"/>
  <c r="P1393" i="2" s="1"/>
  <c r="Q1393" i="2" s="1"/>
  <c r="J1394" i="2"/>
  <c r="P1394" i="2" s="1"/>
  <c r="Q1394" i="2" s="1"/>
  <c r="J1395" i="2"/>
  <c r="P1395" i="2" s="1"/>
  <c r="Q1395" i="2" s="1"/>
  <c r="J1396" i="2"/>
  <c r="P1396" i="2" s="1"/>
  <c r="Q1396" i="2" s="1"/>
  <c r="J1397" i="2"/>
  <c r="P1397" i="2" s="1"/>
  <c r="Q1397" i="2" s="1"/>
  <c r="J1398" i="2"/>
  <c r="P1398" i="2" s="1"/>
  <c r="Q1398" i="2" s="1"/>
  <c r="J1399" i="2"/>
  <c r="P1399" i="2" s="1"/>
  <c r="Q1399" i="2" s="1"/>
  <c r="J1400" i="2"/>
  <c r="P1400" i="2" s="1"/>
  <c r="Q1400" i="2" s="1"/>
  <c r="J1401" i="2"/>
  <c r="P1401" i="2" s="1"/>
  <c r="Q1401" i="2" s="1"/>
  <c r="J1402" i="2"/>
  <c r="P1402" i="2" s="1"/>
  <c r="Q1402" i="2" s="1"/>
  <c r="J1403" i="2"/>
  <c r="P1403" i="2" s="1"/>
  <c r="Q1403" i="2" s="1"/>
  <c r="J1404" i="2"/>
  <c r="P1404" i="2" s="1"/>
  <c r="Q1404" i="2" s="1"/>
  <c r="J1405" i="2"/>
  <c r="P1405" i="2" s="1"/>
  <c r="Q1405" i="2" s="1"/>
  <c r="J1406" i="2"/>
  <c r="P1406" i="2" s="1"/>
  <c r="Q1406" i="2" s="1"/>
  <c r="J1407" i="2"/>
  <c r="P1407" i="2" s="1"/>
  <c r="Q1407" i="2" s="1"/>
  <c r="J1408" i="2"/>
  <c r="P1408" i="2" s="1"/>
  <c r="Q1408" i="2" s="1"/>
  <c r="J1409" i="2"/>
  <c r="P1409" i="2" s="1"/>
  <c r="Q1409" i="2" s="1"/>
  <c r="J1410" i="2"/>
  <c r="P1410" i="2" s="1"/>
  <c r="Q1410" i="2" s="1"/>
  <c r="J1411" i="2"/>
  <c r="P1411" i="2" s="1"/>
  <c r="Q1411" i="2" s="1"/>
  <c r="J1412" i="2"/>
  <c r="P1412" i="2" s="1"/>
  <c r="Q1412" i="2" s="1"/>
  <c r="J1413" i="2"/>
  <c r="P1413" i="2" s="1"/>
  <c r="Q1413" i="2" s="1"/>
  <c r="J1414" i="2"/>
  <c r="P1414" i="2" s="1"/>
  <c r="Q1414" i="2" s="1"/>
  <c r="J1415" i="2"/>
  <c r="P1415" i="2" s="1"/>
  <c r="Q1415" i="2" s="1"/>
  <c r="J1416" i="2"/>
  <c r="P1416" i="2" s="1"/>
  <c r="Q1416" i="2" s="1"/>
  <c r="J1417" i="2"/>
  <c r="P1417" i="2" s="1"/>
  <c r="Q1417" i="2" s="1"/>
  <c r="J1418" i="2"/>
  <c r="P1418" i="2" s="1"/>
  <c r="Q1418" i="2" s="1"/>
  <c r="J1419" i="2"/>
  <c r="P1419" i="2" s="1"/>
  <c r="Q1419" i="2" s="1"/>
  <c r="J1420" i="2"/>
  <c r="P1420" i="2" s="1"/>
  <c r="Q1420" i="2" s="1"/>
  <c r="J1421" i="2"/>
  <c r="P1421" i="2" s="1"/>
  <c r="Q1421" i="2" s="1"/>
  <c r="J1422" i="2"/>
  <c r="P1422" i="2" s="1"/>
  <c r="Q1422" i="2" s="1"/>
  <c r="J1423" i="2"/>
  <c r="P1423" i="2" s="1"/>
  <c r="Q1423" i="2" s="1"/>
  <c r="J1424" i="2"/>
  <c r="P1424" i="2" s="1"/>
  <c r="Q1424" i="2" s="1"/>
  <c r="J1425" i="2"/>
  <c r="P1425" i="2" s="1"/>
  <c r="Q1425" i="2" s="1"/>
  <c r="J1426" i="2"/>
  <c r="P1426" i="2" s="1"/>
  <c r="Q1426" i="2" s="1"/>
  <c r="J1427" i="2"/>
  <c r="P1427" i="2" s="1"/>
  <c r="Q1427" i="2" s="1"/>
  <c r="J1428" i="2"/>
  <c r="P1428" i="2" s="1"/>
  <c r="Q1428" i="2" s="1"/>
  <c r="J1429" i="2"/>
  <c r="P1429" i="2" s="1"/>
  <c r="Q1429" i="2" s="1"/>
  <c r="J1430" i="2"/>
  <c r="P1430" i="2" s="1"/>
  <c r="Q1430" i="2" s="1"/>
  <c r="J1431" i="2"/>
  <c r="P1431" i="2" s="1"/>
  <c r="Q1431" i="2" s="1"/>
  <c r="J1432" i="2"/>
  <c r="P1432" i="2" s="1"/>
  <c r="Q1432" i="2" s="1"/>
  <c r="J1433" i="2"/>
  <c r="P1433" i="2" s="1"/>
  <c r="Q1433" i="2" s="1"/>
  <c r="J1434" i="2"/>
  <c r="P1434" i="2" s="1"/>
  <c r="Q1434" i="2" s="1"/>
  <c r="J1435" i="2"/>
  <c r="P1435" i="2" s="1"/>
  <c r="Q1435" i="2" s="1"/>
  <c r="J1436" i="2"/>
  <c r="P1436" i="2" s="1"/>
  <c r="Q1436" i="2" s="1"/>
  <c r="J1437" i="2"/>
  <c r="P1437" i="2" s="1"/>
  <c r="Q1437" i="2" s="1"/>
  <c r="J1438" i="2"/>
  <c r="P1438" i="2" s="1"/>
  <c r="Q1438" i="2" s="1"/>
  <c r="J1439" i="2"/>
  <c r="P1439" i="2" s="1"/>
  <c r="Q1439" i="2" s="1"/>
  <c r="J1440" i="2"/>
  <c r="P1440" i="2" s="1"/>
  <c r="Q1440" i="2" s="1"/>
  <c r="J1441" i="2"/>
  <c r="P1441" i="2" s="1"/>
  <c r="Q1441" i="2" s="1"/>
  <c r="J1442" i="2"/>
  <c r="P1442" i="2" s="1"/>
  <c r="Q1442" i="2" s="1"/>
  <c r="J1443" i="2"/>
  <c r="P1443" i="2" s="1"/>
  <c r="Q1443" i="2" s="1"/>
  <c r="J1444" i="2"/>
  <c r="P1444" i="2" s="1"/>
  <c r="Q1444" i="2" s="1"/>
  <c r="J1445" i="2"/>
  <c r="P1445" i="2" s="1"/>
  <c r="Q1445" i="2" s="1"/>
  <c r="J1446" i="2"/>
  <c r="P1446" i="2" s="1"/>
  <c r="Q1446" i="2" s="1"/>
  <c r="J1447" i="2"/>
  <c r="P1447" i="2" s="1"/>
  <c r="Q1447" i="2" s="1"/>
  <c r="J1448" i="2"/>
  <c r="P1448" i="2" s="1"/>
  <c r="Q1448" i="2" s="1"/>
  <c r="J1449" i="2"/>
  <c r="P1449" i="2" s="1"/>
  <c r="Q1449" i="2" s="1"/>
  <c r="J1450" i="2"/>
  <c r="P1450" i="2" s="1"/>
  <c r="Q1450" i="2" s="1"/>
  <c r="J1451" i="2"/>
  <c r="P1451" i="2" s="1"/>
  <c r="Q1451" i="2" s="1"/>
  <c r="J1452" i="2"/>
  <c r="P1452" i="2" s="1"/>
  <c r="Q1452" i="2" s="1"/>
  <c r="J1453" i="2"/>
  <c r="P1453" i="2" s="1"/>
  <c r="Q1453" i="2" s="1"/>
  <c r="J1454" i="2"/>
  <c r="P1454" i="2" s="1"/>
  <c r="Q1454" i="2" s="1"/>
  <c r="J1455" i="2"/>
  <c r="P1455" i="2" s="1"/>
  <c r="Q1455" i="2" s="1"/>
  <c r="J1456" i="2"/>
  <c r="P1456" i="2" s="1"/>
  <c r="Q1456" i="2" s="1"/>
  <c r="J1457" i="2"/>
  <c r="P1457" i="2" s="1"/>
  <c r="Q1457" i="2" s="1"/>
  <c r="J1458" i="2"/>
  <c r="P1458" i="2" s="1"/>
  <c r="Q1458" i="2" s="1"/>
  <c r="J1459" i="2"/>
  <c r="P1459" i="2" s="1"/>
  <c r="Q1459" i="2" s="1"/>
  <c r="J1460" i="2"/>
  <c r="P1460" i="2" s="1"/>
  <c r="Q1460" i="2" s="1"/>
  <c r="J1461" i="2"/>
  <c r="P1461" i="2" s="1"/>
  <c r="Q1461" i="2" s="1"/>
  <c r="J1462" i="2"/>
  <c r="P1462" i="2" s="1"/>
  <c r="Q1462" i="2" s="1"/>
  <c r="J1463" i="2"/>
  <c r="P1463" i="2" s="1"/>
  <c r="Q1463" i="2" s="1"/>
  <c r="J1464" i="2"/>
  <c r="P1464" i="2" s="1"/>
  <c r="Q1464" i="2" s="1"/>
  <c r="J1465" i="2"/>
  <c r="P1465" i="2" s="1"/>
  <c r="Q1465" i="2" s="1"/>
  <c r="J1466" i="2"/>
  <c r="P1466" i="2" s="1"/>
  <c r="Q1466" i="2" s="1"/>
  <c r="J1467" i="2"/>
  <c r="P1467" i="2" s="1"/>
  <c r="Q1467" i="2" s="1"/>
  <c r="J1468" i="2"/>
  <c r="P1468" i="2" s="1"/>
  <c r="Q1468" i="2" s="1"/>
  <c r="J1469" i="2"/>
  <c r="P1469" i="2" s="1"/>
  <c r="Q1469" i="2" s="1"/>
  <c r="J1470" i="2"/>
  <c r="P1470" i="2" s="1"/>
  <c r="Q1470" i="2" s="1"/>
  <c r="J1471" i="2"/>
  <c r="P1471" i="2" s="1"/>
  <c r="Q1471" i="2" s="1"/>
  <c r="J1472" i="2"/>
  <c r="P1472" i="2" s="1"/>
  <c r="Q1472" i="2" s="1"/>
  <c r="J1473" i="2"/>
  <c r="P1473" i="2" s="1"/>
  <c r="Q1473" i="2" s="1"/>
  <c r="J1474" i="2"/>
  <c r="P1474" i="2" s="1"/>
  <c r="Q1474" i="2" s="1"/>
  <c r="J1475" i="2"/>
  <c r="P1475" i="2" s="1"/>
  <c r="Q1475" i="2" s="1"/>
  <c r="J1476" i="2"/>
  <c r="P1476" i="2" s="1"/>
  <c r="Q1476" i="2" s="1"/>
  <c r="J1477" i="2"/>
  <c r="P1477" i="2" s="1"/>
  <c r="Q1477" i="2" s="1"/>
  <c r="J1478" i="2"/>
  <c r="P1478" i="2" s="1"/>
  <c r="Q1478" i="2" s="1"/>
  <c r="J1479" i="2"/>
  <c r="P1479" i="2" s="1"/>
  <c r="Q1479" i="2" s="1"/>
  <c r="J1480" i="2"/>
  <c r="P1480" i="2" s="1"/>
  <c r="Q1480" i="2" s="1"/>
  <c r="J1481" i="2"/>
  <c r="P1481" i="2" s="1"/>
  <c r="Q1481" i="2" s="1"/>
  <c r="J1482" i="2"/>
  <c r="P1482" i="2" s="1"/>
  <c r="Q1482" i="2" s="1"/>
  <c r="J1483" i="2"/>
  <c r="P1483" i="2" s="1"/>
  <c r="Q1483" i="2" s="1"/>
  <c r="J1484" i="2"/>
  <c r="P1484" i="2" s="1"/>
  <c r="Q1484" i="2" s="1"/>
  <c r="J1485" i="2"/>
  <c r="P1485" i="2" s="1"/>
  <c r="Q1485" i="2" s="1"/>
  <c r="J1486" i="2"/>
  <c r="P1486" i="2" s="1"/>
  <c r="Q1486" i="2" s="1"/>
  <c r="J1487" i="2"/>
  <c r="P1487" i="2" s="1"/>
  <c r="Q1487" i="2" s="1"/>
  <c r="J1488" i="2"/>
  <c r="P1488" i="2" s="1"/>
  <c r="Q1488" i="2" s="1"/>
  <c r="J1489" i="2"/>
  <c r="P1489" i="2" s="1"/>
  <c r="Q1489" i="2" s="1"/>
  <c r="J1490" i="2"/>
  <c r="P1490" i="2" s="1"/>
  <c r="Q1490" i="2" s="1"/>
  <c r="J1491" i="2"/>
  <c r="P1491" i="2" s="1"/>
  <c r="Q1491" i="2" s="1"/>
  <c r="J1492" i="2"/>
  <c r="P1492" i="2" s="1"/>
  <c r="Q1492" i="2" s="1"/>
  <c r="J1493" i="2"/>
  <c r="P1493" i="2" s="1"/>
  <c r="Q1493" i="2" s="1"/>
  <c r="J1494" i="2"/>
  <c r="P1494" i="2" s="1"/>
  <c r="Q1494" i="2" s="1"/>
  <c r="J1495" i="2"/>
  <c r="P1495" i="2" s="1"/>
  <c r="Q1495" i="2" s="1"/>
  <c r="J1496" i="2"/>
  <c r="P1496" i="2" s="1"/>
  <c r="Q1496" i="2" s="1"/>
  <c r="J1497" i="2"/>
  <c r="P1497" i="2" s="1"/>
  <c r="Q1497" i="2" s="1"/>
  <c r="J1498" i="2"/>
  <c r="P1498" i="2" s="1"/>
  <c r="Q1498" i="2" s="1"/>
  <c r="J1499" i="2"/>
  <c r="P1499" i="2" s="1"/>
  <c r="Q1499" i="2" s="1"/>
  <c r="J1500" i="2"/>
  <c r="P1500" i="2" s="1"/>
  <c r="Q1500" i="2" s="1"/>
  <c r="J1501" i="2"/>
  <c r="P1501" i="2" s="1"/>
  <c r="Q1501" i="2" s="1"/>
  <c r="J1502" i="2"/>
  <c r="P1502" i="2" s="1"/>
  <c r="Q1502" i="2" s="1"/>
  <c r="J1503" i="2"/>
  <c r="P1503" i="2" s="1"/>
  <c r="Q1503" i="2" s="1"/>
  <c r="J1504" i="2"/>
  <c r="P1504" i="2" s="1"/>
  <c r="Q1504" i="2" s="1"/>
  <c r="J1505" i="2"/>
  <c r="P1505" i="2" s="1"/>
  <c r="Q1505" i="2" s="1"/>
  <c r="J1506" i="2"/>
  <c r="P1506" i="2" s="1"/>
  <c r="Q1506" i="2" s="1"/>
  <c r="J1507" i="2"/>
  <c r="P1507" i="2" s="1"/>
  <c r="Q1507" i="2" s="1"/>
  <c r="J1508" i="2"/>
  <c r="P1508" i="2" s="1"/>
  <c r="Q1508" i="2" s="1"/>
  <c r="J1509" i="2"/>
  <c r="P1509" i="2" s="1"/>
  <c r="Q1509" i="2" s="1"/>
  <c r="J1510" i="2"/>
  <c r="P1510" i="2" s="1"/>
  <c r="Q1510" i="2" s="1"/>
  <c r="J1511" i="2"/>
  <c r="P1511" i="2" s="1"/>
  <c r="Q1511" i="2" s="1"/>
  <c r="J1512" i="2"/>
  <c r="P1512" i="2" s="1"/>
  <c r="Q1512" i="2" s="1"/>
  <c r="J1513" i="2"/>
  <c r="P1513" i="2" s="1"/>
  <c r="Q1513" i="2" s="1"/>
  <c r="J1514" i="2"/>
  <c r="P1514" i="2" s="1"/>
  <c r="Q1514" i="2" s="1"/>
  <c r="J1515" i="2"/>
  <c r="P1515" i="2" s="1"/>
  <c r="Q1515" i="2" s="1"/>
  <c r="J1516" i="2"/>
  <c r="P1516" i="2" s="1"/>
  <c r="Q1516" i="2" s="1"/>
  <c r="J1517" i="2"/>
  <c r="P1517" i="2" s="1"/>
  <c r="Q1517" i="2" s="1"/>
  <c r="J1518" i="2"/>
  <c r="P1518" i="2" s="1"/>
  <c r="Q1518" i="2" s="1"/>
  <c r="J1519" i="2"/>
  <c r="P1519" i="2" s="1"/>
  <c r="Q1519" i="2" s="1"/>
  <c r="J1520" i="2"/>
  <c r="P1520" i="2" s="1"/>
  <c r="Q1520" i="2" s="1"/>
  <c r="J1521" i="2"/>
  <c r="P1521" i="2" s="1"/>
  <c r="Q1521" i="2" s="1"/>
  <c r="J1522" i="2"/>
  <c r="P1522" i="2" s="1"/>
  <c r="Q1522" i="2" s="1"/>
  <c r="J1523" i="2"/>
  <c r="P1523" i="2" s="1"/>
  <c r="Q1523" i="2" s="1"/>
  <c r="J1524" i="2"/>
  <c r="P1524" i="2" s="1"/>
  <c r="Q1524" i="2" s="1"/>
  <c r="J1525" i="2"/>
  <c r="P1525" i="2" s="1"/>
  <c r="Q1525" i="2" s="1"/>
  <c r="J1526" i="2"/>
  <c r="P1526" i="2" s="1"/>
  <c r="Q1526" i="2" s="1"/>
  <c r="J1527" i="2"/>
  <c r="P1527" i="2" s="1"/>
  <c r="Q1527" i="2" s="1"/>
  <c r="J1528" i="2"/>
  <c r="P1528" i="2" s="1"/>
  <c r="Q1528" i="2" s="1"/>
  <c r="J1529" i="2"/>
  <c r="P1529" i="2" s="1"/>
  <c r="Q1529" i="2" s="1"/>
  <c r="J1530" i="2"/>
  <c r="P1530" i="2" s="1"/>
  <c r="Q1530" i="2" s="1"/>
  <c r="J1531" i="2"/>
  <c r="P1531" i="2" s="1"/>
  <c r="Q1531" i="2" s="1"/>
  <c r="J1532" i="2"/>
  <c r="P1532" i="2" s="1"/>
  <c r="Q1532" i="2" s="1"/>
  <c r="J1533" i="2"/>
  <c r="P1533" i="2" s="1"/>
  <c r="Q1533" i="2" s="1"/>
  <c r="J1534" i="2"/>
  <c r="P1534" i="2" s="1"/>
  <c r="Q1534" i="2" s="1"/>
  <c r="J1535" i="2"/>
  <c r="P1535" i="2" s="1"/>
  <c r="Q1535" i="2" s="1"/>
  <c r="J1536" i="2"/>
  <c r="P1536" i="2" s="1"/>
  <c r="Q1536" i="2" s="1"/>
  <c r="J1537" i="2"/>
  <c r="P1537" i="2" s="1"/>
  <c r="Q1537" i="2" s="1"/>
  <c r="J1538" i="2"/>
  <c r="P1538" i="2" s="1"/>
  <c r="Q1538" i="2" s="1"/>
  <c r="J1539" i="2"/>
  <c r="P1539" i="2" s="1"/>
  <c r="Q1539" i="2" s="1"/>
  <c r="J1540" i="2"/>
  <c r="P1540" i="2" s="1"/>
  <c r="Q1540" i="2" s="1"/>
  <c r="J1541" i="2"/>
  <c r="P1541" i="2" s="1"/>
  <c r="Q1541" i="2" s="1"/>
  <c r="J1542" i="2"/>
  <c r="P1542" i="2" s="1"/>
  <c r="Q1542" i="2" s="1"/>
  <c r="J1543" i="2"/>
  <c r="P1543" i="2" s="1"/>
  <c r="Q1543" i="2" s="1"/>
  <c r="J1544" i="2"/>
  <c r="P1544" i="2" s="1"/>
  <c r="Q1544" i="2" s="1"/>
  <c r="J1545" i="2"/>
  <c r="P1545" i="2" s="1"/>
  <c r="Q1545" i="2" s="1"/>
  <c r="J1546" i="2"/>
  <c r="P1546" i="2" s="1"/>
  <c r="Q1546" i="2" s="1"/>
  <c r="J1547" i="2"/>
  <c r="P1547" i="2" s="1"/>
  <c r="Q1547" i="2" s="1"/>
  <c r="J1548" i="2"/>
  <c r="P1548" i="2" s="1"/>
  <c r="Q1548" i="2" s="1"/>
  <c r="J1549" i="2"/>
  <c r="P1549" i="2" s="1"/>
  <c r="Q1549" i="2" s="1"/>
  <c r="J1550" i="2"/>
  <c r="P1550" i="2" s="1"/>
  <c r="Q1550" i="2" s="1"/>
  <c r="J1551" i="2"/>
  <c r="P1551" i="2" s="1"/>
  <c r="Q1551" i="2" s="1"/>
  <c r="J1552" i="2"/>
  <c r="P1552" i="2" s="1"/>
  <c r="Q1552" i="2" s="1"/>
  <c r="J1553" i="2"/>
  <c r="P1553" i="2" s="1"/>
  <c r="Q1553" i="2" s="1"/>
  <c r="J1554" i="2"/>
  <c r="P1554" i="2" s="1"/>
  <c r="Q1554" i="2" s="1"/>
  <c r="J1555" i="2"/>
  <c r="P1555" i="2" s="1"/>
  <c r="Q1555" i="2" s="1"/>
  <c r="J1556" i="2"/>
  <c r="P1556" i="2" s="1"/>
  <c r="Q1556" i="2" s="1"/>
  <c r="J1557" i="2"/>
  <c r="P1557" i="2" s="1"/>
  <c r="Q1557" i="2" s="1"/>
  <c r="J1558" i="2"/>
  <c r="P1558" i="2" s="1"/>
  <c r="Q1558" i="2" s="1"/>
  <c r="J1559" i="2"/>
  <c r="P1559" i="2" s="1"/>
  <c r="Q1559" i="2" s="1"/>
  <c r="J1560" i="2"/>
  <c r="P1560" i="2" s="1"/>
  <c r="Q1560" i="2" s="1"/>
  <c r="J1561" i="2"/>
  <c r="P1561" i="2" s="1"/>
  <c r="Q1561" i="2" s="1"/>
  <c r="J1562" i="2"/>
  <c r="P1562" i="2" s="1"/>
  <c r="Q1562" i="2" s="1"/>
  <c r="J1563" i="2"/>
  <c r="P1563" i="2" s="1"/>
  <c r="Q1563" i="2" s="1"/>
  <c r="J1564" i="2"/>
  <c r="P1564" i="2" s="1"/>
  <c r="Q1564" i="2" s="1"/>
  <c r="J1565" i="2"/>
  <c r="P1565" i="2" s="1"/>
  <c r="Q1565" i="2" s="1"/>
  <c r="J1566" i="2"/>
  <c r="P1566" i="2" s="1"/>
  <c r="Q1566" i="2" s="1"/>
  <c r="J1567" i="2"/>
  <c r="P1567" i="2" s="1"/>
  <c r="Q1567" i="2" s="1"/>
  <c r="J1568" i="2"/>
  <c r="P1568" i="2" s="1"/>
  <c r="Q1568" i="2" s="1"/>
  <c r="J1569" i="2"/>
  <c r="P1569" i="2" s="1"/>
  <c r="Q1569" i="2" s="1"/>
  <c r="J1570" i="2"/>
  <c r="P1570" i="2" s="1"/>
  <c r="Q1570" i="2" s="1"/>
  <c r="J1571" i="2"/>
  <c r="P1571" i="2" s="1"/>
  <c r="Q1571" i="2" s="1"/>
  <c r="J1572" i="2"/>
  <c r="P1572" i="2" s="1"/>
  <c r="Q1572" i="2" s="1"/>
  <c r="J1573" i="2"/>
  <c r="P1573" i="2" s="1"/>
  <c r="Q1573" i="2" s="1"/>
  <c r="J1574" i="2"/>
  <c r="P1574" i="2" s="1"/>
  <c r="Q1574" i="2" s="1"/>
  <c r="J1575" i="2"/>
  <c r="P1575" i="2" s="1"/>
  <c r="Q1575" i="2" s="1"/>
  <c r="J1576" i="2"/>
  <c r="P1576" i="2" s="1"/>
  <c r="Q1576" i="2" s="1"/>
  <c r="J1577" i="2"/>
  <c r="P1577" i="2" s="1"/>
  <c r="Q1577" i="2" s="1"/>
  <c r="J1578" i="2"/>
  <c r="P1578" i="2" s="1"/>
  <c r="Q1578" i="2" s="1"/>
  <c r="J1579" i="2"/>
  <c r="P1579" i="2" s="1"/>
  <c r="Q1579" i="2" s="1"/>
  <c r="J1580" i="2"/>
  <c r="P1580" i="2" s="1"/>
  <c r="Q1580" i="2" s="1"/>
  <c r="J1581" i="2"/>
  <c r="P1581" i="2" s="1"/>
  <c r="Q1581" i="2" s="1"/>
  <c r="J1582" i="2"/>
  <c r="P1582" i="2" s="1"/>
  <c r="Q1582" i="2" s="1"/>
  <c r="J1583" i="2"/>
  <c r="P1583" i="2" s="1"/>
  <c r="Q1583" i="2" s="1"/>
  <c r="J1584" i="2"/>
  <c r="P1584" i="2" s="1"/>
  <c r="Q1584" i="2" s="1"/>
  <c r="J1585" i="2"/>
  <c r="P1585" i="2" s="1"/>
  <c r="Q1585" i="2" s="1"/>
  <c r="J1586" i="2"/>
  <c r="P1586" i="2" s="1"/>
  <c r="Q1586" i="2" s="1"/>
  <c r="J1587" i="2"/>
  <c r="P1587" i="2" s="1"/>
  <c r="Q1587" i="2" s="1"/>
  <c r="J1588" i="2"/>
  <c r="P1588" i="2" s="1"/>
  <c r="Q1588" i="2" s="1"/>
  <c r="J1589" i="2"/>
  <c r="P1589" i="2" s="1"/>
  <c r="Q1589" i="2" s="1"/>
  <c r="J1590" i="2"/>
  <c r="P1590" i="2" s="1"/>
  <c r="Q1590" i="2" s="1"/>
  <c r="J1591" i="2"/>
  <c r="P1591" i="2" s="1"/>
  <c r="Q1591" i="2" s="1"/>
  <c r="J1592" i="2"/>
  <c r="P1592" i="2" s="1"/>
  <c r="Q1592" i="2" s="1"/>
  <c r="J1593" i="2"/>
  <c r="P1593" i="2" s="1"/>
  <c r="Q1593" i="2" s="1"/>
  <c r="J1594" i="2"/>
  <c r="P1594" i="2" s="1"/>
  <c r="Q1594" i="2" s="1"/>
  <c r="J1595" i="2"/>
  <c r="P1595" i="2" s="1"/>
  <c r="Q1595" i="2" s="1"/>
  <c r="J1596" i="2"/>
  <c r="P1596" i="2" s="1"/>
  <c r="Q1596" i="2" s="1"/>
  <c r="J1597" i="2"/>
  <c r="P1597" i="2" s="1"/>
  <c r="Q1597" i="2" s="1"/>
  <c r="J1598" i="2"/>
  <c r="P1598" i="2" s="1"/>
  <c r="Q1598" i="2" s="1"/>
  <c r="J1599" i="2"/>
  <c r="P1599" i="2" s="1"/>
  <c r="Q1599" i="2" s="1"/>
  <c r="J1600" i="2"/>
  <c r="P1600" i="2" s="1"/>
  <c r="Q1600" i="2" s="1"/>
  <c r="J1601" i="2"/>
  <c r="P1601" i="2" s="1"/>
  <c r="Q1601" i="2" s="1"/>
  <c r="J1602" i="2"/>
  <c r="P1602" i="2" s="1"/>
  <c r="Q1602" i="2" s="1"/>
  <c r="J1603" i="2"/>
  <c r="P1603" i="2" s="1"/>
  <c r="Q1603" i="2" s="1"/>
  <c r="J1604" i="2"/>
  <c r="P1604" i="2" s="1"/>
  <c r="Q1604" i="2" s="1"/>
  <c r="J1605" i="2"/>
  <c r="P1605" i="2" s="1"/>
  <c r="Q1605" i="2" s="1"/>
  <c r="J1606" i="2"/>
  <c r="P1606" i="2" s="1"/>
  <c r="Q1606" i="2" s="1"/>
  <c r="J1607" i="2"/>
  <c r="P1607" i="2" s="1"/>
  <c r="Q1607" i="2" s="1"/>
  <c r="J1608" i="2"/>
  <c r="P1608" i="2" s="1"/>
  <c r="Q1608" i="2" s="1"/>
  <c r="J1609" i="2"/>
  <c r="P1609" i="2" s="1"/>
  <c r="Q1609" i="2" s="1"/>
  <c r="J1610" i="2"/>
  <c r="P1610" i="2" s="1"/>
  <c r="Q1610" i="2" s="1"/>
  <c r="J1611" i="2"/>
  <c r="P1611" i="2" s="1"/>
  <c r="Q1611" i="2" s="1"/>
  <c r="J1612" i="2"/>
  <c r="P1612" i="2" s="1"/>
  <c r="Q1612" i="2" s="1"/>
  <c r="J1613" i="2"/>
  <c r="P1613" i="2" s="1"/>
  <c r="Q1613" i="2" s="1"/>
  <c r="J1614" i="2"/>
  <c r="P1614" i="2" s="1"/>
  <c r="Q1614" i="2" s="1"/>
  <c r="J1615" i="2"/>
  <c r="P1615" i="2" s="1"/>
  <c r="Q1615" i="2" s="1"/>
  <c r="J1616" i="2"/>
  <c r="P1616" i="2" s="1"/>
  <c r="Q1616" i="2" s="1"/>
  <c r="J1617" i="2"/>
  <c r="P1617" i="2" s="1"/>
  <c r="Q1617" i="2" s="1"/>
  <c r="J1618" i="2"/>
  <c r="P1618" i="2" s="1"/>
  <c r="Q1618" i="2" s="1"/>
  <c r="J1619" i="2"/>
  <c r="P1619" i="2" s="1"/>
  <c r="Q1619" i="2" s="1"/>
  <c r="J1620" i="2"/>
  <c r="P1620" i="2" s="1"/>
  <c r="Q1620" i="2" s="1"/>
  <c r="J1621" i="2"/>
  <c r="P1621" i="2" s="1"/>
  <c r="Q1621" i="2" s="1"/>
  <c r="J1622" i="2"/>
  <c r="P1622" i="2" s="1"/>
  <c r="Q1622" i="2" s="1"/>
  <c r="J1623" i="2"/>
  <c r="P1623" i="2" s="1"/>
  <c r="Q1623" i="2" s="1"/>
  <c r="J1624" i="2"/>
  <c r="P1624" i="2" s="1"/>
  <c r="Q1624" i="2" s="1"/>
  <c r="J1625" i="2"/>
  <c r="P1625" i="2" s="1"/>
  <c r="Q1625" i="2" s="1"/>
  <c r="J1626" i="2"/>
  <c r="P1626" i="2" s="1"/>
  <c r="Q1626" i="2" s="1"/>
  <c r="J1627" i="2"/>
  <c r="P1627" i="2" s="1"/>
  <c r="Q1627" i="2" s="1"/>
  <c r="J1628" i="2"/>
  <c r="P1628" i="2" s="1"/>
  <c r="Q1628" i="2" s="1"/>
  <c r="J1629" i="2"/>
  <c r="P1629" i="2" s="1"/>
  <c r="Q1629" i="2" s="1"/>
  <c r="J1630" i="2"/>
  <c r="P1630" i="2" s="1"/>
  <c r="Q1630" i="2" s="1"/>
  <c r="J1631" i="2"/>
  <c r="P1631" i="2" s="1"/>
  <c r="Q1631" i="2" s="1"/>
  <c r="J1632" i="2"/>
  <c r="P1632" i="2" s="1"/>
  <c r="Q1632" i="2" s="1"/>
  <c r="J1633" i="2"/>
  <c r="P1633" i="2" s="1"/>
  <c r="Q1633" i="2" s="1"/>
  <c r="J1634" i="2"/>
  <c r="P1634" i="2" s="1"/>
  <c r="Q1634" i="2" s="1"/>
  <c r="J1635" i="2"/>
  <c r="P1635" i="2" s="1"/>
  <c r="Q1635" i="2" s="1"/>
  <c r="J1636" i="2"/>
  <c r="P1636" i="2" s="1"/>
  <c r="Q1636" i="2" s="1"/>
  <c r="J1637" i="2"/>
  <c r="P1637" i="2" s="1"/>
  <c r="Q1637" i="2" s="1"/>
  <c r="J1638" i="2"/>
  <c r="P1638" i="2" s="1"/>
  <c r="Q1638" i="2" s="1"/>
  <c r="J1639" i="2"/>
  <c r="P1639" i="2" s="1"/>
  <c r="Q1639" i="2" s="1"/>
  <c r="J1640" i="2"/>
  <c r="P1640" i="2" s="1"/>
  <c r="Q1640" i="2" s="1"/>
  <c r="J1641" i="2"/>
  <c r="P1641" i="2" s="1"/>
  <c r="Q1641" i="2" s="1"/>
  <c r="J1642" i="2"/>
  <c r="P1642" i="2" s="1"/>
  <c r="Q1642" i="2" s="1"/>
  <c r="J1643" i="2"/>
  <c r="P1643" i="2" s="1"/>
  <c r="Q1643" i="2" s="1"/>
  <c r="J1644" i="2"/>
  <c r="P1644" i="2" s="1"/>
  <c r="Q1644" i="2" s="1"/>
  <c r="J1645" i="2"/>
  <c r="P1645" i="2" s="1"/>
  <c r="Q1645" i="2" s="1"/>
  <c r="J1646" i="2"/>
  <c r="P1646" i="2" s="1"/>
  <c r="Q1646" i="2" s="1"/>
  <c r="J1647" i="2"/>
  <c r="P1647" i="2" s="1"/>
  <c r="Q1647" i="2" s="1"/>
  <c r="J1648" i="2"/>
  <c r="P1648" i="2" s="1"/>
  <c r="Q1648" i="2" s="1"/>
  <c r="J1649" i="2"/>
  <c r="P1649" i="2" s="1"/>
  <c r="Q1649" i="2" s="1"/>
  <c r="J1650" i="2"/>
  <c r="P1650" i="2" s="1"/>
  <c r="Q1650" i="2" s="1"/>
  <c r="J1651" i="2"/>
  <c r="P1651" i="2" s="1"/>
  <c r="Q1651" i="2" s="1"/>
  <c r="J1652" i="2"/>
  <c r="P1652" i="2" s="1"/>
  <c r="Q1652" i="2" s="1"/>
  <c r="J1653" i="2"/>
  <c r="P1653" i="2" s="1"/>
  <c r="Q1653" i="2" s="1"/>
  <c r="J1654" i="2"/>
  <c r="P1654" i="2" s="1"/>
  <c r="Q1654" i="2" s="1"/>
  <c r="J1655" i="2"/>
  <c r="P1655" i="2" s="1"/>
  <c r="Q1655" i="2" s="1"/>
  <c r="J1656" i="2"/>
  <c r="P1656" i="2" s="1"/>
  <c r="Q1656" i="2" s="1"/>
  <c r="J1657" i="2"/>
  <c r="P1657" i="2" s="1"/>
  <c r="Q1657" i="2" s="1"/>
  <c r="J1658" i="2"/>
  <c r="P1658" i="2" s="1"/>
  <c r="Q1658" i="2" s="1"/>
  <c r="J1659" i="2"/>
  <c r="P1659" i="2" s="1"/>
  <c r="Q1659" i="2" s="1"/>
  <c r="J1660" i="2"/>
  <c r="P1660" i="2" s="1"/>
  <c r="Q1660" i="2" s="1"/>
  <c r="J1661" i="2"/>
  <c r="P1661" i="2" s="1"/>
  <c r="Q1661" i="2" s="1"/>
  <c r="J1662" i="2"/>
  <c r="P1662" i="2" s="1"/>
  <c r="Q1662" i="2" s="1"/>
  <c r="J1663" i="2"/>
  <c r="P1663" i="2" s="1"/>
  <c r="Q1663" i="2" s="1"/>
  <c r="J1664" i="2"/>
  <c r="P1664" i="2" s="1"/>
  <c r="Q1664" i="2" s="1"/>
  <c r="J1665" i="2"/>
  <c r="P1665" i="2" s="1"/>
  <c r="Q1665" i="2" s="1"/>
  <c r="J1666" i="2"/>
  <c r="P1666" i="2" s="1"/>
  <c r="Q1666" i="2" s="1"/>
  <c r="J1667" i="2"/>
  <c r="P1667" i="2" s="1"/>
  <c r="Q1667" i="2" s="1"/>
  <c r="J1668" i="2"/>
  <c r="P1668" i="2" s="1"/>
  <c r="Q1668" i="2" s="1"/>
  <c r="J1669" i="2"/>
  <c r="P1669" i="2" s="1"/>
  <c r="Q1669" i="2" s="1"/>
  <c r="J1670" i="2"/>
  <c r="P1670" i="2" s="1"/>
  <c r="Q1670" i="2" s="1"/>
  <c r="J1671" i="2"/>
  <c r="P1671" i="2" s="1"/>
  <c r="Q1671" i="2" s="1"/>
  <c r="J1672" i="2"/>
  <c r="P1672" i="2" s="1"/>
  <c r="Q1672" i="2" s="1"/>
  <c r="J1673" i="2"/>
  <c r="P1673" i="2" s="1"/>
  <c r="Q1673" i="2" s="1"/>
  <c r="J1674" i="2"/>
  <c r="P1674" i="2" s="1"/>
  <c r="Q1674" i="2" s="1"/>
  <c r="J1675" i="2"/>
  <c r="P1675" i="2" s="1"/>
  <c r="Q1675" i="2" s="1"/>
  <c r="J1676" i="2"/>
  <c r="P1676" i="2" s="1"/>
  <c r="Q1676" i="2" s="1"/>
  <c r="J1677" i="2"/>
  <c r="P1677" i="2" s="1"/>
  <c r="Q1677" i="2" s="1"/>
  <c r="J1678" i="2"/>
  <c r="P1678" i="2" s="1"/>
  <c r="Q1678" i="2" s="1"/>
  <c r="J1679" i="2"/>
  <c r="P1679" i="2" s="1"/>
  <c r="Q1679" i="2" s="1"/>
  <c r="J1680" i="2"/>
  <c r="P1680" i="2" s="1"/>
  <c r="Q1680" i="2" s="1"/>
  <c r="J1681" i="2"/>
  <c r="P1681" i="2" s="1"/>
  <c r="Q1681" i="2" s="1"/>
  <c r="J1682" i="2"/>
  <c r="P1682" i="2" s="1"/>
  <c r="Q1682" i="2" s="1"/>
  <c r="J1683" i="2"/>
  <c r="P1683" i="2" s="1"/>
  <c r="Q1683" i="2" s="1"/>
  <c r="J1684" i="2"/>
  <c r="P1684" i="2" s="1"/>
  <c r="Q1684" i="2" s="1"/>
  <c r="J1685" i="2"/>
  <c r="P1685" i="2" s="1"/>
  <c r="Q1685" i="2" s="1"/>
  <c r="J1686" i="2"/>
  <c r="P1686" i="2" s="1"/>
  <c r="Q1686" i="2" s="1"/>
  <c r="J1687" i="2"/>
  <c r="P1687" i="2" s="1"/>
  <c r="Q1687" i="2" s="1"/>
  <c r="J1688" i="2"/>
  <c r="P1688" i="2" s="1"/>
  <c r="Q1688" i="2" s="1"/>
  <c r="J1689" i="2"/>
  <c r="P1689" i="2" s="1"/>
  <c r="Q1689" i="2" s="1"/>
  <c r="J1690" i="2"/>
  <c r="P1690" i="2" s="1"/>
  <c r="Q1690" i="2" s="1"/>
  <c r="J1691" i="2"/>
  <c r="P1691" i="2" s="1"/>
  <c r="Q1691" i="2" s="1"/>
  <c r="J1692" i="2"/>
  <c r="P1692" i="2" s="1"/>
  <c r="Q1692" i="2" s="1"/>
  <c r="J1693" i="2"/>
  <c r="P1693" i="2" s="1"/>
  <c r="Q1693" i="2" s="1"/>
  <c r="J1694" i="2"/>
  <c r="P1694" i="2" s="1"/>
  <c r="Q1694" i="2" s="1"/>
  <c r="J1695" i="2"/>
  <c r="P1695" i="2" s="1"/>
  <c r="Q1695" i="2" s="1"/>
  <c r="J1696" i="2"/>
  <c r="P1696" i="2" s="1"/>
  <c r="Q1696" i="2" s="1"/>
  <c r="J1697" i="2"/>
  <c r="P1697" i="2" s="1"/>
  <c r="Q1697" i="2" s="1"/>
  <c r="J1698" i="2"/>
  <c r="P1698" i="2" s="1"/>
  <c r="Q1698" i="2" s="1"/>
  <c r="J1699" i="2"/>
  <c r="P1699" i="2" s="1"/>
  <c r="Q1699" i="2" s="1"/>
  <c r="J1700" i="2"/>
  <c r="P1700" i="2" s="1"/>
  <c r="Q1700" i="2" s="1"/>
  <c r="J1701" i="2"/>
  <c r="P1701" i="2" s="1"/>
  <c r="Q1701" i="2" s="1"/>
  <c r="J1702" i="2"/>
  <c r="P1702" i="2" s="1"/>
  <c r="Q1702" i="2" s="1"/>
  <c r="J1703" i="2"/>
  <c r="P1703" i="2" s="1"/>
  <c r="Q1703" i="2" s="1"/>
  <c r="J1704" i="2"/>
  <c r="P1704" i="2" s="1"/>
  <c r="Q1704" i="2" s="1"/>
  <c r="J1705" i="2"/>
  <c r="P1705" i="2" s="1"/>
  <c r="Q1705" i="2" s="1"/>
  <c r="J1706" i="2"/>
  <c r="P1706" i="2" s="1"/>
  <c r="Q1706" i="2" s="1"/>
  <c r="J1707" i="2"/>
  <c r="P1707" i="2" s="1"/>
  <c r="Q1707" i="2" s="1"/>
  <c r="J1708" i="2"/>
  <c r="P1708" i="2" s="1"/>
  <c r="Q1708" i="2" s="1"/>
  <c r="J1709" i="2"/>
  <c r="P1709" i="2" s="1"/>
  <c r="Q1709" i="2" s="1"/>
  <c r="J1710" i="2"/>
  <c r="P1710" i="2" s="1"/>
  <c r="Q1710" i="2" s="1"/>
  <c r="J1711" i="2"/>
  <c r="P1711" i="2" s="1"/>
  <c r="Q1711" i="2" s="1"/>
  <c r="J1712" i="2"/>
  <c r="P1712" i="2" s="1"/>
  <c r="Q1712" i="2" s="1"/>
  <c r="J1713" i="2"/>
  <c r="P1713" i="2" s="1"/>
  <c r="Q1713" i="2" s="1"/>
  <c r="J1714" i="2"/>
  <c r="P1714" i="2" s="1"/>
  <c r="Q1714" i="2" s="1"/>
  <c r="J1715" i="2"/>
  <c r="P1715" i="2" s="1"/>
  <c r="Q1715" i="2" s="1"/>
  <c r="J1716" i="2"/>
  <c r="P1716" i="2" s="1"/>
  <c r="Q1716" i="2" s="1"/>
  <c r="J1717" i="2"/>
  <c r="P1717" i="2" s="1"/>
  <c r="Q1717" i="2" s="1"/>
  <c r="J1718" i="2"/>
  <c r="P1718" i="2" s="1"/>
  <c r="Q1718" i="2" s="1"/>
  <c r="J1719" i="2"/>
  <c r="P1719" i="2" s="1"/>
  <c r="Q1719" i="2" s="1"/>
  <c r="J1720" i="2"/>
  <c r="P1720" i="2" s="1"/>
  <c r="Q1720" i="2" s="1"/>
  <c r="J1721" i="2"/>
  <c r="P1721" i="2" s="1"/>
  <c r="Q1721" i="2" s="1"/>
  <c r="J1722" i="2"/>
  <c r="P1722" i="2" s="1"/>
  <c r="Q1722" i="2" s="1"/>
  <c r="J1723" i="2"/>
  <c r="P1723" i="2" s="1"/>
  <c r="Q1723" i="2" s="1"/>
  <c r="J1724" i="2"/>
  <c r="P1724" i="2" s="1"/>
  <c r="Q1724" i="2" s="1"/>
  <c r="J1725" i="2"/>
  <c r="P1725" i="2" s="1"/>
  <c r="Q1725" i="2" s="1"/>
  <c r="J1726" i="2"/>
  <c r="P1726" i="2" s="1"/>
  <c r="Q1726" i="2" s="1"/>
  <c r="J1727" i="2"/>
  <c r="P1727" i="2" s="1"/>
  <c r="Q1727" i="2" s="1"/>
  <c r="J1728" i="2"/>
  <c r="P1728" i="2" s="1"/>
  <c r="Q1728" i="2" s="1"/>
  <c r="J1729" i="2"/>
  <c r="P1729" i="2" s="1"/>
  <c r="Q1729" i="2" s="1"/>
  <c r="J1730" i="2"/>
  <c r="P1730" i="2" s="1"/>
  <c r="Q1730" i="2" s="1"/>
  <c r="J1731" i="2"/>
  <c r="P1731" i="2" s="1"/>
  <c r="Q1731" i="2" s="1"/>
  <c r="J1732" i="2"/>
  <c r="P1732" i="2" s="1"/>
  <c r="Q1732" i="2" s="1"/>
  <c r="J1733" i="2"/>
  <c r="P1733" i="2" s="1"/>
  <c r="Q1733" i="2" s="1"/>
  <c r="J1734" i="2"/>
  <c r="P1734" i="2" s="1"/>
  <c r="Q1734" i="2" s="1"/>
  <c r="J1735" i="2"/>
  <c r="P1735" i="2" s="1"/>
  <c r="Q1735" i="2" s="1"/>
  <c r="J1736" i="2"/>
  <c r="P1736" i="2" s="1"/>
  <c r="Q1736" i="2" s="1"/>
  <c r="J1737" i="2"/>
  <c r="P1737" i="2" s="1"/>
  <c r="Q1737" i="2" s="1"/>
  <c r="J1738" i="2"/>
  <c r="P1738" i="2" s="1"/>
  <c r="Q1738" i="2" s="1"/>
  <c r="J1739" i="2"/>
  <c r="P1739" i="2" s="1"/>
  <c r="Q1739" i="2" s="1"/>
  <c r="J1740" i="2"/>
  <c r="P1740" i="2" s="1"/>
  <c r="Q1740" i="2" s="1"/>
  <c r="J1741" i="2"/>
  <c r="P1741" i="2" s="1"/>
  <c r="Q1741" i="2" s="1"/>
  <c r="J1742" i="2"/>
  <c r="P1742" i="2" s="1"/>
  <c r="Q1742" i="2" s="1"/>
  <c r="J1743" i="2"/>
  <c r="P1743" i="2" s="1"/>
  <c r="Q1743" i="2" s="1"/>
  <c r="J1744" i="2"/>
  <c r="P1744" i="2" s="1"/>
  <c r="Q1744" i="2" s="1"/>
  <c r="J1745" i="2"/>
  <c r="P1745" i="2" s="1"/>
  <c r="Q1745" i="2" s="1"/>
  <c r="J1746" i="2"/>
  <c r="P1746" i="2" s="1"/>
  <c r="Q1746" i="2" s="1"/>
  <c r="J1747" i="2"/>
  <c r="P1747" i="2" s="1"/>
  <c r="Q1747" i="2" s="1"/>
  <c r="J1748" i="2"/>
  <c r="P1748" i="2" s="1"/>
  <c r="Q1748" i="2" s="1"/>
  <c r="J1749" i="2"/>
  <c r="P1749" i="2" s="1"/>
  <c r="Q1749" i="2" s="1"/>
  <c r="J1750" i="2"/>
  <c r="P1750" i="2" s="1"/>
  <c r="Q1750" i="2" s="1"/>
  <c r="J1751" i="2"/>
  <c r="P1751" i="2" s="1"/>
  <c r="Q1751" i="2" s="1"/>
  <c r="J1752" i="2"/>
  <c r="P1752" i="2" s="1"/>
  <c r="Q1752" i="2" s="1"/>
  <c r="J1753" i="2"/>
  <c r="P1753" i="2" s="1"/>
  <c r="Q1753" i="2" s="1"/>
  <c r="J1754" i="2"/>
  <c r="P1754" i="2" s="1"/>
  <c r="Q1754" i="2" s="1"/>
  <c r="J1755" i="2"/>
  <c r="P1755" i="2" s="1"/>
  <c r="Q1755" i="2" s="1"/>
  <c r="J1756" i="2"/>
  <c r="P1756" i="2" s="1"/>
  <c r="Q1756" i="2" s="1"/>
  <c r="J1757" i="2"/>
  <c r="P1757" i="2" s="1"/>
  <c r="Q1757" i="2" s="1"/>
  <c r="J1758" i="2"/>
  <c r="P1758" i="2" s="1"/>
  <c r="Q1758" i="2" s="1"/>
  <c r="J1759" i="2"/>
  <c r="P1759" i="2" s="1"/>
  <c r="Q1759" i="2" s="1"/>
  <c r="J1760" i="2"/>
  <c r="P1760" i="2" s="1"/>
  <c r="Q1760" i="2" s="1"/>
  <c r="J1761" i="2"/>
  <c r="P1761" i="2" s="1"/>
  <c r="Q1761" i="2" s="1"/>
  <c r="J1762" i="2"/>
  <c r="P1762" i="2" s="1"/>
  <c r="Q1762" i="2" s="1"/>
  <c r="J1763" i="2"/>
  <c r="P1763" i="2" s="1"/>
  <c r="Q1763" i="2" s="1"/>
  <c r="J1764" i="2"/>
  <c r="P1764" i="2" s="1"/>
  <c r="Q1764" i="2" s="1"/>
  <c r="J1765" i="2"/>
  <c r="P1765" i="2" s="1"/>
  <c r="Q1765" i="2" s="1"/>
  <c r="J1766" i="2"/>
  <c r="P1766" i="2" s="1"/>
  <c r="Q1766" i="2" s="1"/>
  <c r="J1767" i="2"/>
  <c r="P1767" i="2" s="1"/>
  <c r="Q1767" i="2" s="1"/>
  <c r="J1768" i="2"/>
  <c r="P1768" i="2" s="1"/>
  <c r="Q1768" i="2" s="1"/>
  <c r="J1769" i="2"/>
  <c r="P1769" i="2" s="1"/>
  <c r="Q1769" i="2" s="1"/>
  <c r="J1770" i="2"/>
  <c r="P1770" i="2" s="1"/>
  <c r="Q1770" i="2" s="1"/>
  <c r="J1771" i="2"/>
  <c r="P1771" i="2" s="1"/>
  <c r="Q1771" i="2" s="1"/>
  <c r="J1772" i="2"/>
  <c r="P1772" i="2" s="1"/>
  <c r="Q1772" i="2" s="1"/>
  <c r="J1773" i="2"/>
  <c r="P1773" i="2" s="1"/>
  <c r="Q1773" i="2" s="1"/>
  <c r="J1774" i="2"/>
  <c r="P1774" i="2" s="1"/>
  <c r="Q1774" i="2" s="1"/>
  <c r="J1775" i="2"/>
  <c r="P1775" i="2" s="1"/>
  <c r="Q1775" i="2" s="1"/>
  <c r="J1776" i="2"/>
  <c r="P1776" i="2" s="1"/>
  <c r="Q1776" i="2" s="1"/>
  <c r="J1777" i="2"/>
  <c r="P1777" i="2" s="1"/>
  <c r="Q1777" i="2" s="1"/>
  <c r="J1778" i="2"/>
  <c r="P1778" i="2" s="1"/>
  <c r="Q1778" i="2" s="1"/>
  <c r="J1779" i="2"/>
  <c r="P1779" i="2" s="1"/>
  <c r="Q1779" i="2" s="1"/>
  <c r="J1780" i="2"/>
  <c r="P1780" i="2" s="1"/>
  <c r="Q1780" i="2" s="1"/>
  <c r="J1781" i="2"/>
  <c r="P1781" i="2" s="1"/>
  <c r="Q1781" i="2" s="1"/>
  <c r="J1782" i="2"/>
  <c r="P1782" i="2" s="1"/>
  <c r="Q1782" i="2" s="1"/>
  <c r="J1783" i="2"/>
  <c r="P1783" i="2" s="1"/>
  <c r="Q1783" i="2" s="1"/>
  <c r="J1784" i="2"/>
  <c r="P1784" i="2" s="1"/>
  <c r="Q1784" i="2" s="1"/>
  <c r="J1785" i="2"/>
  <c r="P1785" i="2" s="1"/>
  <c r="Q1785" i="2" s="1"/>
  <c r="J1786" i="2"/>
  <c r="P1786" i="2" s="1"/>
  <c r="Q1786" i="2" s="1"/>
  <c r="J1787" i="2"/>
  <c r="P1787" i="2" s="1"/>
  <c r="Q1787" i="2" s="1"/>
  <c r="J1788" i="2"/>
  <c r="P1788" i="2" s="1"/>
  <c r="Q1788" i="2" s="1"/>
  <c r="J1789" i="2"/>
  <c r="P1789" i="2" s="1"/>
  <c r="Q1789" i="2" s="1"/>
  <c r="J1790" i="2"/>
  <c r="P1790" i="2" s="1"/>
  <c r="Q1790" i="2" s="1"/>
  <c r="J1791" i="2"/>
  <c r="P1791" i="2" s="1"/>
  <c r="Q1791" i="2" s="1"/>
  <c r="J1792" i="2"/>
  <c r="P1792" i="2" s="1"/>
  <c r="Q1792" i="2" s="1"/>
  <c r="J1793" i="2"/>
  <c r="P1793" i="2" s="1"/>
  <c r="Q1793" i="2" s="1"/>
  <c r="J1794" i="2"/>
  <c r="P1794" i="2" s="1"/>
  <c r="Q1794" i="2" s="1"/>
  <c r="J1795" i="2"/>
  <c r="P1795" i="2" s="1"/>
  <c r="Q1795" i="2" s="1"/>
  <c r="J1796" i="2"/>
  <c r="P1796" i="2" s="1"/>
  <c r="Q1796" i="2" s="1"/>
  <c r="J1797" i="2"/>
  <c r="P1797" i="2" s="1"/>
  <c r="Q1797" i="2" s="1"/>
  <c r="J1798" i="2"/>
  <c r="P1798" i="2" s="1"/>
  <c r="Q1798" i="2" s="1"/>
  <c r="J1799" i="2"/>
  <c r="P1799" i="2" s="1"/>
  <c r="Q1799" i="2" s="1"/>
  <c r="J1800" i="2"/>
  <c r="P1800" i="2" s="1"/>
  <c r="Q1800" i="2" s="1"/>
  <c r="J1801" i="2"/>
  <c r="P1801" i="2" s="1"/>
  <c r="Q1801" i="2" s="1"/>
  <c r="J1802" i="2"/>
  <c r="P1802" i="2" s="1"/>
  <c r="Q1802" i="2" s="1"/>
  <c r="J1803" i="2"/>
  <c r="P1803" i="2" s="1"/>
  <c r="Q1803" i="2" s="1"/>
  <c r="J1804" i="2"/>
  <c r="P1804" i="2" s="1"/>
  <c r="Q1804" i="2" s="1"/>
  <c r="J1805" i="2"/>
  <c r="P1805" i="2" s="1"/>
  <c r="Q1805" i="2" s="1"/>
  <c r="J1806" i="2"/>
  <c r="P1806" i="2" s="1"/>
  <c r="Q1806" i="2" s="1"/>
  <c r="J1807" i="2"/>
  <c r="P1807" i="2" s="1"/>
  <c r="Q1807" i="2" s="1"/>
  <c r="J1808" i="2"/>
  <c r="P1808" i="2" s="1"/>
  <c r="Q1808" i="2" s="1"/>
  <c r="J1809" i="2"/>
  <c r="P1809" i="2" s="1"/>
  <c r="Q1809" i="2" s="1"/>
  <c r="J1810" i="2"/>
  <c r="P1810" i="2" s="1"/>
  <c r="Q1810" i="2" s="1"/>
  <c r="J1811" i="2"/>
  <c r="P1811" i="2" s="1"/>
  <c r="Q1811" i="2" s="1"/>
  <c r="J1812" i="2"/>
  <c r="P1812" i="2" s="1"/>
  <c r="Q1812" i="2" s="1"/>
  <c r="J1813" i="2"/>
  <c r="P1813" i="2" s="1"/>
  <c r="Q1813" i="2" s="1"/>
  <c r="J1814" i="2"/>
  <c r="P1814" i="2" s="1"/>
  <c r="Q1814" i="2" s="1"/>
  <c r="J1815" i="2"/>
  <c r="P1815" i="2" s="1"/>
  <c r="Q1815" i="2" s="1"/>
  <c r="J1816" i="2"/>
  <c r="P1816" i="2" s="1"/>
  <c r="Q1816" i="2" s="1"/>
  <c r="J1817" i="2"/>
  <c r="P1817" i="2" s="1"/>
  <c r="Q1817" i="2" s="1"/>
  <c r="J1818" i="2"/>
  <c r="P1818" i="2" s="1"/>
  <c r="Q1818" i="2" s="1"/>
  <c r="J1819" i="2"/>
  <c r="P1819" i="2" s="1"/>
  <c r="Q1819" i="2" s="1"/>
  <c r="J1820" i="2"/>
  <c r="P1820" i="2" s="1"/>
  <c r="Q1820" i="2" s="1"/>
  <c r="J1821" i="2"/>
  <c r="P1821" i="2" s="1"/>
  <c r="Q1821" i="2" s="1"/>
  <c r="J1822" i="2"/>
  <c r="P1822" i="2" s="1"/>
  <c r="Q1822" i="2" s="1"/>
  <c r="J1823" i="2"/>
  <c r="P1823" i="2" s="1"/>
  <c r="Q1823" i="2" s="1"/>
  <c r="J1824" i="2"/>
  <c r="P1824" i="2" s="1"/>
  <c r="Q1824" i="2" s="1"/>
  <c r="J1825" i="2"/>
  <c r="P1825" i="2" s="1"/>
  <c r="Q1825" i="2" s="1"/>
  <c r="J1826" i="2"/>
  <c r="P1826" i="2" s="1"/>
  <c r="Q1826" i="2" s="1"/>
  <c r="J1827" i="2"/>
  <c r="P1827" i="2" s="1"/>
  <c r="Q1827" i="2" s="1"/>
  <c r="J1828" i="2"/>
  <c r="P1828" i="2" s="1"/>
  <c r="Q1828" i="2" s="1"/>
  <c r="J1829" i="2"/>
  <c r="P1829" i="2" s="1"/>
  <c r="Q1829" i="2" s="1"/>
  <c r="J1830" i="2"/>
  <c r="P1830" i="2" s="1"/>
  <c r="Q1830" i="2" s="1"/>
  <c r="J1831" i="2"/>
  <c r="P1831" i="2" s="1"/>
  <c r="Q1831" i="2" s="1"/>
  <c r="J1832" i="2"/>
  <c r="P1832" i="2" s="1"/>
  <c r="Q1832" i="2" s="1"/>
  <c r="J1833" i="2"/>
  <c r="P1833" i="2" s="1"/>
  <c r="Q1833" i="2" s="1"/>
  <c r="J1834" i="2"/>
  <c r="P1834" i="2" s="1"/>
  <c r="Q1834" i="2" s="1"/>
  <c r="J1835" i="2"/>
  <c r="P1835" i="2" s="1"/>
  <c r="Q1835" i="2" s="1"/>
  <c r="J1836" i="2"/>
  <c r="P1836" i="2" s="1"/>
  <c r="Q1836" i="2" s="1"/>
  <c r="J1837" i="2"/>
  <c r="P1837" i="2" s="1"/>
  <c r="Q1837" i="2" s="1"/>
  <c r="J1838" i="2"/>
  <c r="P1838" i="2" s="1"/>
  <c r="Q1838" i="2" s="1"/>
  <c r="J1839" i="2"/>
  <c r="P1839" i="2" s="1"/>
  <c r="Q1839" i="2" s="1"/>
  <c r="J1840" i="2"/>
  <c r="P1840" i="2" s="1"/>
  <c r="Q1840" i="2" s="1"/>
  <c r="J1841" i="2"/>
  <c r="P1841" i="2" s="1"/>
  <c r="Q1841" i="2" s="1"/>
  <c r="J1842" i="2"/>
  <c r="P1842" i="2" s="1"/>
  <c r="Q1842" i="2" s="1"/>
  <c r="J1843" i="2"/>
  <c r="P1843" i="2" s="1"/>
  <c r="Q1843" i="2" s="1"/>
  <c r="J1844" i="2"/>
  <c r="P1844" i="2" s="1"/>
  <c r="Q1844" i="2" s="1"/>
  <c r="J1845" i="2"/>
  <c r="P1845" i="2" s="1"/>
  <c r="Q1845" i="2" s="1"/>
  <c r="J1846" i="2"/>
  <c r="P1846" i="2" s="1"/>
  <c r="Q1846" i="2" s="1"/>
  <c r="J1847" i="2"/>
  <c r="P1847" i="2" s="1"/>
  <c r="Q1847" i="2" s="1"/>
  <c r="J1848" i="2"/>
  <c r="P1848" i="2" s="1"/>
  <c r="Q1848" i="2" s="1"/>
  <c r="J1849" i="2"/>
  <c r="P1849" i="2" s="1"/>
  <c r="Q1849" i="2" s="1"/>
  <c r="J1850" i="2"/>
  <c r="P1850" i="2" s="1"/>
  <c r="Q1850" i="2" s="1"/>
  <c r="J1851" i="2"/>
  <c r="P1851" i="2" s="1"/>
  <c r="Q1851" i="2" s="1"/>
  <c r="J1852" i="2"/>
  <c r="P1852" i="2" s="1"/>
  <c r="Q1852" i="2" s="1"/>
  <c r="J1853" i="2"/>
  <c r="P1853" i="2" s="1"/>
  <c r="Q1853" i="2" s="1"/>
  <c r="J1854" i="2"/>
  <c r="P1854" i="2" s="1"/>
  <c r="Q1854" i="2" s="1"/>
  <c r="J1855" i="2"/>
  <c r="P1855" i="2" s="1"/>
  <c r="Q1855" i="2" s="1"/>
  <c r="J1856" i="2"/>
  <c r="P1856" i="2" s="1"/>
  <c r="Q1856" i="2" s="1"/>
  <c r="J1857" i="2"/>
  <c r="P1857" i="2" s="1"/>
  <c r="Q1857" i="2" s="1"/>
  <c r="J1858" i="2"/>
  <c r="P1858" i="2" s="1"/>
  <c r="Q1858" i="2" s="1"/>
  <c r="J1859" i="2"/>
  <c r="P1859" i="2" s="1"/>
  <c r="Q1859" i="2" s="1"/>
  <c r="J1860" i="2"/>
  <c r="P1860" i="2" s="1"/>
  <c r="Q1860" i="2" s="1"/>
  <c r="J1861" i="2"/>
  <c r="P1861" i="2" s="1"/>
  <c r="Q1861" i="2" s="1"/>
  <c r="J1862" i="2"/>
  <c r="P1862" i="2" s="1"/>
  <c r="Q1862" i="2" s="1"/>
  <c r="J1863" i="2"/>
  <c r="P1863" i="2" s="1"/>
  <c r="Q1863" i="2" s="1"/>
  <c r="J1864" i="2"/>
  <c r="P1864" i="2" s="1"/>
  <c r="Q1864" i="2" s="1"/>
  <c r="J1865" i="2"/>
  <c r="P1865" i="2" s="1"/>
  <c r="Q1865" i="2" s="1"/>
  <c r="J1866" i="2"/>
  <c r="P1866" i="2" s="1"/>
  <c r="Q1866" i="2" s="1"/>
  <c r="J1867" i="2"/>
  <c r="P1867" i="2" s="1"/>
  <c r="Q1867" i="2" s="1"/>
  <c r="J1868" i="2"/>
  <c r="P1868" i="2" s="1"/>
  <c r="Q1868" i="2" s="1"/>
  <c r="J1869" i="2"/>
  <c r="P1869" i="2" s="1"/>
  <c r="Q1869" i="2" s="1"/>
  <c r="J1870" i="2"/>
  <c r="P1870" i="2" s="1"/>
  <c r="Q1870" i="2" s="1"/>
  <c r="J1871" i="2"/>
  <c r="P1871" i="2" s="1"/>
  <c r="Q1871" i="2" s="1"/>
  <c r="J1872" i="2"/>
  <c r="P1872" i="2" s="1"/>
  <c r="Q1872" i="2" s="1"/>
  <c r="J1873" i="2"/>
  <c r="P1873" i="2" s="1"/>
  <c r="Q1873" i="2" s="1"/>
  <c r="J1874" i="2"/>
  <c r="P1874" i="2" s="1"/>
  <c r="Q1874" i="2" s="1"/>
  <c r="J1875" i="2"/>
  <c r="P1875" i="2" s="1"/>
  <c r="Q1875" i="2" s="1"/>
  <c r="J1876" i="2"/>
  <c r="P1876" i="2" s="1"/>
  <c r="Q1876" i="2" s="1"/>
  <c r="J1877" i="2"/>
  <c r="P1877" i="2" s="1"/>
  <c r="Q1877" i="2" s="1"/>
  <c r="J1878" i="2"/>
  <c r="P1878" i="2" s="1"/>
  <c r="Q1878" i="2" s="1"/>
  <c r="J1879" i="2"/>
  <c r="P1879" i="2" s="1"/>
  <c r="Q1879" i="2" s="1"/>
  <c r="J1880" i="2"/>
  <c r="P1880" i="2" s="1"/>
  <c r="Q1880" i="2" s="1"/>
  <c r="J1881" i="2"/>
  <c r="P1881" i="2" s="1"/>
  <c r="Q1881" i="2" s="1"/>
  <c r="J1882" i="2"/>
  <c r="P1882" i="2" s="1"/>
  <c r="Q1882" i="2" s="1"/>
  <c r="J1883" i="2"/>
  <c r="P1883" i="2" s="1"/>
  <c r="Q1883" i="2" s="1"/>
  <c r="J1884" i="2"/>
  <c r="P1884" i="2" s="1"/>
  <c r="Q1884" i="2" s="1"/>
  <c r="J1885" i="2"/>
  <c r="P1885" i="2" s="1"/>
  <c r="Q1885" i="2" s="1"/>
  <c r="J1886" i="2"/>
  <c r="P1886" i="2" s="1"/>
  <c r="Q1886" i="2" s="1"/>
  <c r="J1887" i="2"/>
  <c r="P1887" i="2" s="1"/>
  <c r="Q1887" i="2" s="1"/>
  <c r="J1888" i="2"/>
  <c r="P1888" i="2" s="1"/>
  <c r="Q1888" i="2" s="1"/>
  <c r="J1889" i="2"/>
  <c r="P1889" i="2" s="1"/>
  <c r="Q1889" i="2" s="1"/>
  <c r="J1890" i="2"/>
  <c r="P1890" i="2" s="1"/>
  <c r="Q1890" i="2" s="1"/>
  <c r="J1891" i="2"/>
  <c r="P1891" i="2" s="1"/>
  <c r="Q1891" i="2" s="1"/>
  <c r="J1892" i="2"/>
  <c r="P1892" i="2" s="1"/>
  <c r="Q1892" i="2" s="1"/>
  <c r="J1893" i="2"/>
  <c r="P1893" i="2" s="1"/>
  <c r="Q1893" i="2" s="1"/>
  <c r="J1894" i="2"/>
  <c r="P1894" i="2" s="1"/>
  <c r="Q1894" i="2" s="1"/>
  <c r="J1895" i="2"/>
  <c r="P1895" i="2" s="1"/>
  <c r="Q1895" i="2" s="1"/>
  <c r="J1896" i="2"/>
  <c r="P1896" i="2" s="1"/>
  <c r="Q1896" i="2" s="1"/>
  <c r="J1897" i="2"/>
  <c r="P1897" i="2" s="1"/>
  <c r="Q1897" i="2" s="1"/>
  <c r="J1898" i="2"/>
  <c r="P1898" i="2" s="1"/>
  <c r="Q1898" i="2" s="1"/>
  <c r="J1899" i="2"/>
  <c r="P1899" i="2" s="1"/>
  <c r="Q1899" i="2" s="1"/>
  <c r="J1900" i="2"/>
  <c r="P1900" i="2" s="1"/>
  <c r="Q1900" i="2" s="1"/>
  <c r="J1901" i="2"/>
  <c r="P1901" i="2" s="1"/>
  <c r="Q1901" i="2" s="1"/>
  <c r="J1902" i="2"/>
  <c r="P1902" i="2" s="1"/>
  <c r="Q1902" i="2" s="1"/>
  <c r="J1903" i="2"/>
  <c r="P1903" i="2" s="1"/>
  <c r="Q1903" i="2" s="1"/>
  <c r="J1904" i="2"/>
  <c r="P1904" i="2" s="1"/>
  <c r="Q1904" i="2" s="1"/>
  <c r="J1905" i="2"/>
  <c r="P1905" i="2" s="1"/>
  <c r="Q1905" i="2" s="1"/>
  <c r="J1906" i="2"/>
  <c r="P1906" i="2" s="1"/>
  <c r="Q1906" i="2" s="1"/>
  <c r="J1907" i="2"/>
  <c r="P1907" i="2" s="1"/>
  <c r="Q1907" i="2" s="1"/>
  <c r="J1908" i="2"/>
  <c r="P1908" i="2" s="1"/>
  <c r="Q1908" i="2" s="1"/>
  <c r="J1909" i="2"/>
  <c r="P1909" i="2" s="1"/>
  <c r="Q1909" i="2" s="1"/>
  <c r="J1910" i="2"/>
  <c r="P1910" i="2" s="1"/>
  <c r="Q1910" i="2" s="1"/>
  <c r="J1911" i="2"/>
  <c r="P1911" i="2" s="1"/>
  <c r="Q1911" i="2" s="1"/>
  <c r="J1912" i="2"/>
  <c r="P1912" i="2" s="1"/>
  <c r="Q1912" i="2" s="1"/>
  <c r="J1913" i="2"/>
  <c r="P1913" i="2" s="1"/>
  <c r="Q1913" i="2" s="1"/>
  <c r="J1914" i="2"/>
  <c r="P1914" i="2" s="1"/>
  <c r="Q1914" i="2" s="1"/>
  <c r="J1915" i="2"/>
  <c r="P1915" i="2" s="1"/>
  <c r="Q1915" i="2" s="1"/>
  <c r="J1916" i="2"/>
  <c r="P1916" i="2" s="1"/>
  <c r="Q1916" i="2" s="1"/>
  <c r="J1917" i="2"/>
  <c r="P1917" i="2" s="1"/>
  <c r="Q1917" i="2" s="1"/>
  <c r="J1918" i="2"/>
  <c r="P1918" i="2" s="1"/>
  <c r="Q1918" i="2" s="1"/>
  <c r="J1919" i="2"/>
  <c r="P1919" i="2" s="1"/>
  <c r="Q1919" i="2" s="1"/>
  <c r="J1920" i="2"/>
  <c r="P1920" i="2" s="1"/>
  <c r="Q1920" i="2" s="1"/>
  <c r="J1921" i="2"/>
  <c r="P1921" i="2" s="1"/>
  <c r="Q1921" i="2" s="1"/>
  <c r="J1922" i="2"/>
  <c r="P1922" i="2" s="1"/>
  <c r="Q1922" i="2" s="1"/>
  <c r="J1923" i="2"/>
  <c r="P1923" i="2" s="1"/>
  <c r="Q1923" i="2" s="1"/>
  <c r="J1924" i="2"/>
  <c r="P1924" i="2" s="1"/>
  <c r="Q1924" i="2" s="1"/>
  <c r="J1925" i="2"/>
  <c r="P1925" i="2" s="1"/>
  <c r="Q1925" i="2" s="1"/>
  <c r="J1926" i="2"/>
  <c r="P1926" i="2" s="1"/>
  <c r="Q1926" i="2" s="1"/>
  <c r="J1927" i="2"/>
  <c r="P1927" i="2" s="1"/>
  <c r="Q1927" i="2" s="1"/>
  <c r="J1928" i="2"/>
  <c r="P1928" i="2" s="1"/>
  <c r="Q1928" i="2" s="1"/>
  <c r="J1929" i="2"/>
  <c r="P1929" i="2" s="1"/>
  <c r="Q1929" i="2" s="1"/>
  <c r="J1930" i="2"/>
  <c r="P1930" i="2" s="1"/>
  <c r="Q1930" i="2" s="1"/>
  <c r="J1931" i="2"/>
  <c r="P1931" i="2" s="1"/>
  <c r="Q1931" i="2" s="1"/>
  <c r="J1932" i="2"/>
  <c r="P1932" i="2" s="1"/>
  <c r="Q1932" i="2" s="1"/>
  <c r="J1933" i="2"/>
  <c r="P1933" i="2" s="1"/>
  <c r="Q1933" i="2" s="1"/>
  <c r="J1934" i="2"/>
  <c r="P1934" i="2" s="1"/>
  <c r="Q1934" i="2" s="1"/>
  <c r="J1935" i="2"/>
  <c r="P1935" i="2" s="1"/>
  <c r="Q1935" i="2" s="1"/>
  <c r="J1936" i="2"/>
  <c r="P1936" i="2" s="1"/>
  <c r="Q1936" i="2" s="1"/>
  <c r="J1937" i="2"/>
  <c r="P1937" i="2" s="1"/>
  <c r="Q1937" i="2" s="1"/>
  <c r="J1938" i="2"/>
  <c r="P1938" i="2" s="1"/>
  <c r="Q1938" i="2" s="1"/>
  <c r="J1939" i="2"/>
  <c r="P1939" i="2" s="1"/>
  <c r="Q1939" i="2" s="1"/>
  <c r="J1940" i="2"/>
  <c r="P1940" i="2" s="1"/>
  <c r="Q1940" i="2" s="1"/>
  <c r="J1941" i="2"/>
  <c r="P1941" i="2" s="1"/>
  <c r="Q1941" i="2" s="1"/>
  <c r="J1942" i="2"/>
  <c r="P1942" i="2" s="1"/>
  <c r="Q1942" i="2" s="1"/>
  <c r="J1943" i="2"/>
  <c r="P1943" i="2" s="1"/>
  <c r="Q1943" i="2" s="1"/>
  <c r="J1944" i="2"/>
  <c r="P1944" i="2" s="1"/>
  <c r="Q1944" i="2" s="1"/>
  <c r="J1945" i="2"/>
  <c r="P1945" i="2" s="1"/>
  <c r="Q1945" i="2" s="1"/>
  <c r="J1946" i="2"/>
  <c r="P1946" i="2" s="1"/>
  <c r="Q1946" i="2" s="1"/>
  <c r="J1947" i="2"/>
  <c r="P1947" i="2" s="1"/>
  <c r="Q1947" i="2" s="1"/>
  <c r="J1948" i="2"/>
  <c r="P1948" i="2" s="1"/>
  <c r="Q1948" i="2" s="1"/>
  <c r="J1949" i="2"/>
  <c r="P1949" i="2" s="1"/>
  <c r="Q1949" i="2" s="1"/>
  <c r="J1950" i="2"/>
  <c r="P1950" i="2" s="1"/>
  <c r="Q1950" i="2" s="1"/>
  <c r="J1951" i="2"/>
  <c r="P1951" i="2" s="1"/>
  <c r="Q1951" i="2" s="1"/>
  <c r="J1952" i="2"/>
  <c r="P1952" i="2" s="1"/>
  <c r="Q1952" i="2" s="1"/>
  <c r="J1953" i="2"/>
  <c r="P1953" i="2" s="1"/>
  <c r="Q1953" i="2" s="1"/>
  <c r="J1954" i="2"/>
  <c r="P1954" i="2" s="1"/>
  <c r="Q1954" i="2" s="1"/>
  <c r="J1955" i="2"/>
  <c r="P1955" i="2" s="1"/>
  <c r="Q1955" i="2" s="1"/>
  <c r="J1956" i="2"/>
  <c r="P1956" i="2" s="1"/>
  <c r="Q1956" i="2" s="1"/>
  <c r="J1957" i="2"/>
  <c r="P1957" i="2" s="1"/>
  <c r="Q1957" i="2" s="1"/>
  <c r="J1958" i="2"/>
  <c r="P1958" i="2" s="1"/>
  <c r="Q1958" i="2" s="1"/>
  <c r="J1959" i="2"/>
  <c r="P1959" i="2" s="1"/>
  <c r="Q1959" i="2" s="1"/>
  <c r="J1960" i="2"/>
  <c r="P1960" i="2" s="1"/>
  <c r="Q1960" i="2" s="1"/>
  <c r="J1961" i="2"/>
  <c r="P1961" i="2" s="1"/>
  <c r="Q1961" i="2" s="1"/>
  <c r="J1962" i="2"/>
  <c r="P1962" i="2" s="1"/>
  <c r="Q1962" i="2" s="1"/>
  <c r="J1963" i="2"/>
  <c r="P1963" i="2" s="1"/>
  <c r="Q1963" i="2" s="1"/>
  <c r="J1964" i="2"/>
  <c r="P1964" i="2" s="1"/>
  <c r="Q1964" i="2" s="1"/>
  <c r="J1965" i="2"/>
  <c r="P1965" i="2" s="1"/>
  <c r="Q1965" i="2" s="1"/>
  <c r="J1966" i="2"/>
  <c r="P1966" i="2" s="1"/>
  <c r="Q1966" i="2" s="1"/>
  <c r="J1967" i="2"/>
  <c r="P1967" i="2" s="1"/>
  <c r="Q1967" i="2" s="1"/>
  <c r="J1968" i="2"/>
  <c r="P1968" i="2" s="1"/>
  <c r="Q1968" i="2" s="1"/>
  <c r="J1969" i="2"/>
  <c r="P1969" i="2" s="1"/>
  <c r="Q1969" i="2" s="1"/>
  <c r="J1970" i="2"/>
  <c r="P1970" i="2" s="1"/>
  <c r="Q1970" i="2" s="1"/>
  <c r="J1971" i="2"/>
  <c r="P1971" i="2" s="1"/>
  <c r="Q1971" i="2" s="1"/>
  <c r="J1972" i="2"/>
  <c r="P1972" i="2" s="1"/>
  <c r="Q1972" i="2" s="1"/>
  <c r="J1973" i="2"/>
  <c r="P1973" i="2" s="1"/>
  <c r="Q1973" i="2" s="1"/>
  <c r="J1974" i="2"/>
  <c r="P1974" i="2" s="1"/>
  <c r="Q1974" i="2" s="1"/>
  <c r="J1975" i="2"/>
  <c r="P1975" i="2" s="1"/>
  <c r="Q1975" i="2" s="1"/>
  <c r="J1976" i="2"/>
  <c r="P1976" i="2" s="1"/>
  <c r="Q1976" i="2" s="1"/>
  <c r="J1977" i="2"/>
  <c r="P1977" i="2" s="1"/>
  <c r="Q1977" i="2" s="1"/>
  <c r="J1978" i="2"/>
  <c r="P1978" i="2" s="1"/>
  <c r="Q1978" i="2" s="1"/>
  <c r="J1979" i="2"/>
  <c r="P1979" i="2" s="1"/>
  <c r="Q1979" i="2" s="1"/>
  <c r="J1980" i="2"/>
  <c r="P1980" i="2" s="1"/>
  <c r="Q1980" i="2" s="1"/>
  <c r="J1981" i="2"/>
  <c r="P1981" i="2" s="1"/>
  <c r="Q1981" i="2" s="1"/>
  <c r="J1982" i="2"/>
  <c r="P1982" i="2" s="1"/>
  <c r="Q1982" i="2" s="1"/>
  <c r="J1983" i="2"/>
  <c r="P1983" i="2" s="1"/>
  <c r="Q1983" i="2" s="1"/>
  <c r="J1984" i="2"/>
  <c r="P1984" i="2" s="1"/>
  <c r="Q1984" i="2" s="1"/>
  <c r="J1985" i="2"/>
  <c r="P1985" i="2" s="1"/>
  <c r="Q1985" i="2" s="1"/>
  <c r="J1986" i="2"/>
  <c r="P1986" i="2" s="1"/>
  <c r="Q1986" i="2" s="1"/>
  <c r="J1987" i="2"/>
  <c r="P1987" i="2" s="1"/>
  <c r="Q1987" i="2" s="1"/>
  <c r="J1988" i="2"/>
  <c r="P1988" i="2" s="1"/>
  <c r="Q1988" i="2" s="1"/>
  <c r="J1989" i="2"/>
  <c r="P1989" i="2" s="1"/>
  <c r="Q1989" i="2" s="1"/>
  <c r="J1990" i="2"/>
  <c r="P1990" i="2" s="1"/>
  <c r="Q1990" i="2" s="1"/>
  <c r="J1991" i="2"/>
  <c r="P1991" i="2" s="1"/>
  <c r="Q1991" i="2" s="1"/>
  <c r="J1992" i="2"/>
  <c r="P1992" i="2" s="1"/>
  <c r="Q1992" i="2" s="1"/>
  <c r="J1993" i="2"/>
  <c r="P1993" i="2" s="1"/>
  <c r="Q1993" i="2" s="1"/>
  <c r="J1994" i="2"/>
  <c r="P1994" i="2" s="1"/>
  <c r="Q1994" i="2" s="1"/>
  <c r="J1995" i="2"/>
  <c r="P1995" i="2" s="1"/>
  <c r="Q1995" i="2" s="1"/>
  <c r="J1996" i="2"/>
  <c r="P1996" i="2" s="1"/>
  <c r="Q1996" i="2" s="1"/>
  <c r="J1997" i="2"/>
  <c r="P1997" i="2" s="1"/>
  <c r="Q1997" i="2" s="1"/>
  <c r="J1998" i="2"/>
  <c r="P1998" i="2" s="1"/>
  <c r="Q1998" i="2" s="1"/>
  <c r="J1999" i="2"/>
  <c r="P1999" i="2" s="1"/>
  <c r="Q1999" i="2" s="1"/>
  <c r="J2000" i="2"/>
  <c r="P2000" i="2" s="1"/>
  <c r="Q2000" i="2" s="1"/>
  <c r="J2001" i="2"/>
  <c r="P2001" i="2" s="1"/>
  <c r="Q2001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</calcChain>
</file>

<file path=xl/sharedStrings.xml><?xml version="1.0" encoding="utf-8"?>
<sst xmlns="http://schemas.openxmlformats.org/spreadsheetml/2006/main" count="5524" uniqueCount="2629">
  <si>
    <t>CustomerID</t>
  </si>
  <si>
    <t>CustomerName</t>
  </si>
  <si>
    <t>Region</t>
  </si>
  <si>
    <t>Age</t>
  </si>
  <si>
    <t>Gender</t>
  </si>
  <si>
    <t>CustomerSince</t>
  </si>
  <si>
    <t>Email</t>
  </si>
  <si>
    <t>Robin Ward</t>
  </si>
  <si>
    <t>North</t>
  </si>
  <si>
    <t>Male</t>
  </si>
  <si>
    <t>pcohen@gmail.com</t>
  </si>
  <si>
    <t>Joseph Chapman</t>
  </si>
  <si>
    <t>East</t>
  </si>
  <si>
    <t>Female</t>
  </si>
  <si>
    <t>kevin04@yahoo.com</t>
  </si>
  <si>
    <t>Dr. Alicia Henderson DVM</t>
  </si>
  <si>
    <t>rmejia@gmail.com</t>
  </si>
  <si>
    <t>Laura King</t>
  </si>
  <si>
    <t>Central</t>
  </si>
  <si>
    <t>kclark@brown.com</t>
  </si>
  <si>
    <t>Brian Wheeler</t>
  </si>
  <si>
    <t>South</t>
  </si>
  <si>
    <t>michaelochoa@gmail.com</t>
  </si>
  <si>
    <t>Kelly Brown</t>
  </si>
  <si>
    <t>douglas04@hotmail.com</t>
  </si>
  <si>
    <t>Brad Harrison</t>
  </si>
  <si>
    <t>epatrick@price-rose.com</t>
  </si>
  <si>
    <t>Rebecca Harrington</t>
  </si>
  <si>
    <t>West</t>
  </si>
  <si>
    <t>smithgeorge@hotmail.com</t>
  </si>
  <si>
    <t>Kelly Gonzalez</t>
  </si>
  <si>
    <t>brittanycalderon@hotmail.com</t>
  </si>
  <si>
    <t>Donald Perry</t>
  </si>
  <si>
    <t>robert22@gmail.com</t>
  </si>
  <si>
    <t>Carly Branch</t>
  </si>
  <si>
    <t>kenneth55@costa.info</t>
  </si>
  <si>
    <t>Roy Fowler</t>
  </si>
  <si>
    <t>matthewpadilla@castillo.net</t>
  </si>
  <si>
    <t>Chelsey Hunter</t>
  </si>
  <si>
    <t>justinrose@gmail.com</t>
  </si>
  <si>
    <t>Ryan King</t>
  </si>
  <si>
    <t>ryanlucero@thompson.com</t>
  </si>
  <si>
    <t>Frank Fritz</t>
  </si>
  <si>
    <t>christopher12@wilkins.com</t>
  </si>
  <si>
    <t>Jonathan Adams</t>
  </si>
  <si>
    <t>nunezcourtney@robertson.com</t>
  </si>
  <si>
    <t>John Lopez</t>
  </si>
  <si>
    <t>sandersrobin@miller-galvan.biz</t>
  </si>
  <si>
    <t>Mr. Jeffrey Griffin PhD</t>
  </si>
  <si>
    <t>ccarson@cole.info</t>
  </si>
  <si>
    <t>Brenda Williams</t>
  </si>
  <si>
    <t>susannelson@charles.net</t>
  </si>
  <si>
    <t>Kimberly Acosta</t>
  </si>
  <si>
    <t>brownkristin@buchanan.info</t>
  </si>
  <si>
    <t>Terri Wilkins</t>
  </si>
  <si>
    <t>mark18@yahoo.com</t>
  </si>
  <si>
    <t>Bridget Castaneda</t>
  </si>
  <si>
    <t>toddbernard@rice-wells.com</t>
  </si>
  <si>
    <t>James Harvey</t>
  </si>
  <si>
    <t>janetwatkins@figueroa.com</t>
  </si>
  <si>
    <t>James Weaver</t>
  </si>
  <si>
    <t>leeautumn@morgan.org</t>
  </si>
  <si>
    <t>Ashley Collins</t>
  </si>
  <si>
    <t>mark93@gmail.com</t>
  </si>
  <si>
    <t>Edwin Aguilar</t>
  </si>
  <si>
    <t>sanchezkenneth@yahoo.com</t>
  </si>
  <si>
    <t>Rodney Armstrong</t>
  </si>
  <si>
    <t>sandrarocha@gmail.com</t>
  </si>
  <si>
    <t>Joseph Powell</t>
  </si>
  <si>
    <t>allencandace@martin-mooney.biz</t>
  </si>
  <si>
    <t>Dylan Campbell</t>
  </si>
  <si>
    <t>mendezjessica@chan-barton.biz</t>
  </si>
  <si>
    <t>Michael Martinez</t>
  </si>
  <si>
    <t>morenojustin@black.com</t>
  </si>
  <si>
    <t>Anthony Perez</t>
  </si>
  <si>
    <t>taylorcharles@turner.info</t>
  </si>
  <si>
    <t>Gary Davis MD</t>
  </si>
  <si>
    <t>george01@bell.org</t>
  </si>
  <si>
    <t>Jared Hudson</t>
  </si>
  <si>
    <t>alan46@franklin-burns.com</t>
  </si>
  <si>
    <t>Emily Bryan</t>
  </si>
  <si>
    <t>melendezlaura@yahoo.com</t>
  </si>
  <si>
    <t>John Hubbard</t>
  </si>
  <si>
    <t>kimjulie@wright-donovan.com</t>
  </si>
  <si>
    <t>Christopher Thomas</t>
  </si>
  <si>
    <t>deborahacosta@jackson-peterson.com</t>
  </si>
  <si>
    <t>Megan Fox</t>
  </si>
  <si>
    <t>ebonyguerrero@yahoo.com</t>
  </si>
  <si>
    <t>Stephen Martin</t>
  </si>
  <si>
    <t>maryrobinson@yahoo.com</t>
  </si>
  <si>
    <t>Matthew Hernandez</t>
  </si>
  <si>
    <t>simmonsbradley@yahoo.com</t>
  </si>
  <si>
    <t>Yvonne Simon</t>
  </si>
  <si>
    <t>randallmorgan@crawford.info</t>
  </si>
  <si>
    <t>Roberto Perkins</t>
  </si>
  <si>
    <t>velezvincent@harris.com</t>
  </si>
  <si>
    <t>Jamie Howard</t>
  </si>
  <si>
    <t>clarkcurtis@bradley-powell.com</t>
  </si>
  <si>
    <t>Carlos Reeves</t>
  </si>
  <si>
    <t>reedmichelle@gmail.com</t>
  </si>
  <si>
    <t>Sandra Goodwin</t>
  </si>
  <si>
    <t>anita90@stephenson.com</t>
  </si>
  <si>
    <t>William Morris</t>
  </si>
  <si>
    <t>taylorjose@yahoo.com</t>
  </si>
  <si>
    <t>Mary Snyder</t>
  </si>
  <si>
    <t>qbennett@gmail.com</t>
  </si>
  <si>
    <t>Brian Smith</t>
  </si>
  <si>
    <t>turnerjessica@rodriguez.com</t>
  </si>
  <si>
    <t>Justin Owen</t>
  </si>
  <si>
    <t>timothybrown@gonzalez.org</t>
  </si>
  <si>
    <t>Sharon Alexander</t>
  </si>
  <si>
    <t>adrianrodriguez@gmail.com</t>
  </si>
  <si>
    <t>Matthew Merritt</t>
  </si>
  <si>
    <t>gary11@gmail.com</t>
  </si>
  <si>
    <t>Randall Medina</t>
  </si>
  <si>
    <t>jilljohnson@gonzalez.com</t>
  </si>
  <si>
    <t>Michelle Williams</t>
  </si>
  <si>
    <t>patriciajohnson@lee-rangel.com</t>
  </si>
  <si>
    <t>Taylor Wilson</t>
  </si>
  <si>
    <t>jamesdaniel@jackson.com</t>
  </si>
  <si>
    <t>Jamie Sherman</t>
  </si>
  <si>
    <t>francisjonathan@jones.info</t>
  </si>
  <si>
    <t>Barbara Payne</t>
  </si>
  <si>
    <t>christopher11@jones.info</t>
  </si>
  <si>
    <t>Susan Sanders</t>
  </si>
  <si>
    <t>timothy71@yahoo.com</t>
  </si>
  <si>
    <t>Lisa Davis</t>
  </si>
  <si>
    <t>zweaver@aguirre.com</t>
  </si>
  <si>
    <t>Melanie Patrick</t>
  </si>
  <si>
    <t>wanda18@hotmail.com</t>
  </si>
  <si>
    <t>Rodney Rodriguez</t>
  </si>
  <si>
    <t>ronaldklein@collins-craig.com</t>
  </si>
  <si>
    <t>Christopher Obrien</t>
  </si>
  <si>
    <t>joshua76@montgomery.com</t>
  </si>
  <si>
    <t>Connor Huang</t>
  </si>
  <si>
    <t>esanchez@davis.net</t>
  </si>
  <si>
    <t>Jeffrey Johnson</t>
  </si>
  <si>
    <t>jeffrey96@hotmail.com</t>
  </si>
  <si>
    <t>Mindy Gay</t>
  </si>
  <si>
    <t>cody16@mueller-williams.com</t>
  </si>
  <si>
    <t>Edward Hill</t>
  </si>
  <si>
    <t>lisa09@gmail.com</t>
  </si>
  <si>
    <t>Nicole Weeks</t>
  </si>
  <si>
    <t>mandywilson@gmail.com</t>
  </si>
  <si>
    <t>Juan Lopez</t>
  </si>
  <si>
    <t>chandlerrichard@stokes.info</t>
  </si>
  <si>
    <t>Michael Gallagher</t>
  </si>
  <si>
    <t>umoody@yahoo.com</t>
  </si>
  <si>
    <t>Alex Walker</t>
  </si>
  <si>
    <t>jean69@hotmail.com</t>
  </si>
  <si>
    <t>Lance Simpson</t>
  </si>
  <si>
    <t>spencersheri@gmail.com</t>
  </si>
  <si>
    <t>Christopher Marshall</t>
  </si>
  <si>
    <t>matthewperez@hicks.org</t>
  </si>
  <si>
    <t>Karen Acevedo</t>
  </si>
  <si>
    <t>jacksontimothy@hotmail.com</t>
  </si>
  <si>
    <t>Kimberly Walsh</t>
  </si>
  <si>
    <t>brookedavis@sanchez.biz</t>
  </si>
  <si>
    <t>Troy Hicks</t>
  </si>
  <si>
    <t>brandihodges@walker.org</t>
  </si>
  <si>
    <t>Gregory Miller</t>
  </si>
  <si>
    <t>kylesanders@price.com</t>
  </si>
  <si>
    <t>Kelsey Reed</t>
  </si>
  <si>
    <t>jamespeters@gmail.com</t>
  </si>
  <si>
    <t>Monica Ross</t>
  </si>
  <si>
    <t>josephbriggs@hill.com</t>
  </si>
  <si>
    <t>Melissa Flores</t>
  </si>
  <si>
    <t>shorton@walker.com</t>
  </si>
  <si>
    <t>Kimberly Walton</t>
  </si>
  <si>
    <t>munozmatthew@hotmail.com</t>
  </si>
  <si>
    <t>Karen Myers</t>
  </si>
  <si>
    <t>vrogers@gmail.com</t>
  </si>
  <si>
    <t>Sophia Drake</t>
  </si>
  <si>
    <t>nguyeneric@flores.com</t>
  </si>
  <si>
    <t>Christopher Carter</t>
  </si>
  <si>
    <t>vickie80@yahoo.com</t>
  </si>
  <si>
    <t>Steven Stephens</t>
  </si>
  <si>
    <t>fryedeborah@miranda.biz</t>
  </si>
  <si>
    <t>Juan Harper</t>
  </si>
  <si>
    <t>davisfrank@chandler.org</t>
  </si>
  <si>
    <t>Christian Lee</t>
  </si>
  <si>
    <t>srobinson@hotmail.com</t>
  </si>
  <si>
    <t>Thomas Young</t>
  </si>
  <si>
    <t>prattjames@kirby.com</t>
  </si>
  <si>
    <t>Ruben Simmons</t>
  </si>
  <si>
    <t>esmith@beck.com</t>
  </si>
  <si>
    <t>Marcus Lucas</t>
  </si>
  <si>
    <t>andrea55@yahoo.com</t>
  </si>
  <si>
    <t>Jodi Velazquez</t>
  </si>
  <si>
    <t>bperry@valenzuela.info</t>
  </si>
  <si>
    <t>Timothy Fernandez</t>
  </si>
  <si>
    <t>leah57@gmail.com</t>
  </si>
  <si>
    <t>Karen Luna</t>
  </si>
  <si>
    <t>hherrera@hotmail.com</t>
  </si>
  <si>
    <t>Matthew Hamilton</t>
  </si>
  <si>
    <t>villegastammy@banks.com</t>
  </si>
  <si>
    <t>Pamela Gordon</t>
  </si>
  <si>
    <t>donna90@hotmail.com</t>
  </si>
  <si>
    <t>Dean Rogers</t>
  </si>
  <si>
    <t>beckersarah@hotmail.com</t>
  </si>
  <si>
    <t>Michael Tran</t>
  </si>
  <si>
    <t>marshallstephen@yahoo.com</t>
  </si>
  <si>
    <t>David Hill</t>
  </si>
  <si>
    <t>smithcaroline@richards.com</t>
  </si>
  <si>
    <t>Seth Santiago</t>
  </si>
  <si>
    <t>rileyerica@davis.info</t>
  </si>
  <si>
    <t>Jennifer Campbell</t>
  </si>
  <si>
    <t>joshua89@gmail.com</t>
  </si>
  <si>
    <t>Jason Brown</t>
  </si>
  <si>
    <t>jessicagrant@gmail.com</t>
  </si>
  <si>
    <t>Richard Roman</t>
  </si>
  <si>
    <t>lauren01@johnson-jacobs.biz</t>
  </si>
  <si>
    <t>Melanie Hill</t>
  </si>
  <si>
    <t>fwilliams@barber.com</t>
  </si>
  <si>
    <t>Kayla Copeland</t>
  </si>
  <si>
    <t>hstephenson@hotmail.com</t>
  </si>
  <si>
    <t>Traci Williams</t>
  </si>
  <si>
    <t>gary28@davidson.com</t>
  </si>
  <si>
    <t>Christopher Simon</t>
  </si>
  <si>
    <t>jamessherri@johnson.com</t>
  </si>
  <si>
    <t>Amy Roach</t>
  </si>
  <si>
    <t>dgarcia@smith-larson.com</t>
  </si>
  <si>
    <t>Carolyn Harris</t>
  </si>
  <si>
    <t>zball@smith.com</t>
  </si>
  <si>
    <t>Madison Evans</t>
  </si>
  <si>
    <t>connorsherman@gmail.com</t>
  </si>
  <si>
    <t>Raymond Griffin</t>
  </si>
  <si>
    <t>yrodriguez@gmail.com</t>
  </si>
  <si>
    <t>Sharon Underwood</t>
  </si>
  <si>
    <t>nicholasball@flowers.com</t>
  </si>
  <si>
    <t>Jessica Brown</t>
  </si>
  <si>
    <t>colleenkrueger@santiago.com</t>
  </si>
  <si>
    <t>Janice Salazar</t>
  </si>
  <si>
    <t>flindsey@dominguez.com</t>
  </si>
  <si>
    <t>Susan Fields</t>
  </si>
  <si>
    <t>joseph00@allen.com</t>
  </si>
  <si>
    <t>Diana Jones</t>
  </si>
  <si>
    <t>christopherlopez@pruitt.com</t>
  </si>
  <si>
    <t>Christina Boyd</t>
  </si>
  <si>
    <t>mullinsjessica@gmail.com</t>
  </si>
  <si>
    <t>Daniel Perez</t>
  </si>
  <si>
    <t>wilcoxpeter@yahoo.com</t>
  </si>
  <si>
    <t>Tamara Jones</t>
  </si>
  <si>
    <t>walkercynthia@king.com</t>
  </si>
  <si>
    <t>Samantha Hood</t>
  </si>
  <si>
    <t>jody03@bell.info</t>
  </si>
  <si>
    <t>Tamara Pennington</t>
  </si>
  <si>
    <t>kevin50@johnson-guzman.com</t>
  </si>
  <si>
    <t>Donald Brown</t>
  </si>
  <si>
    <t>bsmith@ayala.com</t>
  </si>
  <si>
    <t>Adam Valencia</t>
  </si>
  <si>
    <t>christopherthompson@hotmail.com</t>
  </si>
  <si>
    <t>Mr. Gerald Carter</t>
  </si>
  <si>
    <t>tlewis@gmail.com</t>
  </si>
  <si>
    <t>Michelle Johnson</t>
  </si>
  <si>
    <t>shawnwatts@hotmail.com</t>
  </si>
  <si>
    <t>Jacob Proctor</t>
  </si>
  <si>
    <t>brandon66@hotmail.com</t>
  </si>
  <si>
    <t>Jacqueline Cooper</t>
  </si>
  <si>
    <t>robert29@rojas-obrien.com</t>
  </si>
  <si>
    <t>Jennifer Dunlap</t>
  </si>
  <si>
    <t>ronald48@gmail.com</t>
  </si>
  <si>
    <t>Anna Tanner</t>
  </si>
  <si>
    <t>danielsutton@hammond-foster.com</t>
  </si>
  <si>
    <t>John Flores</t>
  </si>
  <si>
    <t>ufranco@hotmail.com</t>
  </si>
  <si>
    <t>Joshua Cortez</t>
  </si>
  <si>
    <t>ymorrow@clay.com</t>
  </si>
  <si>
    <t>Natalie Mccarthy</t>
  </si>
  <si>
    <t>charles81@yahoo.com</t>
  </si>
  <si>
    <t>Calvin Garcia</t>
  </si>
  <si>
    <t>karenberger@yahoo.com</t>
  </si>
  <si>
    <t>Christopher Lawrence</t>
  </si>
  <si>
    <t>asantana@drake-hoffman.com</t>
  </si>
  <si>
    <t>David Newton</t>
  </si>
  <si>
    <t>sosalisa@gmail.com</t>
  </si>
  <si>
    <t>Robert Allen</t>
  </si>
  <si>
    <t>kenneth63@gmail.com</t>
  </si>
  <si>
    <t>Calvin Walker</t>
  </si>
  <si>
    <t>bradley37@yahoo.com</t>
  </si>
  <si>
    <t>Brandon Wood</t>
  </si>
  <si>
    <t>david26@gmail.com</t>
  </si>
  <si>
    <t>Rita King</t>
  </si>
  <si>
    <t>meganmccarthy@evans.info</t>
  </si>
  <si>
    <t>Lance Williams</t>
  </si>
  <si>
    <t>anthony16@weaver-brown.biz</t>
  </si>
  <si>
    <t>Joseph Patel</t>
  </si>
  <si>
    <t>ychen@gmail.com</t>
  </si>
  <si>
    <t>Jonathan Lawrence</t>
  </si>
  <si>
    <t>jmoore@townsend.com</t>
  </si>
  <si>
    <t>Bradley Fernandez</t>
  </si>
  <si>
    <t>janet47@austin-scott.com</t>
  </si>
  <si>
    <t>Lynn Villegas</t>
  </si>
  <si>
    <t>johnsoncatherine@munoz-bennett.biz</t>
  </si>
  <si>
    <t>Ashley Perry</t>
  </si>
  <si>
    <t>chahn@sanchez.com</t>
  </si>
  <si>
    <t>Susan Jones</t>
  </si>
  <si>
    <t>ipotts@hotmail.com</t>
  </si>
  <si>
    <t>Michael Hawkins</t>
  </si>
  <si>
    <t>ashleysmith@rowland.com</t>
  </si>
  <si>
    <t>Cody Thomas</t>
  </si>
  <si>
    <t>christopherconley@hotmail.com</t>
  </si>
  <si>
    <t>Daniel Allen</t>
  </si>
  <si>
    <t>debbieharrison@schmidt-johnston.com</t>
  </si>
  <si>
    <t>Tiffany Roth</t>
  </si>
  <si>
    <t>reneemccormick@jordan.org</t>
  </si>
  <si>
    <t>Trevor Wilson</t>
  </si>
  <si>
    <t>dillonsantos@gmail.com</t>
  </si>
  <si>
    <t>Dana Young</t>
  </si>
  <si>
    <t>ryan79@diaz.info</t>
  </si>
  <si>
    <t>Sandra Lane</t>
  </si>
  <si>
    <t>thomastrevor@morris.biz</t>
  </si>
  <si>
    <t>Jennifer Estrada</t>
  </si>
  <si>
    <t>ricky85@gmail.com</t>
  </si>
  <si>
    <t>David Page</t>
  </si>
  <si>
    <t>marshallsamantha@yahoo.com</t>
  </si>
  <si>
    <t>Leah Donaldson</t>
  </si>
  <si>
    <t>joshua14@smith.com</t>
  </si>
  <si>
    <t>Jesse Moore</t>
  </si>
  <si>
    <t>ravenwilson@williams-hancock.com</t>
  </si>
  <si>
    <t>Dale Martin</t>
  </si>
  <si>
    <t>ccastro@yahoo.com</t>
  </si>
  <si>
    <t>Theresa Johnson</t>
  </si>
  <si>
    <t>ywilliams@santiago-walters.net</t>
  </si>
  <si>
    <t>Victor Osborn</t>
  </si>
  <si>
    <t>awilliams@hotmail.com</t>
  </si>
  <si>
    <t>Edwin Smith</t>
  </si>
  <si>
    <t>rday@gmail.com</t>
  </si>
  <si>
    <t>Roy Bush</t>
  </si>
  <si>
    <t>iparker@hotmail.com</t>
  </si>
  <si>
    <t>Linda Miller</t>
  </si>
  <si>
    <t>tgibbs@baker.com</t>
  </si>
  <si>
    <t>Yvette Henry</t>
  </si>
  <si>
    <t>levinemichael@hotmail.com</t>
  </si>
  <si>
    <t>Alex Martin</t>
  </si>
  <si>
    <t>goodmanbilly@riggs.com</t>
  </si>
  <si>
    <t>Melanie Pollard</t>
  </si>
  <si>
    <t>fholland@barnes.com</t>
  </si>
  <si>
    <t>Chelsea Lopez</t>
  </si>
  <si>
    <t>jonathan30@hotmail.com</t>
  </si>
  <si>
    <t>Kathryn Graves</t>
  </si>
  <si>
    <t>mark38@wilson-jackson.com</t>
  </si>
  <si>
    <t>Nicole Hurley</t>
  </si>
  <si>
    <t>smithabigail@gmail.com</t>
  </si>
  <si>
    <t>Cheryl Collins</t>
  </si>
  <si>
    <t>clarkapril@gmail.com</t>
  </si>
  <si>
    <t>Anna Evans</t>
  </si>
  <si>
    <t>travishill@gmail.com</t>
  </si>
  <si>
    <t>Christina Huffman</t>
  </si>
  <si>
    <t>zjensen@yahoo.com</t>
  </si>
  <si>
    <t>Susan Li</t>
  </si>
  <si>
    <t>amandaortiz@yahoo.com</t>
  </si>
  <si>
    <t>Sheryl Rose</t>
  </si>
  <si>
    <t>nielsenleon@hotmail.com</t>
  </si>
  <si>
    <t>Donald Smith</t>
  </si>
  <si>
    <t>johnsondavid@boyd.net</t>
  </si>
  <si>
    <t>Victor Jackson</t>
  </si>
  <si>
    <t>gloria78@ellis.com</t>
  </si>
  <si>
    <t>Jennifer Park</t>
  </si>
  <si>
    <t>hberry@gmail.com</t>
  </si>
  <si>
    <t>Mary Ross</t>
  </si>
  <si>
    <t>dylanoconnell@gmail.com</t>
  </si>
  <si>
    <t>Jasmine Hamilton</t>
  </si>
  <si>
    <t>josephtodd@gmail.com</t>
  </si>
  <si>
    <t>Joel Allen</t>
  </si>
  <si>
    <t>monica09@chapman.org</t>
  </si>
  <si>
    <t>Cassandra Wright</t>
  </si>
  <si>
    <t>broberts@hotmail.com</t>
  </si>
  <si>
    <t>Kimberly Mitchell</t>
  </si>
  <si>
    <t>matthewstimothy@johnson-cain.com</t>
  </si>
  <si>
    <t>Lisa Johnson</t>
  </si>
  <si>
    <t>wrightrobert@scott.com</t>
  </si>
  <si>
    <t>Dr. Mary Larson</t>
  </si>
  <si>
    <t>matthewwise@hill.com</t>
  </si>
  <si>
    <t>Robert Mason</t>
  </si>
  <si>
    <t>barnesstephanie@gmail.com</t>
  </si>
  <si>
    <t>Stephen Hoffman</t>
  </si>
  <si>
    <t>jodi08@gmail.com</t>
  </si>
  <si>
    <t>Ryan Martinez</t>
  </si>
  <si>
    <t>jcook@gmail.com</t>
  </si>
  <si>
    <t>Jonathan Sanford</t>
  </si>
  <si>
    <t>brian36@gmail.com</t>
  </si>
  <si>
    <t>Angela Gregory</t>
  </si>
  <si>
    <t>howardlori@pearson.com</t>
  </si>
  <si>
    <t>Chase Ross</t>
  </si>
  <si>
    <t>kristen36@vasquez-sandoval.com</t>
  </si>
  <si>
    <t>Justin Pace</t>
  </si>
  <si>
    <t>patriciamurphy@lewis.com</t>
  </si>
  <si>
    <t>Matthew Gonzalez</t>
  </si>
  <si>
    <t>colleen26@franklin.biz</t>
  </si>
  <si>
    <t>Carlos Bright</t>
  </si>
  <si>
    <t>april51@yahoo.com</t>
  </si>
  <si>
    <t>Jessica Flores</t>
  </si>
  <si>
    <t>jeffreyjackson@cooper-harris.org</t>
  </si>
  <si>
    <t>Deanna Suarez</t>
  </si>
  <si>
    <t>nicholas58@harris-nicholson.biz</t>
  </si>
  <si>
    <t>Aaron Wright</t>
  </si>
  <si>
    <t>fmitchell@yahoo.com</t>
  </si>
  <si>
    <t>Paul Conner</t>
  </si>
  <si>
    <t>belljennifer@gmail.com</t>
  </si>
  <si>
    <t>Troy Peterson</t>
  </si>
  <si>
    <t>charlesbarnes@hotmail.com</t>
  </si>
  <si>
    <t>Chelsea Pierce</t>
  </si>
  <si>
    <t>zdiaz@gmail.com</t>
  </si>
  <si>
    <t>Daniel Mcgee</t>
  </si>
  <si>
    <t>sandravaldez@clark.com</t>
  </si>
  <si>
    <t>Mr. Adam Flores</t>
  </si>
  <si>
    <t>calvin79@hotmail.com</t>
  </si>
  <si>
    <t>Jessica Cherry</t>
  </si>
  <si>
    <t>levydylan@dunn.com</t>
  </si>
  <si>
    <t>Bianca Olson</t>
  </si>
  <si>
    <t>lfrench@walter.org</t>
  </si>
  <si>
    <t>Melissa Bonilla</t>
  </si>
  <si>
    <t>jose47@smith-martin.com</t>
  </si>
  <si>
    <t>Caroline Miller</t>
  </si>
  <si>
    <t>greese@yahoo.com</t>
  </si>
  <si>
    <t>Corey Williams</t>
  </si>
  <si>
    <t>moonrobert@bates.info</t>
  </si>
  <si>
    <t>Jordan Harper</t>
  </si>
  <si>
    <t>cindy57@davis.org</t>
  </si>
  <si>
    <t>Angela Watson</t>
  </si>
  <si>
    <t>riossteven@gmail.com</t>
  </si>
  <si>
    <t>James Johnson Jr.</t>
  </si>
  <si>
    <t>cassandra82@perkins.com</t>
  </si>
  <si>
    <t>April Miller</t>
  </si>
  <si>
    <t>matthewjacobs@gmail.com</t>
  </si>
  <si>
    <t>Alexandra Moore</t>
  </si>
  <si>
    <t>shannongomez@anderson.com</t>
  </si>
  <si>
    <t>Louis Mathews</t>
  </si>
  <si>
    <t>wschmidt@cortez.com</t>
  </si>
  <si>
    <t>Charles Schneider</t>
  </si>
  <si>
    <t>kelly02@gibbs.org</t>
  </si>
  <si>
    <t>Ashley Green</t>
  </si>
  <si>
    <t>manueljohnson@gmail.com</t>
  </si>
  <si>
    <t>Vanessa Foster</t>
  </si>
  <si>
    <t>julie97@gmail.com</t>
  </si>
  <si>
    <t>Lori Herman</t>
  </si>
  <si>
    <t>david58@gmail.com</t>
  </si>
  <si>
    <t>Joseph Sosa</t>
  </si>
  <si>
    <t>ewilson@james-jones.com</t>
  </si>
  <si>
    <t>Larry Chambers</t>
  </si>
  <si>
    <t>ccalderon@levine.biz</t>
  </si>
  <si>
    <t>Noah Brown</t>
  </si>
  <si>
    <t>nicholas03@yahoo.com</t>
  </si>
  <si>
    <t>Kayla Cox</t>
  </si>
  <si>
    <t>dawnford@davis-gonzalez.com</t>
  </si>
  <si>
    <t>Sarah Erickson</t>
  </si>
  <si>
    <t>goodmanerica@yahoo.com</t>
  </si>
  <si>
    <t>Michael Perez</t>
  </si>
  <si>
    <t>sroberson@pena-martin.info</t>
  </si>
  <si>
    <t>Mary Tapia</t>
  </si>
  <si>
    <t>qgarcia@yahoo.com</t>
  </si>
  <si>
    <t>Stephanie Smith</t>
  </si>
  <si>
    <t>ngregory@eaton-dean.org</t>
  </si>
  <si>
    <t>Leslie Logan</t>
  </si>
  <si>
    <t>brittany48@estrada-campbell.info</t>
  </si>
  <si>
    <t>Sarah Romero</t>
  </si>
  <si>
    <t>dalton46@tucker.biz</t>
  </si>
  <si>
    <t>Mrs. Chelsea Smith</t>
  </si>
  <si>
    <t>bakerstacey@gmail.com</t>
  </si>
  <si>
    <t>Logan Price</t>
  </si>
  <si>
    <t>teresa75@hotmail.com</t>
  </si>
  <si>
    <t>David Grimes</t>
  </si>
  <si>
    <t>madison78@hotmail.com</t>
  </si>
  <si>
    <t>Mrs. Pamela Garrett</t>
  </si>
  <si>
    <t>brockjeffrey@hotmail.com</t>
  </si>
  <si>
    <t>Bridget Newton</t>
  </si>
  <si>
    <t>woodardkimberly@miller.biz</t>
  </si>
  <si>
    <t>Sherry Brown</t>
  </si>
  <si>
    <t>edean@moody.com</t>
  </si>
  <si>
    <t>Joel Peterson</t>
  </si>
  <si>
    <t>molinarussell@yahoo.com</t>
  </si>
  <si>
    <t>Brian Nguyen</t>
  </si>
  <si>
    <t>amber61@gmail.com</t>
  </si>
  <si>
    <t>Justin Martinez</t>
  </si>
  <si>
    <t>ymurphy@stephens.com</t>
  </si>
  <si>
    <t>Benjamin Snyder</t>
  </si>
  <si>
    <t>chughes@hotmail.com</t>
  </si>
  <si>
    <t>Edward Boone</t>
  </si>
  <si>
    <t>richardsphillip@yahoo.com</t>
  </si>
  <si>
    <t>Shannon Johnson</t>
  </si>
  <si>
    <t>stephanie54@hotmail.com</t>
  </si>
  <si>
    <t>Clinton Moore</t>
  </si>
  <si>
    <t>williamscarolyn@clark.com</t>
  </si>
  <si>
    <t>Joe Preston</t>
  </si>
  <si>
    <t>robertthomas@singh-larson.org</t>
  </si>
  <si>
    <t>Scott Collins</t>
  </si>
  <si>
    <t>eric72@ho.com</t>
  </si>
  <si>
    <t>Michael Banks</t>
  </si>
  <si>
    <t>lewisallen@gmail.com</t>
  </si>
  <si>
    <t>Haley Jordan</t>
  </si>
  <si>
    <t>amy92@davis.org</t>
  </si>
  <si>
    <t>Jordan Nelson</t>
  </si>
  <si>
    <t>daniel45@snyder.com</t>
  </si>
  <si>
    <t>Zoe Munoz</t>
  </si>
  <si>
    <t>fmckenzie@yahoo.com</t>
  </si>
  <si>
    <t>Andrew Arnold</t>
  </si>
  <si>
    <t>alexramos@hotmail.com</t>
  </si>
  <si>
    <t>Emily Watson</t>
  </si>
  <si>
    <t>mariahicks@smith.net</t>
  </si>
  <si>
    <t>Keith Smith</t>
  </si>
  <si>
    <t>mrodriguez@sanders.com</t>
  </si>
  <si>
    <t>Linda Johnson</t>
  </si>
  <si>
    <t>savannah71@strong-douglas.org</t>
  </si>
  <si>
    <t>Jesse Cox</t>
  </si>
  <si>
    <t>andersoncarolyn@king.info</t>
  </si>
  <si>
    <t>Lindsay White</t>
  </si>
  <si>
    <t>daniel72@carroll.com</t>
  </si>
  <si>
    <t>Jessica Davis</t>
  </si>
  <si>
    <t>jordanwebb@mcgrath.biz</t>
  </si>
  <si>
    <t>Diana Ramirez</t>
  </si>
  <si>
    <t>amandaharris@hotmail.com</t>
  </si>
  <si>
    <t>Lawrence Ball</t>
  </si>
  <si>
    <t>rogerlamb@hotmail.com</t>
  </si>
  <si>
    <t>Jessica Hamilton</t>
  </si>
  <si>
    <t>mwade@gmail.com</t>
  </si>
  <si>
    <t>Robert Gonzales</t>
  </si>
  <si>
    <t>nbarton@hotmail.com</t>
  </si>
  <si>
    <t>Tiffany Short</t>
  </si>
  <si>
    <t>larsonvictor@yahoo.com</t>
  </si>
  <si>
    <t>Adam Wright</t>
  </si>
  <si>
    <t>sarcher@yahoo.com</t>
  </si>
  <si>
    <t>Amber Mann DVM</t>
  </si>
  <si>
    <t>peterdavis@harris-ramirez.com</t>
  </si>
  <si>
    <t>Lisa Payne</t>
  </si>
  <si>
    <t>bondrichard@garcia.com</t>
  </si>
  <si>
    <t>Luke Lawson</t>
  </si>
  <si>
    <t>maryshaw@cannon-barnes.com</t>
  </si>
  <si>
    <t>Evan Wagner</t>
  </si>
  <si>
    <t>stewartjoe@yahoo.com</t>
  </si>
  <si>
    <t>Nicholas Nichols</t>
  </si>
  <si>
    <t>calvindawson@hotmail.com</t>
  </si>
  <si>
    <t>Robert Ward</t>
  </si>
  <si>
    <t>ayoung@taylor.info</t>
  </si>
  <si>
    <t>Tammy Gomez</t>
  </si>
  <si>
    <t>lshea@skinner-martinez.com</t>
  </si>
  <si>
    <t>Andrew Frank</t>
  </si>
  <si>
    <t>efletcher@yahoo.com</t>
  </si>
  <si>
    <t>Erica Sellers</t>
  </si>
  <si>
    <t>rmathews@morrow.net</t>
  </si>
  <si>
    <t>Nathan Cook</t>
  </si>
  <si>
    <t>estradajohn@hotmail.com</t>
  </si>
  <si>
    <t>Brandon Collins</t>
  </si>
  <si>
    <t>edward47@hotmail.com</t>
  </si>
  <si>
    <t>Debra Marshall</t>
  </si>
  <si>
    <t>jarnold@hotmail.com</t>
  </si>
  <si>
    <t>Tina Miller</t>
  </si>
  <si>
    <t>hblack@hotmail.com</t>
  </si>
  <si>
    <t>Joshua Singleton</t>
  </si>
  <si>
    <t>laura97@matthews.biz</t>
  </si>
  <si>
    <t>Hayley Mcdonald</t>
  </si>
  <si>
    <t>smendoza@hotmail.com</t>
  </si>
  <si>
    <t>Kyle Moore</t>
  </si>
  <si>
    <t>perezwalter@gmail.com</t>
  </si>
  <si>
    <t>Katherine Bowman</t>
  </si>
  <si>
    <t>smiller@yahoo.com</t>
  </si>
  <si>
    <t>Charles Anthony</t>
  </si>
  <si>
    <t>abowen@gmail.com</t>
  </si>
  <si>
    <t>Mr. Ryan Pitts</t>
  </si>
  <si>
    <t>robertbradshaw@ruiz-wilson.com</t>
  </si>
  <si>
    <t>Julie Elliott</t>
  </si>
  <si>
    <t>lisa10@williams-phillips.com</t>
  </si>
  <si>
    <t>Sabrina Gibson</t>
  </si>
  <si>
    <t>nathan57@hotmail.com</t>
  </si>
  <si>
    <t>Javier Ochoa</t>
  </si>
  <si>
    <t>oshepherd@hotmail.com</t>
  </si>
  <si>
    <t>Yolanda White</t>
  </si>
  <si>
    <t>millsrandy@gmail.com</t>
  </si>
  <si>
    <t>Lindsay Foster</t>
  </si>
  <si>
    <t>zacharyedwards@hotmail.com</t>
  </si>
  <si>
    <t>Joshua Kelley</t>
  </si>
  <si>
    <t>annebrowning@gmail.com</t>
  </si>
  <si>
    <t>George Reynolds</t>
  </si>
  <si>
    <t>smayer@hotmail.com</t>
  </si>
  <si>
    <t>Lisa Mitchell</t>
  </si>
  <si>
    <t>haynessonia@vega.com</t>
  </si>
  <si>
    <t>Timothy Howell</t>
  </si>
  <si>
    <t>nle@yahoo.com</t>
  </si>
  <si>
    <t>Michael Payne</t>
  </si>
  <si>
    <t>dicksonolivia@bauer.com</t>
  </si>
  <si>
    <t>Ronald Bishop</t>
  </si>
  <si>
    <t>grobinson@cook.org</t>
  </si>
  <si>
    <t>Olivia Jackson</t>
  </si>
  <si>
    <t>sandra63@gmail.com</t>
  </si>
  <si>
    <t>Rachel Roach</t>
  </si>
  <si>
    <t>john24@mata.com</t>
  </si>
  <si>
    <t>Steven Allen</t>
  </si>
  <si>
    <t>adamscourtney@yahoo.com</t>
  </si>
  <si>
    <t>Amy Bennett</t>
  </si>
  <si>
    <t>lindabean@yahoo.com</t>
  </si>
  <si>
    <t>Don Reyes</t>
  </si>
  <si>
    <t>normanfrancis@hotmail.com</t>
  </si>
  <si>
    <t>Carol Fisher</t>
  </si>
  <si>
    <t>snowlaura@gmail.com</t>
  </si>
  <si>
    <t>Gary Peterson</t>
  </si>
  <si>
    <t>martinshawna@gmail.com</t>
  </si>
  <si>
    <t>Joshua Thompson</t>
  </si>
  <si>
    <t>tdavis@hotmail.com</t>
  </si>
  <si>
    <t>Amanda Gardner</t>
  </si>
  <si>
    <t>snowdaniel@yahoo.com</t>
  </si>
  <si>
    <t>Morgan Hamilton</t>
  </si>
  <si>
    <t>davidmanning@terry.biz</t>
  </si>
  <si>
    <t>Walter Zuniga</t>
  </si>
  <si>
    <t>brooksjames@gmail.com</t>
  </si>
  <si>
    <t>Kelly Williams</t>
  </si>
  <si>
    <t>bjames@hotmail.com</t>
  </si>
  <si>
    <t>Lauren Le</t>
  </si>
  <si>
    <t>lisalawson@price.com</t>
  </si>
  <si>
    <t>Jon Johnson</t>
  </si>
  <si>
    <t>andrewgillespie@hernandez-thompson.org</t>
  </si>
  <si>
    <t>Brian Cantrell</t>
  </si>
  <si>
    <t>johnsilva@hotmail.com</t>
  </si>
  <si>
    <t>Tina Obrien</t>
  </si>
  <si>
    <t>zsims@lynch.org</t>
  </si>
  <si>
    <t>Andrew Hudson Jr.</t>
  </si>
  <si>
    <t>nicholaspratt@gmail.com</t>
  </si>
  <si>
    <t>Bethany Cervantes</t>
  </si>
  <si>
    <t>diana91@hotmail.com</t>
  </si>
  <si>
    <t>Amy Meyer</t>
  </si>
  <si>
    <t>popealexander@hotmail.com</t>
  </si>
  <si>
    <t>Renee Davis</t>
  </si>
  <si>
    <t>dmorton@yahoo.com</t>
  </si>
  <si>
    <t>Brittany Walker</t>
  </si>
  <si>
    <t>odavis@yahoo.com</t>
  </si>
  <si>
    <t>Philip Meyers</t>
  </si>
  <si>
    <t>bowenbarbara@gmail.com</t>
  </si>
  <si>
    <t>Theresa Edwards</t>
  </si>
  <si>
    <t>lisa62@farmer.com</t>
  </si>
  <si>
    <t>Christopher Schmitt</t>
  </si>
  <si>
    <t>tiffanyschroeder@hotmail.com</t>
  </si>
  <si>
    <t>Carrie Rowe</t>
  </si>
  <si>
    <t>ayalamichael@stark-taylor.net</t>
  </si>
  <si>
    <t>Timothy Higgins</t>
  </si>
  <si>
    <t>dramos@yahoo.com</t>
  </si>
  <si>
    <t>Sarah Ryan</t>
  </si>
  <si>
    <t>todd87@hester-curtis.com</t>
  </si>
  <si>
    <t>Brandon Smith</t>
  </si>
  <si>
    <t>tcooley@morales-christensen.com</t>
  </si>
  <si>
    <t>Toni Sullivan</t>
  </si>
  <si>
    <t>nataliewiley@yahoo.com</t>
  </si>
  <si>
    <t>Douglas Kelly</t>
  </si>
  <si>
    <t>lschmidt@yahoo.com</t>
  </si>
  <si>
    <t>Adrian Sims</t>
  </si>
  <si>
    <t>thompsonjill@yahoo.com</t>
  </si>
  <si>
    <t>Joseph Lawrence</t>
  </si>
  <si>
    <t>danielthomas@rios-park.com</t>
  </si>
  <si>
    <t>Diane Baker</t>
  </si>
  <si>
    <t>xjackson@jordan.com</t>
  </si>
  <si>
    <t>Joy Lee</t>
  </si>
  <si>
    <t>etaylor@foster.com</t>
  </si>
  <si>
    <t>Lindsay Hall</t>
  </si>
  <si>
    <t>angelacurtis@hotmail.com</t>
  </si>
  <si>
    <t>Bryan Higgins</t>
  </si>
  <si>
    <t>tim46@sanchez.info</t>
  </si>
  <si>
    <t>Sarah Douglas</t>
  </si>
  <si>
    <t>brivers@watts.biz</t>
  </si>
  <si>
    <t>Michelle Hart</t>
  </si>
  <si>
    <t>kathy75@cole.com</t>
  </si>
  <si>
    <t>Aaron Thomas</t>
  </si>
  <si>
    <t>qbrown@yates.com</t>
  </si>
  <si>
    <t>Gregory Mills</t>
  </si>
  <si>
    <t>johnsonstephanie@miller.com</t>
  </si>
  <si>
    <t>Manuel Patrick</t>
  </si>
  <si>
    <t>snyderjames@munoz-wallace.com</t>
  </si>
  <si>
    <t>Matthew Walker</t>
  </si>
  <si>
    <t>sdrake@gmail.com</t>
  </si>
  <si>
    <t>Jonathan Wilson</t>
  </si>
  <si>
    <t>johnhernandez@williams.biz</t>
  </si>
  <si>
    <t>Stephanie Norris</t>
  </si>
  <si>
    <t>amandawhite@cunningham-snyder.org</t>
  </si>
  <si>
    <t>Mark Christian</t>
  </si>
  <si>
    <t>toddthompson@walker.org</t>
  </si>
  <si>
    <t>Dana Mccullough</t>
  </si>
  <si>
    <t>johnsonchristian@hawkins-baxter.com</t>
  </si>
  <si>
    <t>Ronald Gill</t>
  </si>
  <si>
    <t>lindacarter@patel.com</t>
  </si>
  <si>
    <t>Joshua Carroll</t>
  </si>
  <si>
    <t>erik37@shaw.com</t>
  </si>
  <si>
    <t>Donna Andrews</t>
  </si>
  <si>
    <t>bcarson@gmail.com</t>
  </si>
  <si>
    <t>Erin Shepherd</t>
  </si>
  <si>
    <t>millerrobert@nelson.com</t>
  </si>
  <si>
    <t>John Lane</t>
  </si>
  <si>
    <t>ffowler@martinez-hall.com</t>
  </si>
  <si>
    <t>Edwin Barnes</t>
  </si>
  <si>
    <t>mark38@johnson-turner.com</t>
  </si>
  <si>
    <t>Andrew Davies</t>
  </si>
  <si>
    <t>michael59@gmail.com</t>
  </si>
  <si>
    <t>Michelle Campbell</t>
  </si>
  <si>
    <t>sandersbrittany@stuart.biz</t>
  </si>
  <si>
    <t>Michael Chang</t>
  </si>
  <si>
    <t>gomeznancy@yahoo.com</t>
  </si>
  <si>
    <t>Shannon Burke</t>
  </si>
  <si>
    <t>josephtran@cochran.net</t>
  </si>
  <si>
    <t>John Esparza</t>
  </si>
  <si>
    <t>brianbutler@gmail.com</t>
  </si>
  <si>
    <t>Raymond Rodriguez</t>
  </si>
  <si>
    <t>paulmartinez@lucas.biz</t>
  </si>
  <si>
    <t>Tammy Obrien</t>
  </si>
  <si>
    <t>jenna36@gordon.biz</t>
  </si>
  <si>
    <t>Joseph Hernandez</t>
  </si>
  <si>
    <t>richard22@dean.org</t>
  </si>
  <si>
    <t>Sarah Cummings</t>
  </si>
  <si>
    <t>richardcooper@gmail.com</t>
  </si>
  <si>
    <t>Austin Bell</t>
  </si>
  <si>
    <t>steven64@hotmail.com</t>
  </si>
  <si>
    <t>Daniel Hughes</t>
  </si>
  <si>
    <t>priceashley@hill-cain.biz</t>
  </si>
  <si>
    <t>Robert Clark</t>
  </si>
  <si>
    <t>dstuart@lee.com</t>
  </si>
  <si>
    <t>Gabriel Coleman</t>
  </si>
  <si>
    <t>yatesrobert@yahoo.com</t>
  </si>
  <si>
    <t>Melissa Turner</t>
  </si>
  <si>
    <t>cherylfrank@hotmail.com</t>
  </si>
  <si>
    <t>David Zamora V</t>
  </si>
  <si>
    <t>cassieharrison@hernandez.net</t>
  </si>
  <si>
    <t>Tony Vargas</t>
  </si>
  <si>
    <t>qmejia@lewis.org</t>
  </si>
  <si>
    <t>Virginia Hart</t>
  </si>
  <si>
    <t>grayandrea@robinson.biz</t>
  </si>
  <si>
    <t>Christopher Ryan</t>
  </si>
  <si>
    <t>donald99@cook.com</t>
  </si>
  <si>
    <t>Thomas Bush</t>
  </si>
  <si>
    <t>pbarrett@serrano-meza.com</t>
  </si>
  <si>
    <t>Justin Moreno</t>
  </si>
  <si>
    <t>johnnguyen@wyatt-thomas.com</t>
  </si>
  <si>
    <t>Shannon Ramirez</t>
  </si>
  <si>
    <t>aguilarpamela@hotmail.com</t>
  </si>
  <si>
    <t>David Clay</t>
  </si>
  <si>
    <t>cruztimothy@mathews.com</t>
  </si>
  <si>
    <t>Erika Rhodes</t>
  </si>
  <si>
    <t>jennifer46@yahoo.com</t>
  </si>
  <si>
    <t>Kara Cobb</t>
  </si>
  <si>
    <t>deanwilson@fields.org</t>
  </si>
  <si>
    <t>Heather Martinez</t>
  </si>
  <si>
    <t>qwhitehead@cox-padilla.net</t>
  </si>
  <si>
    <t>Hector King</t>
  </si>
  <si>
    <t>gnelson@green.com</t>
  </si>
  <si>
    <t>Dale Black</t>
  </si>
  <si>
    <t>joshua51@vargas.info</t>
  </si>
  <si>
    <t>Joseph Johnson</t>
  </si>
  <si>
    <t>shahcorey@gmail.com</t>
  </si>
  <si>
    <t>David Shaw</t>
  </si>
  <si>
    <t>suzanne84@yahoo.com</t>
  </si>
  <si>
    <t>Shane Clarke</t>
  </si>
  <si>
    <t>awalker@gmail.com</t>
  </si>
  <si>
    <t>Dwayne Arellano</t>
  </si>
  <si>
    <t>yphillips@yahoo.com</t>
  </si>
  <si>
    <t>Jack Wheeler</t>
  </si>
  <si>
    <t>fphelps@hotmail.com</t>
  </si>
  <si>
    <t>Amy Gonzalez</t>
  </si>
  <si>
    <t>theodore83@yahoo.com</t>
  </si>
  <si>
    <t>Christine Knox</t>
  </si>
  <si>
    <t>kathleenweaver@hotmail.com</t>
  </si>
  <si>
    <t>Jennifer Cole</t>
  </si>
  <si>
    <t>janice50@phillips-drake.com</t>
  </si>
  <si>
    <t>Whitney Daniels</t>
  </si>
  <si>
    <t>bradley77@gmail.com</t>
  </si>
  <si>
    <t>Robert Barrera</t>
  </si>
  <si>
    <t>frank97@hotmail.com</t>
  </si>
  <si>
    <t>Jennifer Castro</t>
  </si>
  <si>
    <t>masonamanda@yahoo.com</t>
  </si>
  <si>
    <t>Matthew Ibarra</t>
  </si>
  <si>
    <t>mckinneyamber@yahoo.com</t>
  </si>
  <si>
    <t>Kristen Rodriguez</t>
  </si>
  <si>
    <t>matthewgarcia@yahoo.com</t>
  </si>
  <si>
    <t>Dr. Colton Schneider DDS</t>
  </si>
  <si>
    <t>sherri96@gmail.com</t>
  </si>
  <si>
    <t>Katherine Snyder</t>
  </si>
  <si>
    <t>matthew48@gmail.com</t>
  </si>
  <si>
    <t>Mary Johnson</t>
  </si>
  <si>
    <t>matalarry@white-gallagher.net</t>
  </si>
  <si>
    <t>Desiree Ross</t>
  </si>
  <si>
    <t>kevin38@eaton.com</t>
  </si>
  <si>
    <t>Alan Choi</t>
  </si>
  <si>
    <t>gabriellebaker@romero.com</t>
  </si>
  <si>
    <t>Mrs. Abigail Cardenas</t>
  </si>
  <si>
    <t>shannon70@gmail.com</t>
  </si>
  <si>
    <t>Karen Irwin</t>
  </si>
  <si>
    <t>vliu@yahoo.com</t>
  </si>
  <si>
    <t>Veronica Moreno</t>
  </si>
  <si>
    <t>katherine30@yahoo.com</t>
  </si>
  <si>
    <t>Joshua Ryan</t>
  </si>
  <si>
    <t>flove@gmail.com</t>
  </si>
  <si>
    <t>Tara Bentley</t>
  </si>
  <si>
    <t>jacobcarter@henry.net</t>
  </si>
  <si>
    <t>Patrick Ramos</t>
  </si>
  <si>
    <t>daltonalvarez@gonzalez.com</t>
  </si>
  <si>
    <t>Todd Garcia</t>
  </si>
  <si>
    <t>jodisavage@yahoo.com</t>
  </si>
  <si>
    <t>Cody Figueroa</t>
  </si>
  <si>
    <t>idavis@smith-huff.com</t>
  </si>
  <si>
    <t>Kelly Smith</t>
  </si>
  <si>
    <t>angel59@lee.com</t>
  </si>
  <si>
    <t>Phyllis Bennett</t>
  </si>
  <si>
    <t>carlsonmatthew@gmail.com</t>
  </si>
  <si>
    <t>Kristen Barajas</t>
  </si>
  <si>
    <t>vanessa08@benson.info</t>
  </si>
  <si>
    <t>Kenneth Stone</t>
  </si>
  <si>
    <t>lopezmichael@bentley-harris.com</t>
  </si>
  <si>
    <t>Lori Roberts</t>
  </si>
  <si>
    <t>carrie31@gmail.com</t>
  </si>
  <si>
    <t>Alejandra Walton</t>
  </si>
  <si>
    <t>ramirezandrew@yahoo.com</t>
  </si>
  <si>
    <t>Austin Montes</t>
  </si>
  <si>
    <t>dhawkins@hotmail.com</t>
  </si>
  <si>
    <t>Robert Evans</t>
  </si>
  <si>
    <t>yarnold@gmail.com</t>
  </si>
  <si>
    <t>Katie Hawkins</t>
  </si>
  <si>
    <t>elittle@yahoo.com</t>
  </si>
  <si>
    <t>Jason Fletcher</t>
  </si>
  <si>
    <t>kevinbrown@hotmail.com</t>
  </si>
  <si>
    <t>Michelle Smith</t>
  </si>
  <si>
    <t>anthonycontreras@palmer.com</t>
  </si>
  <si>
    <t>Jordan Larson</t>
  </si>
  <si>
    <t>jmiller@faulkner.com</t>
  </si>
  <si>
    <t>Eric Ford</t>
  </si>
  <si>
    <t>hernandezjulia@gmail.com</t>
  </si>
  <si>
    <t>John Weaver</t>
  </si>
  <si>
    <t>aaron76@wright-ford.net</t>
  </si>
  <si>
    <t>Nancy Schneider</t>
  </si>
  <si>
    <t>markbradley@vaughan-carrillo.com</t>
  </si>
  <si>
    <t>Sheri Nelson</t>
  </si>
  <si>
    <t>anthonyhall@miranda.biz</t>
  </si>
  <si>
    <t>Tammy Harvey</t>
  </si>
  <si>
    <t>millernathaniel@smith.org</t>
  </si>
  <si>
    <t>James Collins</t>
  </si>
  <si>
    <t>rli@schmidt.com</t>
  </si>
  <si>
    <t>Alan Parks</t>
  </si>
  <si>
    <t>gallegoschristopher@yahoo.com</t>
  </si>
  <si>
    <t>Brian Higgins</t>
  </si>
  <si>
    <t>erin90@smith-martinez.com</t>
  </si>
  <si>
    <t>Lauren Burton</t>
  </si>
  <si>
    <t>guzmanmary@hotmail.com</t>
  </si>
  <si>
    <t>Shelby Farmer</t>
  </si>
  <si>
    <t>wanderson@yahoo.com</t>
  </si>
  <si>
    <t>Nicholas Estrada</t>
  </si>
  <si>
    <t>lharris@norton.com</t>
  </si>
  <si>
    <t>Donald Green</t>
  </si>
  <si>
    <t>kowen@barnett.com</t>
  </si>
  <si>
    <t>Michael Miles</t>
  </si>
  <si>
    <t>tammygrimes@phillips-barnes.biz</t>
  </si>
  <si>
    <t>Amber Tran</t>
  </si>
  <si>
    <t>adamsmargaret@morales-martin.com</t>
  </si>
  <si>
    <t>Ronald Hawkins</t>
  </si>
  <si>
    <t>aaronevans@howell.com</t>
  </si>
  <si>
    <t>Jeremy Spencer</t>
  </si>
  <si>
    <t>dianahughes@hotmail.com</t>
  </si>
  <si>
    <t>Michelle Dawson</t>
  </si>
  <si>
    <t>alexandra37@bailey.info</t>
  </si>
  <si>
    <t>Jordan Berry</t>
  </si>
  <si>
    <t>oramos@cuevas.com</t>
  </si>
  <si>
    <t>James Gonzalez</t>
  </si>
  <si>
    <t>aquinn@yahoo.com</t>
  </si>
  <si>
    <t>Mary Sullivan</t>
  </si>
  <si>
    <t>arogers@hotmail.com</t>
  </si>
  <si>
    <t>Kerry Harris</t>
  </si>
  <si>
    <t>erica87@johnson-mills.com</t>
  </si>
  <si>
    <t>Cheyenne Ferguson</t>
  </si>
  <si>
    <t>nicholsondana@long.com</t>
  </si>
  <si>
    <t>Thomas Sanchez</t>
  </si>
  <si>
    <t>rthompson@gmail.com</t>
  </si>
  <si>
    <t>James Garcia</t>
  </si>
  <si>
    <t>shawn47@gmail.com</t>
  </si>
  <si>
    <t>Kevin Garcia</t>
  </si>
  <si>
    <t>hancockallen@gordon.org</t>
  </si>
  <si>
    <t>Tina Chapman</t>
  </si>
  <si>
    <t>dwilliams@yahoo.com</t>
  </si>
  <si>
    <t>Jose Mcdaniel</t>
  </si>
  <si>
    <t>cartertodd@parker.com</t>
  </si>
  <si>
    <t>David Martinez</t>
  </si>
  <si>
    <t>zlittle@acosta-ponce.com</t>
  </si>
  <si>
    <t>Emily Frazier</t>
  </si>
  <si>
    <t>tylerflores@hotmail.com</t>
  </si>
  <si>
    <t>William Salazar</t>
  </si>
  <si>
    <t>gespinoza@gmail.com</t>
  </si>
  <si>
    <t>Christian Martin</t>
  </si>
  <si>
    <t>mwilliams@moyer-hawkins.com</t>
  </si>
  <si>
    <t>Angela Morgan</t>
  </si>
  <si>
    <t>bethsmith@smith-bates.net</t>
  </si>
  <si>
    <t>Juan Griffin</t>
  </si>
  <si>
    <t>anthony84@murphy-calderon.com</t>
  </si>
  <si>
    <t>Judy Garcia DDS</t>
  </si>
  <si>
    <t>marthavazquez@yahoo.com</t>
  </si>
  <si>
    <t>Lauren Castillo</t>
  </si>
  <si>
    <t>hillrobert@lewis.biz</t>
  </si>
  <si>
    <t>John Brown</t>
  </si>
  <si>
    <t>hancockjillian@oliver.com</t>
  </si>
  <si>
    <t>Amy Sanchez</t>
  </si>
  <si>
    <t>michellemoreno@yahoo.com</t>
  </si>
  <si>
    <t>Lisa Salazar</t>
  </si>
  <si>
    <t>karen50@yahoo.com</t>
  </si>
  <si>
    <t>Michael Fisher</t>
  </si>
  <si>
    <t>jonathanpreston@drake.com</t>
  </si>
  <si>
    <t>Jon Harris</t>
  </si>
  <si>
    <t>rebecca15@hotmail.com</t>
  </si>
  <si>
    <t>Jessica Garcia</t>
  </si>
  <si>
    <t>cheryl34@blackwell-ramirez.com</t>
  </si>
  <si>
    <t>Edward Lopez</t>
  </si>
  <si>
    <t>james19@lopez.biz</t>
  </si>
  <si>
    <t>Lisa Stevens</t>
  </si>
  <si>
    <t>mary39@gmail.com</t>
  </si>
  <si>
    <t>Dr. Kathryn Jacobs</t>
  </si>
  <si>
    <t>calvin72@gmail.com</t>
  </si>
  <si>
    <t>Christopher Pugh</t>
  </si>
  <si>
    <t>geoffreybaker@mcintosh-ray.biz</t>
  </si>
  <si>
    <t>Melissa Tucker</t>
  </si>
  <si>
    <t>brownwendy@gmail.com</t>
  </si>
  <si>
    <t>Dalton Randall</t>
  </si>
  <si>
    <t>tim17@hotmail.com</t>
  </si>
  <si>
    <t>Mackenzie Bowman</t>
  </si>
  <si>
    <t>erica65@yahoo.com</t>
  </si>
  <si>
    <t>Megan Trevino</t>
  </si>
  <si>
    <t>barrettbruce@banks-castillo.com</t>
  </si>
  <si>
    <t>Ronald West</t>
  </si>
  <si>
    <t>mary26@russell-sanchez.org</t>
  </si>
  <si>
    <t>Jennifer Morgan</t>
  </si>
  <si>
    <t>faustin@hotmail.com</t>
  </si>
  <si>
    <t>Michael Hays</t>
  </si>
  <si>
    <t>sergiojordan@gmail.com</t>
  </si>
  <si>
    <t>Jennifer Alvarez</t>
  </si>
  <si>
    <t>louis64@yahoo.com</t>
  </si>
  <si>
    <t>Melvin Glover</t>
  </si>
  <si>
    <t>wguerrero@khan-davidson.com</t>
  </si>
  <si>
    <t>Valerie Mays</t>
  </si>
  <si>
    <t>lauren83@yahoo.com</t>
  </si>
  <si>
    <t>Trevor Snyder</t>
  </si>
  <si>
    <t>gilbert38@hotmail.com</t>
  </si>
  <si>
    <t>Dr. Justin Hale</t>
  </si>
  <si>
    <t>anthonybranch@reeves.com</t>
  </si>
  <si>
    <t>Martin King</t>
  </si>
  <si>
    <t>jamescarpenter@hotmail.com</t>
  </si>
  <si>
    <t>Jason Owen</t>
  </si>
  <si>
    <t>hughescharles@gmail.com</t>
  </si>
  <si>
    <t>John Howard</t>
  </si>
  <si>
    <t>parkeramber@yahoo.com</t>
  </si>
  <si>
    <t>Nicole Alvarez</t>
  </si>
  <si>
    <t>estephenson@glover-little.com</t>
  </si>
  <si>
    <t>Jonathan Washington</t>
  </si>
  <si>
    <t>michealhorne@gmail.com</t>
  </si>
  <si>
    <t>Benjamin Gates</t>
  </si>
  <si>
    <t>terickson@frank-avila.com</t>
  </si>
  <si>
    <t>Jeffrey Strickland</t>
  </si>
  <si>
    <t>kevinstewart@yahoo.com</t>
  </si>
  <si>
    <t>Christine Mcbride</t>
  </si>
  <si>
    <t>kathy05@gmail.com</t>
  </si>
  <si>
    <t>David Williams PhD</t>
  </si>
  <si>
    <t>conniegalvan@hotmail.com</t>
  </si>
  <si>
    <t>David Robinson</t>
  </si>
  <si>
    <t>pphillips@hotmail.com</t>
  </si>
  <si>
    <t>Kelly Lopez</t>
  </si>
  <si>
    <t>kathleen39@yahoo.com</t>
  </si>
  <si>
    <t>iperry@yahoo.com</t>
  </si>
  <si>
    <t>Shane Bradley</t>
  </si>
  <si>
    <t>isaiahmolina@gmail.com</t>
  </si>
  <si>
    <t>Timothy Turner</t>
  </si>
  <si>
    <t>stevenblake@hotmail.com</t>
  </si>
  <si>
    <t>Julie Griffith</t>
  </si>
  <si>
    <t>mark69@hotmail.com</t>
  </si>
  <si>
    <t>Erin Mccarty</t>
  </si>
  <si>
    <t>amber19@welch-fox.com</t>
  </si>
  <si>
    <t>Sara Johnson</t>
  </si>
  <si>
    <t>clarkedavid@yahoo.com</t>
  </si>
  <si>
    <t>Cody Kelley</t>
  </si>
  <si>
    <t>ryanjohnson@davidson.biz</t>
  </si>
  <si>
    <t>Ryan Mckay</t>
  </si>
  <si>
    <t>lisa18@yahoo.com</t>
  </si>
  <si>
    <t>Thomas Martinez</t>
  </si>
  <si>
    <t>perrywhite@little.com</t>
  </si>
  <si>
    <t>Edward Poole</t>
  </si>
  <si>
    <t>mcdonaldlisa@gmail.com</t>
  </si>
  <si>
    <t>Robert Wilson</t>
  </si>
  <si>
    <t>chambersstephanie@hotmail.com</t>
  </si>
  <si>
    <t>Benjamin Porter</t>
  </si>
  <si>
    <t>nicole33@miller.com</t>
  </si>
  <si>
    <t>Craig Kennedy</t>
  </si>
  <si>
    <t>yallen@gmail.com</t>
  </si>
  <si>
    <t>Amanda Phillips</t>
  </si>
  <si>
    <t>jack30@page.net</t>
  </si>
  <si>
    <t>Joel Richardson</t>
  </si>
  <si>
    <t>troypearson@hotmail.com</t>
  </si>
  <si>
    <t>Christina Stewart</t>
  </si>
  <si>
    <t>karahernandez@sandoval.net</t>
  </si>
  <si>
    <t>Sandra Lewis</t>
  </si>
  <si>
    <t>jeffrey22@hotmail.com</t>
  </si>
  <si>
    <t>Amber Gentry</t>
  </si>
  <si>
    <t>willieschroeder@gmail.com</t>
  </si>
  <si>
    <t>Katrina Smith</t>
  </si>
  <si>
    <t>wilsonjason@moses-hicks.org</t>
  </si>
  <si>
    <t>Amber Lopez</t>
  </si>
  <si>
    <t>brianjones@yahoo.com</t>
  </si>
  <si>
    <t>Brittany Hubbard</t>
  </si>
  <si>
    <t>kyle51@yahoo.com</t>
  </si>
  <si>
    <t>Christopher Reyes</t>
  </si>
  <si>
    <t>jamesbauer@yahoo.com</t>
  </si>
  <si>
    <t>William Hess</t>
  </si>
  <si>
    <t>tbeasley@rubio.com</t>
  </si>
  <si>
    <t>Destiny Martin</t>
  </si>
  <si>
    <t>lukesmith@sexton-robles.biz</t>
  </si>
  <si>
    <t>Rachel Leon</t>
  </si>
  <si>
    <t>wwilliams@cherry-stephens.biz</t>
  </si>
  <si>
    <t>Taylor Hernandez</t>
  </si>
  <si>
    <t>jsingh@yahoo.com</t>
  </si>
  <si>
    <t>Jack Phillips</t>
  </si>
  <si>
    <t>mjackson@lester-wolf.biz</t>
  </si>
  <si>
    <t>Sarah Perez</t>
  </si>
  <si>
    <t>franklinmichael@andrews.com</t>
  </si>
  <si>
    <t>Shelby Marshall</t>
  </si>
  <si>
    <t>stevensryan@kelly.net</t>
  </si>
  <si>
    <t>Shannon Carter</t>
  </si>
  <si>
    <t>friddle@pace-glover.com</t>
  </si>
  <si>
    <t>Lisa Wiggins</t>
  </si>
  <si>
    <t>michelle15@yahoo.com</t>
  </si>
  <si>
    <t>Kristen Sullivan</t>
  </si>
  <si>
    <t>mariocollier@howard.com</t>
  </si>
  <si>
    <t>Larry Brown</t>
  </si>
  <si>
    <t>robertescobar@gmail.com</t>
  </si>
  <si>
    <t>Tina Chambers</t>
  </si>
  <si>
    <t>marie64@gmail.com</t>
  </si>
  <si>
    <t>Debra Lee</t>
  </si>
  <si>
    <t>smithkaren@fisher.com</t>
  </si>
  <si>
    <t>Ronald Anderson</t>
  </si>
  <si>
    <t>johnsonivan@love-mitchell.org</t>
  </si>
  <si>
    <t>Allison Glenn</t>
  </si>
  <si>
    <t>judylyons@wilson.com</t>
  </si>
  <si>
    <t>Mrs. Victoria Roberts</t>
  </si>
  <si>
    <t>cgibson@price.com</t>
  </si>
  <si>
    <t>George Kidd</t>
  </si>
  <si>
    <t>chrisjackson@higgins.com</t>
  </si>
  <si>
    <t>Kelsey Chapman</t>
  </si>
  <si>
    <t>bradleyanderson@gmail.com</t>
  </si>
  <si>
    <t>Ashley Jordan</t>
  </si>
  <si>
    <t>cnguyen@gmail.com</t>
  </si>
  <si>
    <t>Karina Gomez</t>
  </si>
  <si>
    <t>wbowman@moyer.biz</t>
  </si>
  <si>
    <t>Alicia Taylor</t>
  </si>
  <si>
    <t>mking@hotmail.com</t>
  </si>
  <si>
    <t>Crystal Williams DDS</t>
  </si>
  <si>
    <t>sdixon@gmail.com</t>
  </si>
  <si>
    <t>Jason Lee</t>
  </si>
  <si>
    <t>kennedyjames@gmail.com</t>
  </si>
  <si>
    <t>Tiffany Davis</t>
  </si>
  <si>
    <t>fernando53@gmail.com</t>
  </si>
  <si>
    <t>Mr. Carlos Harrell</t>
  </si>
  <si>
    <t>khill@hotmail.com</t>
  </si>
  <si>
    <t>Gina Brown</t>
  </si>
  <si>
    <t>kristin63@yahoo.com</t>
  </si>
  <si>
    <t>Crystal Moon</t>
  </si>
  <si>
    <t>kimberlyclark@rodriguez-hart.com</t>
  </si>
  <si>
    <t>Aaron Ward</t>
  </si>
  <si>
    <t>sandersdawn@molina.com</t>
  </si>
  <si>
    <t>Amy Duncan</t>
  </si>
  <si>
    <t>smithsara@taylor.com</t>
  </si>
  <si>
    <t>Richard Burns</t>
  </si>
  <si>
    <t>williamhunt@jackson.org</t>
  </si>
  <si>
    <t>Gina Hood</t>
  </si>
  <si>
    <t>mbarnes@orozco-stout.biz</t>
  </si>
  <si>
    <t>Lauren Gardner</t>
  </si>
  <si>
    <t>ryanortiz@cooley.com</t>
  </si>
  <si>
    <t>Tracey Tyler</t>
  </si>
  <si>
    <t>jeffrey20@taylor.org</t>
  </si>
  <si>
    <t>Jacob Robertson Jr.</t>
  </si>
  <si>
    <t>dianaelliott@hotmail.com</t>
  </si>
  <si>
    <t>Carl Williams</t>
  </si>
  <si>
    <t>esmith@walker.info</t>
  </si>
  <si>
    <t>Michelle Ross</t>
  </si>
  <si>
    <t>lovekatherine@robbins.com</t>
  </si>
  <si>
    <t>Julie Harris</t>
  </si>
  <si>
    <t>lindamatthews@gmail.com</t>
  </si>
  <si>
    <t>Sean Phillips</t>
  </si>
  <si>
    <t>brandon02@west.com</t>
  </si>
  <si>
    <t>Alexander Peters</t>
  </si>
  <si>
    <t>joelewis@scott-villa.com</t>
  </si>
  <si>
    <t>Joseph Lutz</t>
  </si>
  <si>
    <t>sharoncrane@powell.info</t>
  </si>
  <si>
    <t>Samuel Delacruz</t>
  </si>
  <si>
    <t>jenniferwilliams@carpenter-bowen.biz</t>
  </si>
  <si>
    <t>Daniel May</t>
  </si>
  <si>
    <t>james54@ellis.com</t>
  </si>
  <si>
    <t>Brett Solis</t>
  </si>
  <si>
    <t>mwagner@johnson.com</t>
  </si>
  <si>
    <t>Peter Potter</t>
  </si>
  <si>
    <t>seanklein@yahoo.com</t>
  </si>
  <si>
    <t>Joshua Howell</t>
  </si>
  <si>
    <t>joseph83@yahoo.com</t>
  </si>
  <si>
    <t>Denise Hamilton</t>
  </si>
  <si>
    <t>masonmichelle@murphy.com</t>
  </si>
  <si>
    <t>Sarah Chavez</t>
  </si>
  <si>
    <t>kevingraham@richardson.com</t>
  </si>
  <si>
    <t>Ashley Hensley</t>
  </si>
  <si>
    <t>diana97@yahoo.com</t>
  </si>
  <si>
    <t>Zachary Carlson</t>
  </si>
  <si>
    <t>fmann@gmail.com</t>
  </si>
  <si>
    <t>Ashley Ho</t>
  </si>
  <si>
    <t>mary84@gmail.com</t>
  </si>
  <si>
    <t>Joshua Hensley</t>
  </si>
  <si>
    <t>matthewbrown@mitchell-robinson.com</t>
  </si>
  <si>
    <t>Billy Allen</t>
  </si>
  <si>
    <t>hernandezjennifer@mcdonald-dominguez.com</t>
  </si>
  <si>
    <t>Lauren Tran</t>
  </si>
  <si>
    <t>karen66@perez.com</t>
  </si>
  <si>
    <t>Sonia Welch</t>
  </si>
  <si>
    <t>carladelacruz@weber-brown.net</t>
  </si>
  <si>
    <t>Jose Jackson</t>
  </si>
  <si>
    <t>salasapril@gmail.com</t>
  </si>
  <si>
    <t>Sharon Murphy</t>
  </si>
  <si>
    <t>samantha92@ray.com</t>
  </si>
  <si>
    <t>Renee Blevins</t>
  </si>
  <si>
    <t>ybarry@gmail.com</t>
  </si>
  <si>
    <t>Andrew Fernandez</t>
  </si>
  <si>
    <t>robertochavez@hotmail.com</t>
  </si>
  <si>
    <t>Tammy Hicks</t>
  </si>
  <si>
    <t>muellerrebecca@peterson.com</t>
  </si>
  <si>
    <t>Cynthia Hall</t>
  </si>
  <si>
    <t>kennethtucker@hotmail.com</t>
  </si>
  <si>
    <t>Seth Boyd</t>
  </si>
  <si>
    <t>ryannatalie@serrano.com</t>
  </si>
  <si>
    <t>Sandra Rojas</t>
  </si>
  <si>
    <t>imoore@gmail.com</t>
  </si>
  <si>
    <t>Mary Berry</t>
  </si>
  <si>
    <t>ramirezjudy@hotmail.com</t>
  </si>
  <si>
    <t>Sharon Vincent</t>
  </si>
  <si>
    <t>jonbrown@hotmail.com</t>
  </si>
  <si>
    <t>Ethan Andrews</t>
  </si>
  <si>
    <t>diazjack@fuller.com</t>
  </si>
  <si>
    <t>Max Mayo</t>
  </si>
  <si>
    <t>chaynes@yahoo.com</t>
  </si>
  <si>
    <t>Ryan Gray</t>
  </si>
  <si>
    <t>zacharyhamilton@garrett.com</t>
  </si>
  <si>
    <t>Stephanie Dunn</t>
  </si>
  <si>
    <t>ysmith@higgins.com</t>
  </si>
  <si>
    <t>Rose Lopez</t>
  </si>
  <si>
    <t>blaireric@gmail.com</t>
  </si>
  <si>
    <t>Jesse West</t>
  </si>
  <si>
    <t>nelsonvictor@brown.net</t>
  </si>
  <si>
    <t>Danielle Brown</t>
  </si>
  <si>
    <t>danieljohnson@parks.com</t>
  </si>
  <si>
    <t>Timothy Robertson</t>
  </si>
  <si>
    <t>boyerjasmine@gmail.com</t>
  </si>
  <si>
    <t>Erik Compton</t>
  </si>
  <si>
    <t>kristingonzalez@gmail.com</t>
  </si>
  <si>
    <t>Kathleen Wise</t>
  </si>
  <si>
    <t>webbjack@brown.org</t>
  </si>
  <si>
    <t>Angel Hicks</t>
  </si>
  <si>
    <t>pittmanjesus@gmail.com</t>
  </si>
  <si>
    <t>Alyssa Gilmore</t>
  </si>
  <si>
    <t>alicia35@hotmail.com</t>
  </si>
  <si>
    <t>Wayne Fernandez</t>
  </si>
  <si>
    <t>freemanlinda@shaw-mccullough.com</t>
  </si>
  <si>
    <t>Denise Ford</t>
  </si>
  <si>
    <t>cjohnson@gmail.com</t>
  </si>
  <si>
    <t>Anthony Martin</t>
  </si>
  <si>
    <t>torresemily@hotmail.com</t>
  </si>
  <si>
    <t>Cynthia May</t>
  </si>
  <si>
    <t>catherine69@hotmail.com</t>
  </si>
  <si>
    <t>Christopher Rogers</t>
  </si>
  <si>
    <t>oreynolds@butler.com</t>
  </si>
  <si>
    <t>Aaron Johnson</t>
  </si>
  <si>
    <t>hudsonchristina@flores.com</t>
  </si>
  <si>
    <t>martinezjennifer@yahoo.com</t>
  </si>
  <si>
    <t>Scott Hansen</t>
  </si>
  <si>
    <t>ypatrick@gmail.com</t>
  </si>
  <si>
    <t>Wayne Juarez</t>
  </si>
  <si>
    <t>jameshicks@gmail.com</t>
  </si>
  <si>
    <t>Brian Marshall</t>
  </si>
  <si>
    <t>qcook@hotmail.com</t>
  </si>
  <si>
    <t>Heather Craig</t>
  </si>
  <si>
    <t>jessica14@alexander.com</t>
  </si>
  <si>
    <t>Erik Morales</t>
  </si>
  <si>
    <t>gchurch@gmail.com</t>
  </si>
  <si>
    <t>Theresa Bass</t>
  </si>
  <si>
    <t>jacksonanthony@hotmail.com</t>
  </si>
  <si>
    <t>Preston Hall</t>
  </si>
  <si>
    <t>crystalcasey@gmail.com</t>
  </si>
  <si>
    <t>Holly Brandt</t>
  </si>
  <si>
    <t>hoffmanalbert@yahoo.com</t>
  </si>
  <si>
    <t>Perry Brooks</t>
  </si>
  <si>
    <t>hamptonfelicia@hotmail.com</t>
  </si>
  <si>
    <t>Lisa Young</t>
  </si>
  <si>
    <t>mullinstraci@ho.com</t>
  </si>
  <si>
    <t>Lisa Mckinney</t>
  </si>
  <si>
    <t>oneillsteven@yahoo.com</t>
  </si>
  <si>
    <t>Lauren King</t>
  </si>
  <si>
    <t>nicole20@werner.com</t>
  </si>
  <si>
    <t>Allison Rodriguez</t>
  </si>
  <si>
    <t>scoleman@stone.com</t>
  </si>
  <si>
    <t>Raymond Bell Jr.</t>
  </si>
  <si>
    <t>javiergaines@gmail.com</t>
  </si>
  <si>
    <t>John Vasquez</t>
  </si>
  <si>
    <t>anthony68@gmail.com</t>
  </si>
  <si>
    <t>Judy Chung</t>
  </si>
  <si>
    <t>williamsjames@hotmail.com</t>
  </si>
  <si>
    <t>David Crawford</t>
  </si>
  <si>
    <t>asmith@cervantes.com</t>
  </si>
  <si>
    <t>Christopher Banks</t>
  </si>
  <si>
    <t>nenglish@yahoo.com</t>
  </si>
  <si>
    <t>Andrea Morales</t>
  </si>
  <si>
    <t>amber41@yahoo.com</t>
  </si>
  <si>
    <t>Rachel Jones</t>
  </si>
  <si>
    <t>kathyanthony@lopez.org</t>
  </si>
  <si>
    <t>Daniel Davis</t>
  </si>
  <si>
    <t>hhines@walter.net</t>
  </si>
  <si>
    <t>George Rodriguez MD</t>
  </si>
  <si>
    <t>matajessica@fletcher-king.org</t>
  </si>
  <si>
    <t>Pamela Zamora DDS</t>
  </si>
  <si>
    <t>hperez@yahoo.com</t>
  </si>
  <si>
    <t>Alfred Pierce</t>
  </si>
  <si>
    <t>erica55@gmail.com</t>
  </si>
  <si>
    <t>Dr. Glen Ramsey</t>
  </si>
  <si>
    <t>brettrodriguez@dunn.com</t>
  </si>
  <si>
    <t>Mary Webster</t>
  </si>
  <si>
    <t>idougherty@garza.com</t>
  </si>
  <si>
    <t>Jenna Lane</t>
  </si>
  <si>
    <t>browntimothy@yahoo.com</t>
  </si>
  <si>
    <t>Kenneth Young</t>
  </si>
  <si>
    <t>jonathanstark@willis.com</t>
  </si>
  <si>
    <t>Robert Fuller</t>
  </si>
  <si>
    <t>michaellowe@salinas.info</t>
  </si>
  <si>
    <t>James Bennett</t>
  </si>
  <si>
    <t>rodney48@olsen.biz</t>
  </si>
  <si>
    <t>Brent Nielsen</t>
  </si>
  <si>
    <t>treed@peterson-mills.com</t>
  </si>
  <si>
    <t>Allen Lee</t>
  </si>
  <si>
    <t>browndonald@gmail.com</t>
  </si>
  <si>
    <t>Benjamin Farrell</t>
  </si>
  <si>
    <t>anne78@gmail.com</t>
  </si>
  <si>
    <t>Sean Jimenez</t>
  </si>
  <si>
    <t>davidhayes@brown-hester.com</t>
  </si>
  <si>
    <t>Jeffrey Harris</t>
  </si>
  <si>
    <t>anthony47@davis.info</t>
  </si>
  <si>
    <t>Bryan Matthews</t>
  </si>
  <si>
    <t>steven40@gmail.com</t>
  </si>
  <si>
    <t>Marcus Thomas</t>
  </si>
  <si>
    <t>gravesmelissa@cruz.com</t>
  </si>
  <si>
    <t>Adam Burns</t>
  </si>
  <si>
    <t>quinnrobert@moore-fields.biz</t>
  </si>
  <si>
    <t>Benjamin Brown</t>
  </si>
  <si>
    <t>zachary77@hotmail.com</t>
  </si>
  <si>
    <t>Kenneth Mays</t>
  </si>
  <si>
    <t>muelleralexandra@castro.net</t>
  </si>
  <si>
    <t>Christopher Poole</t>
  </si>
  <si>
    <t>robertjacobs@gmail.com</t>
  </si>
  <si>
    <t>James Snyder</t>
  </si>
  <si>
    <t>anthonythomas@duncan.com</t>
  </si>
  <si>
    <t>Kathleen Scott</t>
  </si>
  <si>
    <t>jorgestrickland@gray.com</t>
  </si>
  <si>
    <t>Joseph Clark</t>
  </si>
  <si>
    <t>timothydean@gmail.com</t>
  </si>
  <si>
    <t>Samantha Kennedy</t>
  </si>
  <si>
    <t>yrobinson@yahoo.com</t>
  </si>
  <si>
    <t>Mark Watkins</t>
  </si>
  <si>
    <t>kyle86@scott.com</t>
  </si>
  <si>
    <t>Maria Gutierrez</t>
  </si>
  <si>
    <t>claytonrachel@yahoo.com</t>
  </si>
  <si>
    <t>Luke Kane</t>
  </si>
  <si>
    <t>galvantiffany@frazier-gardner.net</t>
  </si>
  <si>
    <t>Timothy Williams</t>
  </si>
  <si>
    <t>tammyjennings@hotmail.com</t>
  </si>
  <si>
    <t>Richard Martinez</t>
  </si>
  <si>
    <t>mistychung@williams.biz</t>
  </si>
  <si>
    <t>Michael Whitehead</t>
  </si>
  <si>
    <t>cory76@dyer.org</t>
  </si>
  <si>
    <t>Benjamin Perez</t>
  </si>
  <si>
    <t>craigfigueroa@gmail.com</t>
  </si>
  <si>
    <t>Kimberly Roberson</t>
  </si>
  <si>
    <t>hortonmark@hotmail.com</t>
  </si>
  <si>
    <t>Peter Chandler</t>
  </si>
  <si>
    <t>robersonandrew@yahoo.com</t>
  </si>
  <si>
    <t>Kathryn Torres</t>
  </si>
  <si>
    <t>sherrimartin@williams.biz</t>
  </si>
  <si>
    <t>Mark Schneider</t>
  </si>
  <si>
    <t>hchen@logan.org</t>
  </si>
  <si>
    <t>Brian Merritt</t>
  </si>
  <si>
    <t>kimberly83@yahoo.com</t>
  </si>
  <si>
    <t>Samantha Bartlett</t>
  </si>
  <si>
    <t>jorgeward@barnett.com</t>
  </si>
  <si>
    <t>Austin Burns</t>
  </si>
  <si>
    <t>jsanchez@lopez.org</t>
  </si>
  <si>
    <t>Chris Winters</t>
  </si>
  <si>
    <t>wgriffin@campbell.info</t>
  </si>
  <si>
    <t>Alexis Henderson</t>
  </si>
  <si>
    <t>mathewscynthia@hunt.com</t>
  </si>
  <si>
    <t>Brenda Cox</t>
  </si>
  <si>
    <t>ksimpson@yahoo.com</t>
  </si>
  <si>
    <t>Diana Silva</t>
  </si>
  <si>
    <t>jenniferoconnell@fowler.com</t>
  </si>
  <si>
    <t>Donna Foster</t>
  </si>
  <si>
    <t>boydmelissa@miller.net</t>
  </si>
  <si>
    <t>Yvonne Walker</t>
  </si>
  <si>
    <t>meaganclark@chavez-medina.com</t>
  </si>
  <si>
    <t>Richard Landry</t>
  </si>
  <si>
    <t>brenda34@schaefer.com</t>
  </si>
  <si>
    <t>Lindsay Wong</t>
  </si>
  <si>
    <t>bakercollin@hotmail.com</t>
  </si>
  <si>
    <t>Jason Miller</t>
  </si>
  <si>
    <t>wsolis@gmail.com</t>
  </si>
  <si>
    <t>Chelsea Rogers</t>
  </si>
  <si>
    <t>whitebobby@carrillo.org</t>
  </si>
  <si>
    <t>Kaitlyn Douglas</t>
  </si>
  <si>
    <t>drichardson@hotmail.com</t>
  </si>
  <si>
    <t>Tammie Moore</t>
  </si>
  <si>
    <t>mitchelljared@porter-pace.org</t>
  </si>
  <si>
    <t>kevinhines@yahoo.com</t>
  </si>
  <si>
    <t>Sherry Dickerson</t>
  </si>
  <si>
    <t>kvilla@smith-banks.com</t>
  </si>
  <si>
    <t>William Whitaker</t>
  </si>
  <si>
    <t>grahamanthony@yahoo.com</t>
  </si>
  <si>
    <t>Anthony Scott</t>
  </si>
  <si>
    <t>linda31@hotmail.com</t>
  </si>
  <si>
    <t>Peggy Rodriguez</t>
  </si>
  <si>
    <t>johnsonkayla@lindsey.com</t>
  </si>
  <si>
    <t>Jillian Haas</t>
  </si>
  <si>
    <t>mandrews@meadows-norman.com</t>
  </si>
  <si>
    <t>Chad Ward</t>
  </si>
  <si>
    <t>elizabethsnow@yahoo.com</t>
  </si>
  <si>
    <t>Clinton Huffman</t>
  </si>
  <si>
    <t>joseph55@yahoo.com</t>
  </si>
  <si>
    <t>Alexander Contreras</t>
  </si>
  <si>
    <t>david66@yahoo.com</t>
  </si>
  <si>
    <t>Abigail Walsh</t>
  </si>
  <si>
    <t>melissa49@yahoo.com</t>
  </si>
  <si>
    <t>Dana Church</t>
  </si>
  <si>
    <t>zwilkinson@gmail.com</t>
  </si>
  <si>
    <t>Denise Kerr</t>
  </si>
  <si>
    <t>anthonybrock@hotmail.com</t>
  </si>
  <si>
    <t>Anne Nolan</t>
  </si>
  <si>
    <t>wortiz@benjamin-allen.net</t>
  </si>
  <si>
    <t>Tommy Haas</t>
  </si>
  <si>
    <t>andrea11@murphy.com</t>
  </si>
  <si>
    <t>David Salinas</t>
  </si>
  <si>
    <t>dustinbaird@case-logan.org</t>
  </si>
  <si>
    <t>Eric Sanchez</t>
  </si>
  <si>
    <t>kevinwilliams@hotmail.com</t>
  </si>
  <si>
    <t>Justin Vasquez</t>
  </si>
  <si>
    <t>etran@gmail.com</t>
  </si>
  <si>
    <t>Lucas Oneal</t>
  </si>
  <si>
    <t>jacksonchristopher@marshall.com</t>
  </si>
  <si>
    <t>Debra Beck</t>
  </si>
  <si>
    <t>churchbrandon@yahoo.com</t>
  </si>
  <si>
    <t>Brandon Anderson</t>
  </si>
  <si>
    <t>matthewgiles@hotmail.com</t>
  </si>
  <si>
    <t>Haley Hudson</t>
  </si>
  <si>
    <t>dbrown@mcdaniel.biz</t>
  </si>
  <si>
    <t>Michael Phillips</t>
  </si>
  <si>
    <t>jamescarter@gmail.com</t>
  </si>
  <si>
    <t>John Ramirez</t>
  </si>
  <si>
    <t>anthonymurray@gmail.com</t>
  </si>
  <si>
    <t>Melanie Shaw</t>
  </si>
  <si>
    <t>leslieflores@gmail.com</t>
  </si>
  <si>
    <t>Annette Flores</t>
  </si>
  <si>
    <t>greenpatrick@murillo.net</t>
  </si>
  <si>
    <t>Joseph Reeves</t>
  </si>
  <si>
    <t>zturner@yahoo.com</t>
  </si>
  <si>
    <t>Tara Graves</t>
  </si>
  <si>
    <t>bpeterson@harrison.com</t>
  </si>
  <si>
    <t>Gregory Walters</t>
  </si>
  <si>
    <t>umcguire@hale-martin.com</t>
  </si>
  <si>
    <t>Raymond Oconnor</t>
  </si>
  <si>
    <t>shannonkim@gmail.com</t>
  </si>
  <si>
    <t>Craig Mcdaniel</t>
  </si>
  <si>
    <t>davidcaldwell@gmail.com</t>
  </si>
  <si>
    <t>Jonathan Torres</t>
  </si>
  <si>
    <t>stacie42@gmail.com</t>
  </si>
  <si>
    <t>bcoffey@gmail.com</t>
  </si>
  <si>
    <t>Jeffrey Campbell</t>
  </si>
  <si>
    <t>kellyvictoria@hotmail.com</t>
  </si>
  <si>
    <t>Pamela Pugh</t>
  </si>
  <si>
    <t>johnsonwilliam@williams.com</t>
  </si>
  <si>
    <t>Katrina Miller</t>
  </si>
  <si>
    <t>olopez@gmail.com</t>
  </si>
  <si>
    <t>Robert Brown</t>
  </si>
  <si>
    <t>mendozaalex@thomas-pacheco.net</t>
  </si>
  <si>
    <t>Christine Griffin</t>
  </si>
  <si>
    <t>juliejones@yahoo.com</t>
  </si>
  <si>
    <t>Mary Cruz</t>
  </si>
  <si>
    <t>grant38@hines-allen.info</t>
  </si>
  <si>
    <t>Bryan Mendez Jr.</t>
  </si>
  <si>
    <t>martinezjonathan@hotmail.com</t>
  </si>
  <si>
    <t>Joseph Porter</t>
  </si>
  <si>
    <t>brooke85@hotmail.com</t>
  </si>
  <si>
    <t>Albert Gutierrez</t>
  </si>
  <si>
    <t>davidlambert@fox.info</t>
  </si>
  <si>
    <t>Anne Ballard</t>
  </si>
  <si>
    <t>brooksmary@baker.com</t>
  </si>
  <si>
    <t>Katrina Rivera</t>
  </si>
  <si>
    <t>martinezperry@williams-zamora.net</t>
  </si>
  <si>
    <t>Maria Villanueva</t>
  </si>
  <si>
    <t>wyoung@yahoo.com</t>
  </si>
  <si>
    <t>Heather Clements</t>
  </si>
  <si>
    <t>calderonmorgan@wilson.net</t>
  </si>
  <si>
    <t>Tim Stone</t>
  </si>
  <si>
    <t>berryisaac@wilson.com</t>
  </si>
  <si>
    <t>Dana Romero</t>
  </si>
  <si>
    <t>kristin83@hotmail.com</t>
  </si>
  <si>
    <t>Dylan Bishop</t>
  </si>
  <si>
    <t>xwise@yahoo.com</t>
  </si>
  <si>
    <t>Andrea Rice</t>
  </si>
  <si>
    <t>rosariolucas@hayes-cline.net</t>
  </si>
  <si>
    <t>Melissa Torres</t>
  </si>
  <si>
    <t>brianroman@gmail.com</t>
  </si>
  <si>
    <t>Anthony Acosta</t>
  </si>
  <si>
    <t>justin93@gmail.com</t>
  </si>
  <si>
    <t>Heather Wood</t>
  </si>
  <si>
    <t>brownemily@yahoo.com</t>
  </si>
  <si>
    <t>Matthew Thomas</t>
  </si>
  <si>
    <t>qhamilton@irwin.com</t>
  </si>
  <si>
    <t>Jennifer Moore</t>
  </si>
  <si>
    <t>craig28@yahoo.com</t>
  </si>
  <si>
    <t>William Coleman</t>
  </si>
  <si>
    <t>pphillips@sims.com</t>
  </si>
  <si>
    <t>Richard Brown</t>
  </si>
  <si>
    <t>danielmartin@young.com</t>
  </si>
  <si>
    <t>Julie Watson</t>
  </si>
  <si>
    <t>robert86@gmail.com</t>
  </si>
  <si>
    <t>David Beck</t>
  </si>
  <si>
    <t>brittany66@hotmail.com</t>
  </si>
  <si>
    <t>Bruce Rogers</t>
  </si>
  <si>
    <t>mwilkinson@hotmail.com</t>
  </si>
  <si>
    <t>crystalgibson@walsh-jones.net</t>
  </si>
  <si>
    <t>Amber Martinez</t>
  </si>
  <si>
    <t>walkermichael@yahoo.com</t>
  </si>
  <si>
    <t>Melissa Morgan</t>
  </si>
  <si>
    <t>taylortracy@rogers.org</t>
  </si>
  <si>
    <t>John Carter</t>
  </si>
  <si>
    <t>elizabeththompson@butler.info</t>
  </si>
  <si>
    <t>Kevin Joyce</t>
  </si>
  <si>
    <t>benjamin62@myers.com</t>
  </si>
  <si>
    <t>Clinton Smith</t>
  </si>
  <si>
    <t>qwoods@mcmillan.info</t>
  </si>
  <si>
    <t>Lisa Smith</t>
  </si>
  <si>
    <t>manningcrystal@hotmail.com</t>
  </si>
  <si>
    <t>Mark Williams</t>
  </si>
  <si>
    <t>heatherowen@schmidt.com</t>
  </si>
  <si>
    <t>Daniel Coleman</t>
  </si>
  <si>
    <t>richardmyers@norton-mitchell.com</t>
  </si>
  <si>
    <t>Kayla Jimenez</t>
  </si>
  <si>
    <t>robbinskenneth@gmail.com</t>
  </si>
  <si>
    <t>James Austin</t>
  </si>
  <si>
    <t>vmorris@fox.info</t>
  </si>
  <si>
    <t>Jennifer Hernandez</t>
  </si>
  <si>
    <t>dylansmith@yahoo.com</t>
  </si>
  <si>
    <t>Mary Rodriguez</t>
  </si>
  <si>
    <t>ravenross@cole-johnson.net</t>
  </si>
  <si>
    <t>Mike Mcknight</t>
  </si>
  <si>
    <t>rodriguezkeith@allison.com</t>
  </si>
  <si>
    <t>Natasha Quinn</t>
  </si>
  <si>
    <t>shannonwright@gmail.com</t>
  </si>
  <si>
    <t>Cynthia Lee</t>
  </si>
  <si>
    <t>mhayes@shields.info</t>
  </si>
  <si>
    <t>Mary Parker</t>
  </si>
  <si>
    <t>donald93@yahoo.com</t>
  </si>
  <si>
    <t>Kimberly Martinez</t>
  </si>
  <si>
    <t>zacharygraham@harrison.com</t>
  </si>
  <si>
    <t>Lindsay Gomez</t>
  </si>
  <si>
    <t>omar22@hodges.com</t>
  </si>
  <si>
    <t>Janice Wood</t>
  </si>
  <si>
    <t>zjohnson@hotmail.com</t>
  </si>
  <si>
    <t>Maria Sparks</t>
  </si>
  <si>
    <t>brownraymond@hanson.biz</t>
  </si>
  <si>
    <t>Carly Jackson</t>
  </si>
  <si>
    <t>lewisharry@carroll-pope.net</t>
  </si>
  <si>
    <t>Megan Holmes</t>
  </si>
  <si>
    <t>ryan02@harris-maxwell.biz</t>
  </si>
  <si>
    <t>Jared Wise</t>
  </si>
  <si>
    <t>qhall@yahoo.com</t>
  </si>
  <si>
    <t>Dr. Michelle Wilson</t>
  </si>
  <si>
    <t>prestonboyd@riley-smith.com</t>
  </si>
  <si>
    <t>Deborah Ross</t>
  </si>
  <si>
    <t>kathryn48@yahoo.com</t>
  </si>
  <si>
    <t>Kelly Roberts</t>
  </si>
  <si>
    <t>scottmarisa@gmail.com</t>
  </si>
  <si>
    <t>Mary Thompson</t>
  </si>
  <si>
    <t>mitchellrebecca@pierce.biz</t>
  </si>
  <si>
    <t>Breanna Rodriguez</t>
  </si>
  <si>
    <t>cherylsantos@parker-valdez.com</t>
  </si>
  <si>
    <t>Kevin Ruiz</t>
  </si>
  <si>
    <t>zhorton@wallace-alvarez.info</t>
  </si>
  <si>
    <t>April Ferguson</t>
  </si>
  <si>
    <t>randysmith@yahoo.com</t>
  </si>
  <si>
    <t>Adam Black</t>
  </si>
  <si>
    <t>elizabethharper@yahoo.com</t>
  </si>
  <si>
    <t>Corey Lewis</t>
  </si>
  <si>
    <t>brittany36@gmail.com</t>
  </si>
  <si>
    <t>Kathy Garcia</t>
  </si>
  <si>
    <t>alex29@gmail.com</t>
  </si>
  <si>
    <t>Steven Young</t>
  </si>
  <si>
    <t>umoyer@scott.com</t>
  </si>
  <si>
    <t>Jonathan Strong</t>
  </si>
  <si>
    <t>james56@gmail.com</t>
  </si>
  <si>
    <t>Charles Jones</t>
  </si>
  <si>
    <t>derekrobinson@shelton.biz</t>
  </si>
  <si>
    <t>Timothy Hall</t>
  </si>
  <si>
    <t>schwartzkathy@yahoo.com</t>
  </si>
  <si>
    <t>Brenda Meyer</t>
  </si>
  <si>
    <t>hhoffman@singleton.net</t>
  </si>
  <si>
    <t>Angel Stewart</t>
  </si>
  <si>
    <t>jeffery69@hotmail.com</t>
  </si>
  <si>
    <t>Nathaniel Willis</t>
  </si>
  <si>
    <t>wraymond@hotmail.com</t>
  </si>
  <si>
    <t>Miss Katherine White</t>
  </si>
  <si>
    <t>poolebrian@king.com</t>
  </si>
  <si>
    <t>Joshua Hall</t>
  </si>
  <si>
    <t>huberrandy@yahoo.com</t>
  </si>
  <si>
    <t>Heather Carter</t>
  </si>
  <si>
    <t>lgonzalez@bell-mccall.biz</t>
  </si>
  <si>
    <t>Larry Pratt</t>
  </si>
  <si>
    <t>turnerrandall@gmail.com</t>
  </si>
  <si>
    <t>James Hughes</t>
  </si>
  <si>
    <t>hray@hotmail.com</t>
  </si>
  <si>
    <t>Christina Morris</t>
  </si>
  <si>
    <t>williamssamantha@allen-brown.com</t>
  </si>
  <si>
    <t>Nicole Wiggins</t>
  </si>
  <si>
    <t>susanwilson@gmail.com</t>
  </si>
  <si>
    <t>Douglas Moore</t>
  </si>
  <si>
    <t>vgarza@valencia-donaldson.net</t>
  </si>
  <si>
    <t>Jermaine Potter</t>
  </si>
  <si>
    <t>edwardsingh@smith-martin.info</t>
  </si>
  <si>
    <t>Donna Mendoza</t>
  </si>
  <si>
    <t>yolanda60@powell.com</t>
  </si>
  <si>
    <t>Monica Adams</t>
  </si>
  <si>
    <t>gabrielle12@hotmail.com</t>
  </si>
  <si>
    <t>Dana Sanders</t>
  </si>
  <si>
    <t>fallen@gmail.com</t>
  </si>
  <si>
    <t>Daniel Long</t>
  </si>
  <si>
    <t>rodriguezjennifer@whitehead.com</t>
  </si>
  <si>
    <t>Heather Horne</t>
  </si>
  <si>
    <t>christian24@yahoo.com</t>
  </si>
  <si>
    <t>Michael Jones</t>
  </si>
  <si>
    <t>joseschneider@farmer-carr.net</t>
  </si>
  <si>
    <t>Michelle Becker</t>
  </si>
  <si>
    <t>bryan71@yahoo.com</t>
  </si>
  <si>
    <t>Stephanie Rivera</t>
  </si>
  <si>
    <t>swansonbrandi@patel.biz</t>
  </si>
  <si>
    <t>Mario Thomas</t>
  </si>
  <si>
    <t>marshallrichard@gmail.com</t>
  </si>
  <si>
    <t>johnvega@hotmail.com</t>
  </si>
  <si>
    <t>Rhonda Erickson</t>
  </si>
  <si>
    <t>thompsonzachary@henry.com</t>
  </si>
  <si>
    <t>Kenneth Cole</t>
  </si>
  <si>
    <t>petergrant@robinson-conley.biz</t>
  </si>
  <si>
    <t>Amy Porter</t>
  </si>
  <si>
    <t>randolphnathan@olsen.com</t>
  </si>
  <si>
    <t>Nathan Garcia</t>
  </si>
  <si>
    <t>chavezandrea@hotmail.com</t>
  </si>
  <si>
    <t>Michael Robinson</t>
  </si>
  <si>
    <t>wheelerrobert@grant.com</t>
  </si>
  <si>
    <t>Laurie Jimenez</t>
  </si>
  <si>
    <t>armstronglori@gmail.com</t>
  </si>
  <si>
    <t>Heather Cannon</t>
  </si>
  <si>
    <t>marvin52@savage-morris.com</t>
  </si>
  <si>
    <t>Veronica Smith</t>
  </si>
  <si>
    <t>gailfarmer@nelson.com</t>
  </si>
  <si>
    <t>Jose Bailey</t>
  </si>
  <si>
    <t>kristyjordan@thompson-sanchez.com</t>
  </si>
  <si>
    <t>Johnny Gilmore</t>
  </si>
  <si>
    <t>phillipbanks@merritt.biz</t>
  </si>
  <si>
    <t>Casey Edwards</t>
  </si>
  <si>
    <t>sarah50@ware.com</t>
  </si>
  <si>
    <t>Eric Patterson</t>
  </si>
  <si>
    <t>jeffreymartinez@browning.com</t>
  </si>
  <si>
    <t>Victoria Davis</t>
  </si>
  <si>
    <t>angelapeterson@gmail.com</t>
  </si>
  <si>
    <t>Patricia Jenkins</t>
  </si>
  <si>
    <t>levi61@martin.info</t>
  </si>
  <si>
    <t>Michael Smith</t>
  </si>
  <si>
    <t>jaybaxter@hotmail.com</t>
  </si>
  <si>
    <t>Evelyn White</t>
  </si>
  <si>
    <t>michael45@yahoo.com</t>
  </si>
  <si>
    <t>Jennifer Allen</t>
  </si>
  <si>
    <t>smithgloria@yahoo.com</t>
  </si>
  <si>
    <t>Abigail Anderson</t>
  </si>
  <si>
    <t>peter30@may.com</t>
  </si>
  <si>
    <t>Holly Obrien</t>
  </si>
  <si>
    <t>jacobwade@gmail.com</t>
  </si>
  <si>
    <t>Matthew Henderson</t>
  </si>
  <si>
    <t>nhebert@hahn.com</t>
  </si>
  <si>
    <t>Joshua Leonard</t>
  </si>
  <si>
    <t>ncannon@yahoo.com</t>
  </si>
  <si>
    <t>Carol Carter</t>
  </si>
  <si>
    <t>tonya68@jordan.net</t>
  </si>
  <si>
    <t>Danielle Flowers</t>
  </si>
  <si>
    <t>thomas29@hotmail.com</t>
  </si>
  <si>
    <t>Amy Fisher</t>
  </si>
  <si>
    <t>uwheeler@campbell-barajas.com</t>
  </si>
  <si>
    <t>Timothy Weeks</t>
  </si>
  <si>
    <t>melissa21@hotmail.com</t>
  </si>
  <si>
    <t>Jennifer James</t>
  </si>
  <si>
    <t>douglas94@hotmail.com</t>
  </si>
  <si>
    <t>Paul Lambert</t>
  </si>
  <si>
    <t>hoffmanmichael@jackson.org</t>
  </si>
  <si>
    <t>Stephanie Garcia</t>
  </si>
  <si>
    <t>yharrison@yahoo.com</t>
  </si>
  <si>
    <t>Anne Gardner</t>
  </si>
  <si>
    <t>mitchellryan@ray.biz</t>
  </si>
  <si>
    <t>Alexandra Rogers</t>
  </si>
  <si>
    <t>smithjacob@cole.com</t>
  </si>
  <si>
    <t>Elijah Howard</t>
  </si>
  <si>
    <t>douglasmorris@yahoo.com</t>
  </si>
  <si>
    <t>Jason Jenkins</t>
  </si>
  <si>
    <t>weberwilliam@little.biz</t>
  </si>
  <si>
    <t>Leah King</t>
  </si>
  <si>
    <t>tina20@campbell.com</t>
  </si>
  <si>
    <t>Joshua Stanton</t>
  </si>
  <si>
    <t>jasonpalmer@nguyen-thomas.info</t>
  </si>
  <si>
    <t>Jerry Henry</t>
  </si>
  <si>
    <t>perezbelinda@gmail.com</t>
  </si>
  <si>
    <t>Brian Manning</t>
  </si>
  <si>
    <t>maddenkeith@waters.org</t>
  </si>
  <si>
    <t>Lisa Morales</t>
  </si>
  <si>
    <t>trevor50@avila-salazar.com</t>
  </si>
  <si>
    <t>Michele Powell</t>
  </si>
  <si>
    <t>lewiscarl@ellis-bradford.info</t>
  </si>
  <si>
    <t>David Fuller</t>
  </si>
  <si>
    <t>halldeborah@yahoo.com</t>
  </si>
  <si>
    <t>David Pugh</t>
  </si>
  <si>
    <t>holmesjessica@yahoo.com</t>
  </si>
  <si>
    <t>Jennifer Lindsey</t>
  </si>
  <si>
    <t>joshuawatts@hotmail.com</t>
  </si>
  <si>
    <t>Jennifer Arellano</t>
  </si>
  <si>
    <t>melissaclark@gmail.com</t>
  </si>
  <si>
    <t>Ronald Wilson</t>
  </si>
  <si>
    <t>kaylaho@yahoo.com</t>
  </si>
  <si>
    <t>Chad Francis</t>
  </si>
  <si>
    <t>williamsmelissa@gmail.com</t>
  </si>
  <si>
    <t>Lisa Hubbard</t>
  </si>
  <si>
    <t>cwarren@miller.info</t>
  </si>
  <si>
    <t>Joshua Lamb</t>
  </si>
  <si>
    <t>yrussell@brock.com</t>
  </si>
  <si>
    <t>Samantha Miller</t>
  </si>
  <si>
    <t>ablevins@gmail.com</t>
  </si>
  <si>
    <t>Kendra Burke</t>
  </si>
  <si>
    <t>joshua54@costa.com</t>
  </si>
  <si>
    <t>Elizabeth Johnson</t>
  </si>
  <si>
    <t>elizabethdiaz@gmail.com</t>
  </si>
  <si>
    <t>Mark Blake</t>
  </si>
  <si>
    <t>weavergerald@smith.com</t>
  </si>
  <si>
    <t>Robert Greene</t>
  </si>
  <si>
    <t>anthonycarter@stewart-stevenson.com</t>
  </si>
  <si>
    <t>Anna Nguyen</t>
  </si>
  <si>
    <t>shawnbennett@yahoo.com</t>
  </si>
  <si>
    <t>Jose Rosales</t>
  </si>
  <si>
    <t>donnawright@williams-woods.info</t>
  </si>
  <si>
    <t>Kathleen Johnson</t>
  </si>
  <si>
    <t>moralesjennifer@lang.org</t>
  </si>
  <si>
    <t>Jesse Bennett</t>
  </si>
  <si>
    <t>christopherwilliams@thompson.com</t>
  </si>
  <si>
    <t>Roberta Jones</t>
  </si>
  <si>
    <t>mhays@williams.com</t>
  </si>
  <si>
    <t>Ebony Mendez</t>
  </si>
  <si>
    <t>oliverbrandon@yahoo.com</t>
  </si>
  <si>
    <t>Tracy Rios</t>
  </si>
  <si>
    <t>tdavis@yahoo.com</t>
  </si>
  <si>
    <t>Scott Thomas</t>
  </si>
  <si>
    <t>deniseshort@hotmail.com</t>
  </si>
  <si>
    <t>Douglas Smith</t>
  </si>
  <si>
    <t>jameschase@yahoo.com</t>
  </si>
  <si>
    <t>Francisco Ramos</t>
  </si>
  <si>
    <t>monicahopkins@rice.biz</t>
  </si>
  <si>
    <t>Kathleen Rivas</t>
  </si>
  <si>
    <t>reidmichael@yahoo.com</t>
  </si>
  <si>
    <t>Daniel Lewis</t>
  </si>
  <si>
    <t>evansjennifer@jackson.com</t>
  </si>
  <si>
    <t>Jessica Baker</t>
  </si>
  <si>
    <t>jcarroll@yahoo.com</t>
  </si>
  <si>
    <t>Jessica Anderson</t>
  </si>
  <si>
    <t>katrinabentley@jones-brooks.com</t>
  </si>
  <si>
    <t>Brian Thompson</t>
  </si>
  <si>
    <t>mary28@spencer.com</t>
  </si>
  <si>
    <t>Lindsey Gilbert</t>
  </si>
  <si>
    <t>lmejia@gmail.com</t>
  </si>
  <si>
    <t>Meghan Hardin</t>
  </si>
  <si>
    <t>rebecca54@hotmail.com</t>
  </si>
  <si>
    <t>Lindsay Miller</t>
  </si>
  <si>
    <t>pdowns@schwartz-carter.com</t>
  </si>
  <si>
    <t>Randy Taylor</t>
  </si>
  <si>
    <t>annebray@yahoo.com</t>
  </si>
  <si>
    <t>Thomas Bennett</t>
  </si>
  <si>
    <t>tammy24@hotmail.com</t>
  </si>
  <si>
    <t>Kristy Mclaughlin</t>
  </si>
  <si>
    <t>prattwilliam@yahoo.com</t>
  </si>
  <si>
    <t>Sarah Costa</t>
  </si>
  <si>
    <t>kevinlewis@hotmail.com</t>
  </si>
  <si>
    <t>matthew77@yahoo.com</t>
  </si>
  <si>
    <t>Jeffery Simmons</t>
  </si>
  <si>
    <t>collinsterri@oconnell-frank.com</t>
  </si>
  <si>
    <t>Alicia Martinez</t>
  </si>
  <si>
    <t>burnsjames@gmail.com</t>
  </si>
  <si>
    <t>Kayla Russell</t>
  </si>
  <si>
    <t>pstone@hotmail.com</t>
  </si>
  <si>
    <t>Dennis Miller</t>
  </si>
  <si>
    <t>ryan05@gmail.com</t>
  </si>
  <si>
    <t>Deborah Wilson</t>
  </si>
  <si>
    <t>eric59@fleming-cervantes.com</t>
  </si>
  <si>
    <t>Keith Day</t>
  </si>
  <si>
    <t>ismith@nelson.com</t>
  </si>
  <si>
    <t>Meghan Davidson</t>
  </si>
  <si>
    <t>christine29@yahoo.com</t>
  </si>
  <si>
    <t>Paul Johnson</t>
  </si>
  <si>
    <t>elaine86@wright.com</t>
  </si>
  <si>
    <t>David Jones</t>
  </si>
  <si>
    <t>flemingtony@martin.org</t>
  </si>
  <si>
    <t>Barbara Reese</t>
  </si>
  <si>
    <t>bobbyponce@fritz-ortega.com</t>
  </si>
  <si>
    <t>John Coleman</t>
  </si>
  <si>
    <t>moyerjennifer@yahoo.com</t>
  </si>
  <si>
    <t>Shannon Hurst</t>
  </si>
  <si>
    <t>zhoward@ball.com</t>
  </si>
  <si>
    <t>Charles Mckee</t>
  </si>
  <si>
    <t>zbarrera@yahoo.com</t>
  </si>
  <si>
    <t>Amber Aguirre</t>
  </si>
  <si>
    <t>wwhitehead@hotmail.com</t>
  </si>
  <si>
    <t>David Stanley</t>
  </si>
  <si>
    <t>zbailey@hotmail.com</t>
  </si>
  <si>
    <t>Jeffrey Schneider</t>
  </si>
  <si>
    <t>gpowell@perkins.biz</t>
  </si>
  <si>
    <t>Cameron Sherman</t>
  </si>
  <si>
    <t>fmcknight@le.net</t>
  </si>
  <si>
    <t>Barbara Riggs</t>
  </si>
  <si>
    <t>lowemaria@yahoo.com</t>
  </si>
  <si>
    <t>Debra Taylor</t>
  </si>
  <si>
    <t>christine71@woods.com</t>
  </si>
  <si>
    <t>Jacob Nelson</t>
  </si>
  <si>
    <t>leah73@gmail.com</t>
  </si>
  <si>
    <t>Richard Murray</t>
  </si>
  <si>
    <t>vcastro@yahoo.com</t>
  </si>
  <si>
    <t>Michael Evans</t>
  </si>
  <si>
    <t>jasonburns@gmail.com</t>
  </si>
  <si>
    <t>ljohnson@hotmail.com</t>
  </si>
  <si>
    <t>Elizabeth Oconnor</t>
  </si>
  <si>
    <t>tgarcia@gmail.com</t>
  </si>
  <si>
    <t>Gregory White</t>
  </si>
  <si>
    <t>nathan71@willis.biz</t>
  </si>
  <si>
    <t>Amanda Lewis</t>
  </si>
  <si>
    <t>floresjeff@mitchell.net</t>
  </si>
  <si>
    <t>Barbara Lindsey</t>
  </si>
  <si>
    <t>brockjill@yahoo.com</t>
  </si>
  <si>
    <t>Mrs. Linda Harrison MD</t>
  </si>
  <si>
    <t>ryan52@hotmail.com</t>
  </si>
  <si>
    <t>Clarence King MD</t>
  </si>
  <si>
    <t>bonnie64@smith-glenn.biz</t>
  </si>
  <si>
    <t>Ms. Martha Wood</t>
  </si>
  <si>
    <t>mark24@barrera-brown.info</t>
  </si>
  <si>
    <t>Lori Swanson</t>
  </si>
  <si>
    <t>graykatie@gmail.com</t>
  </si>
  <si>
    <t>Misty Mccormick</t>
  </si>
  <si>
    <t>edwardsamber@gmail.com</t>
  </si>
  <si>
    <t>Martin Jones</t>
  </si>
  <si>
    <t>matthewwright@hotmail.com</t>
  </si>
  <si>
    <t>Elizabeth Hall</t>
  </si>
  <si>
    <t>ynolan@powell-ramsey.net</t>
  </si>
  <si>
    <t>Vanessa Dunn</t>
  </si>
  <si>
    <t>carolyn58@weber.org</t>
  </si>
  <si>
    <t>ecameron@oconnor-stephenson.com</t>
  </si>
  <si>
    <t>Jamie White</t>
  </si>
  <si>
    <t>mariashields@gmail.com</t>
  </si>
  <si>
    <t>Ryan Bailey</t>
  </si>
  <si>
    <t>johnsoto@yahoo.com</t>
  </si>
  <si>
    <t>Melissa Smith</t>
  </si>
  <si>
    <t>beverly23@thompson.com</t>
  </si>
  <si>
    <t>Vanessa Chandler</t>
  </si>
  <si>
    <t>djohnston@yahoo.com</t>
  </si>
  <si>
    <t>Charles Fuller</t>
  </si>
  <si>
    <t>karenchurch@hoffman.com</t>
  </si>
  <si>
    <t>Carlos Nichols</t>
  </si>
  <si>
    <t>michael66@hill.com</t>
  </si>
  <si>
    <t>Susan Palmer</t>
  </si>
  <si>
    <t>churchshari@miller.com</t>
  </si>
  <si>
    <t>Brandi Hoover</t>
  </si>
  <si>
    <t>matthewrichard@hotmail.com</t>
  </si>
  <si>
    <t>Madison Wilson</t>
  </si>
  <si>
    <t>rmccarthy@hotmail.com</t>
  </si>
  <si>
    <t>Ashley Allen</t>
  </si>
  <si>
    <t>ccuevas@hotmail.com</t>
  </si>
  <si>
    <t>Briana Barker</t>
  </si>
  <si>
    <t>nberry@joseph.org</t>
  </si>
  <si>
    <t>Todd Dickerson</t>
  </si>
  <si>
    <t>jessicawarner@gmail.com</t>
  </si>
  <si>
    <t>Patrick Ford</t>
  </si>
  <si>
    <t>thomas21@yahoo.com</t>
  </si>
  <si>
    <t>Kelly Diaz</t>
  </si>
  <si>
    <t>bridgetbennett@braun.com</t>
  </si>
  <si>
    <t>Brandon James</t>
  </si>
  <si>
    <t>odonnellelizabeth@yahoo.com</t>
  </si>
  <si>
    <t>Holly Davis</t>
  </si>
  <si>
    <t>nhiggins@gmail.com</t>
  </si>
  <si>
    <t>Kimberly Gillespie</t>
  </si>
  <si>
    <t>shari11@gmail.com</t>
  </si>
  <si>
    <t>Andrea Barnes</t>
  </si>
  <si>
    <t>hooverjustin@hotmail.com</t>
  </si>
  <si>
    <t>Kelli Green</t>
  </si>
  <si>
    <t>bartonrandall@munoz.info</t>
  </si>
  <si>
    <t>James Moreno</t>
  </si>
  <si>
    <t>nortonkaylee@yahoo.com</t>
  </si>
  <si>
    <t>Tommy Lambert</t>
  </si>
  <si>
    <t>marc79@gmail.com</t>
  </si>
  <si>
    <t>Barbara Hall</t>
  </si>
  <si>
    <t>robert88@phillips.com</t>
  </si>
  <si>
    <t>John Mcdowell</t>
  </si>
  <si>
    <t>johnsoncheyenne@hotmail.com</t>
  </si>
  <si>
    <t>Lauren Watson</t>
  </si>
  <si>
    <t>christina96@spencer-miller.com</t>
  </si>
  <si>
    <t>David Sosa</t>
  </si>
  <si>
    <t>raymond40@hotmail.com</t>
  </si>
  <si>
    <t>John White</t>
  </si>
  <si>
    <t>manuellynch@hotmail.com</t>
  </si>
  <si>
    <t>Laurie Travis</t>
  </si>
  <si>
    <t>jacqueline97@robertson.com</t>
  </si>
  <si>
    <t>Joseph Chan</t>
  </si>
  <si>
    <t>vavery@yahoo.com</t>
  </si>
  <si>
    <t>Noah Mendoza</t>
  </si>
  <si>
    <t>leemichelle@thomas.biz</t>
  </si>
  <si>
    <t>Hannah Costa</t>
  </si>
  <si>
    <t>justindorsey@miller.net</t>
  </si>
  <si>
    <t>Antonio Brown</t>
  </si>
  <si>
    <t>melanieharrison@gonzalez.com</t>
  </si>
  <si>
    <t>Peter Drake</t>
  </si>
  <si>
    <t>tara25@gmail.com</t>
  </si>
  <si>
    <t>Edgar Lewis</t>
  </si>
  <si>
    <t>nross@hotmail.com</t>
  </si>
  <si>
    <t>Jennifer Joseph MD</t>
  </si>
  <si>
    <t>josephjackson@gmail.com</t>
  </si>
  <si>
    <t>Gerald Gardner</t>
  </si>
  <si>
    <t>clinton55@gmail.com</t>
  </si>
  <si>
    <t>Spencer Bates</t>
  </si>
  <si>
    <t>torresjames@hotmail.com</t>
  </si>
  <si>
    <t>Catherine Roberson</t>
  </si>
  <si>
    <t>amandahudson@johnson.com</t>
  </si>
  <si>
    <t>Jeffery Ryan</t>
  </si>
  <si>
    <t>thomasstephanie@hotmail.com</t>
  </si>
  <si>
    <t>Johnny Howe</t>
  </si>
  <si>
    <t>belljo@carpenter.com</t>
  </si>
  <si>
    <t>Sara Jackson</t>
  </si>
  <si>
    <t>dawn61@reed.com</t>
  </si>
  <si>
    <t>Diana Harris</t>
  </si>
  <si>
    <t>courtney30@vega.com</t>
  </si>
  <si>
    <t>Monica Harris</t>
  </si>
  <si>
    <t>porterdustin@morrow-edwards.com</t>
  </si>
  <si>
    <t>Nancy Welch</t>
  </si>
  <si>
    <t>christinacollins@yahoo.com</t>
  </si>
  <si>
    <t>Erin Robinson</t>
  </si>
  <si>
    <t>gilljames@hotmail.com</t>
  </si>
  <si>
    <t>Gabriella Johnson</t>
  </si>
  <si>
    <t>billy49@hubbard-herring.com</t>
  </si>
  <si>
    <t>Steven White</t>
  </si>
  <si>
    <t>tonyabarton@wilson.com</t>
  </si>
  <si>
    <t>Dennis Stone</t>
  </si>
  <si>
    <t>bwoodard@hotmail.com</t>
  </si>
  <si>
    <t>Oscar Garcia</t>
  </si>
  <si>
    <t>diane91@hotmail.com</t>
  </si>
  <si>
    <t>Bethany Anderson</t>
  </si>
  <si>
    <t>jacquelinemcdaniel@perez-jones.com</t>
  </si>
  <si>
    <t>Morgan Hunt</t>
  </si>
  <si>
    <t>vaughnkelly@davis.com</t>
  </si>
  <si>
    <t>Annette Silva</t>
  </si>
  <si>
    <t>joshua56@hotmail.com</t>
  </si>
  <si>
    <t>Nicole Hernandez</t>
  </si>
  <si>
    <t>richardmoore@shepherd.net</t>
  </si>
  <si>
    <t>Dennis Shannon</t>
  </si>
  <si>
    <t>dcruz@parker.com</t>
  </si>
  <si>
    <t>Roger Garcia</t>
  </si>
  <si>
    <t>brookebell@anderson.biz</t>
  </si>
  <si>
    <t>Mark Johnston</t>
  </si>
  <si>
    <t>michaelsalas@gmail.com</t>
  </si>
  <si>
    <t>Mary Edwards</t>
  </si>
  <si>
    <t>bjohnson@gmail.com</t>
  </si>
  <si>
    <t>Karen Wallace</t>
  </si>
  <si>
    <t>janesweeney@yahoo.com</t>
  </si>
  <si>
    <t>Crystal Prince</t>
  </si>
  <si>
    <t>smithjoshua@gmail.com</t>
  </si>
  <si>
    <t>Kathleen Mathews</t>
  </si>
  <si>
    <t>bethmorgan@thomas-campbell.org</t>
  </si>
  <si>
    <t>Michael Sanchez</t>
  </si>
  <si>
    <t>matthewserrano@west.org</t>
  </si>
  <si>
    <t>Pamela Snyder</t>
  </si>
  <si>
    <t>kellybrandy@hotmail.com</t>
  </si>
  <si>
    <t>Meagan Christensen</t>
  </si>
  <si>
    <t>pchaney@gmail.com</t>
  </si>
  <si>
    <t>Brittany Cummings</t>
  </si>
  <si>
    <t>barnesmichael@hotmail.com</t>
  </si>
  <si>
    <t>Tracey Taylor</t>
  </si>
  <si>
    <t>bradleyrichard@yahoo.com</t>
  </si>
  <si>
    <t>Krista Moore</t>
  </si>
  <si>
    <t>ndominguez@hunt.com</t>
  </si>
  <si>
    <t>Brad Johnson</t>
  </si>
  <si>
    <t>robertflores@smith.org</t>
  </si>
  <si>
    <t>Deanna Barrett</t>
  </si>
  <si>
    <t>edward42@gmail.com</t>
  </si>
  <si>
    <t>Heather Jackson</t>
  </si>
  <si>
    <t>jeremy58@martin-taylor.org</t>
  </si>
  <si>
    <t>Reginald Velasquez</t>
  </si>
  <si>
    <t>gmyers@barry-perry.net</t>
  </si>
  <si>
    <t>Sarah Jones</t>
  </si>
  <si>
    <t>amanda16@yahoo.com</t>
  </si>
  <si>
    <t>Elizabeth Daniel</t>
  </si>
  <si>
    <t>edwardsraymond@ramirez.com</t>
  </si>
  <si>
    <t>Gordon Phillips</t>
  </si>
  <si>
    <t>carolynbautista@joyce.com</t>
  </si>
  <si>
    <t>Anthony Mcgee</t>
  </si>
  <si>
    <t>warewesley@hotmail.com</t>
  </si>
  <si>
    <t>Ernest Young</t>
  </si>
  <si>
    <t>franciskevin@yahoo.com</t>
  </si>
  <si>
    <t>Cynthia Green</t>
  </si>
  <si>
    <t>villegasdebbie@smith-bartlett.com</t>
  </si>
  <si>
    <t>Robert Cohen</t>
  </si>
  <si>
    <t>michaeldelacruz@yahoo.com</t>
  </si>
  <si>
    <t>Christine Knight</t>
  </si>
  <si>
    <t>dfernandez@long.com</t>
  </si>
  <si>
    <t>Whitney Campos</t>
  </si>
  <si>
    <t>kimberlyreilly@yahoo.com</t>
  </si>
  <si>
    <t>Karen Anderson</t>
  </si>
  <si>
    <t>sryan@gmail.com</t>
  </si>
  <si>
    <t>Ashley Turner</t>
  </si>
  <si>
    <t>gsmith@ramsey.com</t>
  </si>
  <si>
    <t>Steven Chase</t>
  </si>
  <si>
    <t>austinlee@gmail.com</t>
  </si>
  <si>
    <t>Karen Hamilton</t>
  </si>
  <si>
    <t>katherine74@benton.org</t>
  </si>
  <si>
    <t>Martha Miller</t>
  </si>
  <si>
    <t>christinabradley@webster.com</t>
  </si>
  <si>
    <t>Kimberly Ramos</t>
  </si>
  <si>
    <t>margaretnixon@williamson.biz</t>
  </si>
  <si>
    <t>Michael Strong</t>
  </si>
  <si>
    <t>tanya86@chase.org</t>
  </si>
  <si>
    <t>Isabella Ross</t>
  </si>
  <si>
    <t>edwardsmatthew@dixon.com</t>
  </si>
  <si>
    <t>Justin Howard</t>
  </si>
  <si>
    <t>drew74@reed-pearson.com</t>
  </si>
  <si>
    <t>Barbara Gutierrez</t>
  </si>
  <si>
    <t>prestonkimberly@thomas.info</t>
  </si>
  <si>
    <t>Mrs. Lisa Torres</t>
  </si>
  <si>
    <t>lewisnicholas@salas.com</t>
  </si>
  <si>
    <t>Jorge Bowman</t>
  </si>
  <si>
    <t>leahmccann@rios.com</t>
  </si>
  <si>
    <t>Nicole Ryan</t>
  </si>
  <si>
    <t>austinalvarez@gmail.com</t>
  </si>
  <si>
    <t>Alexa Erickson</t>
  </si>
  <si>
    <t>ashley45@gmail.com</t>
  </si>
  <si>
    <t>Lawrence Graham</t>
  </si>
  <si>
    <t>yatesbryan@hotmail.com</t>
  </si>
  <si>
    <t>Bruce Cook</t>
  </si>
  <si>
    <t>sgonzalez@rowland.com</t>
  </si>
  <si>
    <t>Sarah Barron</t>
  </si>
  <si>
    <t>cswanson@gmail.com</t>
  </si>
  <si>
    <t>Alyssa Burke</t>
  </si>
  <si>
    <t>vanderson@yahoo.com</t>
  </si>
  <si>
    <t>Angela Acevedo</t>
  </si>
  <si>
    <t>iwalters@pennington.org</t>
  </si>
  <si>
    <t>Steven Francis</t>
  </si>
  <si>
    <t>sandovalmelissa@yahoo.com</t>
  </si>
  <si>
    <t>Kathy Moore</t>
  </si>
  <si>
    <t>danielnelson@gmail.com</t>
  </si>
  <si>
    <t>Joshua Garcia</t>
  </si>
  <si>
    <t>millerstacy@yahoo.com</t>
  </si>
  <si>
    <t>Pedro Williams</t>
  </si>
  <si>
    <t>kenneth31@simpson-murphy.com</t>
  </si>
  <si>
    <t>Patricia Glover</t>
  </si>
  <si>
    <t>dmoran@richards.com</t>
  </si>
  <si>
    <t>Christian Johnston</t>
  </si>
  <si>
    <t>allisonscott@yahoo.com</t>
  </si>
  <si>
    <t>Rebecca Jackson</t>
  </si>
  <si>
    <t>aprilgarrett@hunter.net</t>
  </si>
  <si>
    <t>Sheila Erickson</t>
  </si>
  <si>
    <t>robertmorris@thomas-cunningham.info</t>
  </si>
  <si>
    <t>Gregory Andrade</t>
  </si>
  <si>
    <t>davisjohn@yahoo.com</t>
  </si>
  <si>
    <t>Eric Orozco</t>
  </si>
  <si>
    <t>shannonlewis@gmail.com</t>
  </si>
  <si>
    <t>George Hutchinson</t>
  </si>
  <si>
    <t>bclark@hotmail.com</t>
  </si>
  <si>
    <t>Sara Liu</t>
  </si>
  <si>
    <t>gcook@howell-morales.com</t>
  </si>
  <si>
    <t>Robert Williams</t>
  </si>
  <si>
    <t>kelly15@hotmail.com</t>
  </si>
  <si>
    <t>Juan Miller</t>
  </si>
  <si>
    <t>omerritt@hotmail.com</t>
  </si>
  <si>
    <t>Jonathan Miller</t>
  </si>
  <si>
    <t>fitzgeraldbrittany@lopez.info</t>
  </si>
  <si>
    <t>David Wells</t>
  </si>
  <si>
    <t>philliphawkins@scott.org</t>
  </si>
  <si>
    <t>Matthew Escobar</t>
  </si>
  <si>
    <t>kristinebush@yahoo.com</t>
  </si>
  <si>
    <t>Allison Harper</t>
  </si>
  <si>
    <t>zbryant@mcclure-matthews.biz</t>
  </si>
  <si>
    <t>George Ballard</t>
  </si>
  <si>
    <t>michael33@hotmail.com</t>
  </si>
  <si>
    <t>John Sellers</t>
  </si>
  <si>
    <t>amber57@yahoo.com</t>
  </si>
  <si>
    <t>Larry Carter</t>
  </si>
  <si>
    <t>rodriguezwilliam@yahoo.com</t>
  </si>
  <si>
    <t>Holly Taylor</t>
  </si>
  <si>
    <t>william04@gmail.com</t>
  </si>
  <si>
    <t>Brandon Willis</t>
  </si>
  <si>
    <t>bblair@dorsey.org</t>
  </si>
  <si>
    <t>Angela Wood</t>
  </si>
  <si>
    <t>jared10@reynolds-malone.biz</t>
  </si>
  <si>
    <t>Dr. Hannah Pearson</t>
  </si>
  <si>
    <t>qrodriguez@thomas.net</t>
  </si>
  <si>
    <t>Alison Ward</t>
  </si>
  <si>
    <t>nschroeder@bowen.com</t>
  </si>
  <si>
    <t>Erica Harmon</t>
  </si>
  <si>
    <t>johnsonanthony@hotmail.com</t>
  </si>
  <si>
    <t>Amy Jackson</t>
  </si>
  <si>
    <t>allison58@davis-murray.com</t>
  </si>
  <si>
    <t>Tyrone Ferrell</t>
  </si>
  <si>
    <t>qandrews@hotmail.com</t>
  </si>
  <si>
    <t>OrderID</t>
  </si>
  <si>
    <t>ProductID</t>
  </si>
  <si>
    <t>OrderDate</t>
  </si>
  <si>
    <t>Quantity</t>
  </si>
  <si>
    <t>TotalSales</t>
  </si>
  <si>
    <t>21-11-2022</t>
  </si>
  <si>
    <t>28-10-2023</t>
  </si>
  <si>
    <t>16-12-2022</t>
  </si>
  <si>
    <t>28-01-2024</t>
  </si>
  <si>
    <t>22-03-2024</t>
  </si>
  <si>
    <t>21-09-2024</t>
  </si>
  <si>
    <t>25-08-2023</t>
  </si>
  <si>
    <t>22-07-2023</t>
  </si>
  <si>
    <t>14-06-2024</t>
  </si>
  <si>
    <t>24-09-2024</t>
  </si>
  <si>
    <t>30-09-2024</t>
  </si>
  <si>
    <t>27-02-2023</t>
  </si>
  <si>
    <t>20-05-2023</t>
  </si>
  <si>
    <t>21-01-2024</t>
  </si>
  <si>
    <t>15-01-2023</t>
  </si>
  <si>
    <t>25-04-2024</t>
  </si>
  <si>
    <t>14-01-2023</t>
  </si>
  <si>
    <t>14-04-2023</t>
  </si>
  <si>
    <t>31-10-2024</t>
  </si>
  <si>
    <t>26-02-2024</t>
  </si>
  <si>
    <t>22-06-2024</t>
  </si>
  <si>
    <t>20-12-2023</t>
  </si>
  <si>
    <t>24-07-2024</t>
  </si>
  <si>
    <t>15-08-2024</t>
  </si>
  <si>
    <t>19-04-2023</t>
  </si>
  <si>
    <t>13-12-2022</t>
  </si>
  <si>
    <t>31-12-2022</t>
  </si>
  <si>
    <t>15-09-2023</t>
  </si>
  <si>
    <t>17-05-2023</t>
  </si>
  <si>
    <t>16-10-2023</t>
  </si>
  <si>
    <t>30-06-2023</t>
  </si>
  <si>
    <t>26-08-2023</t>
  </si>
  <si>
    <t>13-04-2023</t>
  </si>
  <si>
    <t>27-02-2024</t>
  </si>
  <si>
    <t>22-08-2023</t>
  </si>
  <si>
    <t>30-08-2023</t>
  </si>
  <si>
    <t>15-05-2023</t>
  </si>
  <si>
    <t>22-01-2023</t>
  </si>
  <si>
    <t>24-02-2023</t>
  </si>
  <si>
    <t>27-04-2024</t>
  </si>
  <si>
    <t>16-03-2023</t>
  </si>
  <si>
    <t>21-04-2024</t>
  </si>
  <si>
    <t>23-02-2023</t>
  </si>
  <si>
    <t>21-12-2023</t>
  </si>
  <si>
    <t>13-02-2024</t>
  </si>
  <si>
    <t>21-06-2024</t>
  </si>
  <si>
    <t>23-02-2024</t>
  </si>
  <si>
    <t>15-02-2023</t>
  </si>
  <si>
    <t>28-09-2024</t>
  </si>
  <si>
    <t>30-12-2023</t>
  </si>
  <si>
    <t>25-09-2024</t>
  </si>
  <si>
    <t>22-02-2024</t>
  </si>
  <si>
    <t>25-06-2024</t>
  </si>
  <si>
    <t>23-08-2023</t>
  </si>
  <si>
    <t>28-07-2023</t>
  </si>
  <si>
    <t>26-09-2023</t>
  </si>
  <si>
    <t>30-09-2023</t>
  </si>
  <si>
    <t>23-10-2023</t>
  </si>
  <si>
    <t>23-11-2022</t>
  </si>
  <si>
    <t>15-07-2024</t>
  </si>
  <si>
    <t>28-01-2023</t>
  </si>
  <si>
    <t>20-09-2024</t>
  </si>
  <si>
    <t>31-07-2023</t>
  </si>
  <si>
    <t>29-05-2024</t>
  </si>
  <si>
    <t>16-03-2024</t>
  </si>
  <si>
    <t>29-04-2024</t>
  </si>
  <si>
    <t>25-03-2024</t>
  </si>
  <si>
    <t>29-07-2024</t>
  </si>
  <si>
    <t>20-07-2024</t>
  </si>
  <si>
    <t>19-03-2023</t>
  </si>
  <si>
    <t>30-11-2022</t>
  </si>
  <si>
    <t>18-03-2023</t>
  </si>
  <si>
    <t>26-03-2024</t>
  </si>
  <si>
    <t>15-03-2023</t>
  </si>
  <si>
    <t>17-06-2024</t>
  </si>
  <si>
    <t>26-08-2024</t>
  </si>
  <si>
    <t>13-07-2024</t>
  </si>
  <si>
    <t>23-06-2023</t>
  </si>
  <si>
    <t>19-07-2024</t>
  </si>
  <si>
    <t>31-01-2024</t>
  </si>
  <si>
    <t>20-05-2024</t>
  </si>
  <si>
    <t>14-05-2024</t>
  </si>
  <si>
    <t>22-05-2024</t>
  </si>
  <si>
    <t>26-11-2023</t>
  </si>
  <si>
    <t>15-10-2023</t>
  </si>
  <si>
    <t>18-10-2023</t>
  </si>
  <si>
    <t>18-01-2024</t>
  </si>
  <si>
    <t>14-08-2024</t>
  </si>
  <si>
    <t>24-12-2022</t>
  </si>
  <si>
    <t>28-05-2024</t>
  </si>
  <si>
    <t>13-11-2022</t>
  </si>
  <si>
    <t>13-06-2024</t>
  </si>
  <si>
    <t>19-11-2023</t>
  </si>
  <si>
    <t>28-08-2024</t>
  </si>
  <si>
    <t>29-04-2023</t>
  </si>
  <si>
    <t>19-12-2023</t>
  </si>
  <si>
    <t>17-09-2023</t>
  </si>
  <si>
    <t>26-04-2024</t>
  </si>
  <si>
    <t>26-04-2023</t>
  </si>
  <si>
    <t>24-06-2023</t>
  </si>
  <si>
    <t>16-07-2024</t>
  </si>
  <si>
    <t>21-02-2024</t>
  </si>
  <si>
    <t>24-05-2024</t>
  </si>
  <si>
    <t>16-11-2022</t>
  </si>
  <si>
    <t>22-12-2023</t>
  </si>
  <si>
    <t>17-02-2024</t>
  </si>
  <si>
    <t>22-04-2024</t>
  </si>
  <si>
    <t>24-11-2023</t>
  </si>
  <si>
    <t>17-11-2023</t>
  </si>
  <si>
    <t>22-02-2023</t>
  </si>
  <si>
    <t>18-06-2023</t>
  </si>
  <si>
    <t>14-07-2024</t>
  </si>
  <si>
    <t>17-03-2024</t>
  </si>
  <si>
    <t>27-10-2024</t>
  </si>
  <si>
    <t>19-01-2023</t>
  </si>
  <si>
    <t>14-10-2023</t>
  </si>
  <si>
    <t>31-05-2023</t>
  </si>
  <si>
    <t>24-08-2024</t>
  </si>
  <si>
    <t>28-04-2023</t>
  </si>
  <si>
    <t>20-03-2024</t>
  </si>
  <si>
    <t>18-11-2023</t>
  </si>
  <si>
    <t>17-07-2023</t>
  </si>
  <si>
    <t>26-01-2024</t>
  </si>
  <si>
    <t>19-11-2022</t>
  </si>
  <si>
    <t>24-07-2023</t>
  </si>
  <si>
    <t>27-09-2024</t>
  </si>
  <si>
    <t>17-10-2023</t>
  </si>
  <si>
    <t>28-07-2024</t>
  </si>
  <si>
    <t>23-11-2023</t>
  </si>
  <si>
    <t>30-05-2024</t>
  </si>
  <si>
    <t>26-05-2023</t>
  </si>
  <si>
    <t>30-12-2022</t>
  </si>
  <si>
    <t>24-12-2023</t>
  </si>
  <si>
    <t>13-03-2024</t>
  </si>
  <si>
    <t>23-04-2024</t>
  </si>
  <si>
    <t>27-10-2023</t>
  </si>
  <si>
    <t>16-04-2023</t>
  </si>
  <si>
    <t>17-07-2024</t>
  </si>
  <si>
    <t>30-06-2024</t>
  </si>
  <si>
    <t>27-11-2023</t>
  </si>
  <si>
    <t>28-04-2024</t>
  </si>
  <si>
    <t>19-10-2023</t>
  </si>
  <si>
    <t>23-01-2024</t>
  </si>
  <si>
    <t>28-02-2023</t>
  </si>
  <si>
    <t>15-07-2023</t>
  </si>
  <si>
    <t>19-10-2024</t>
  </si>
  <si>
    <t>28-03-2023</t>
  </si>
  <si>
    <t>23-09-2024</t>
  </si>
  <si>
    <t>19-06-2024</t>
  </si>
  <si>
    <t>23-07-2023</t>
  </si>
  <si>
    <t>29-01-2023</t>
  </si>
  <si>
    <t>26-07-2024</t>
  </si>
  <si>
    <t>23-10-2024</t>
  </si>
  <si>
    <t>17-01-2024</t>
  </si>
  <si>
    <t>28-06-2024</t>
  </si>
  <si>
    <t>25-02-2023</t>
  </si>
  <si>
    <t>16-01-2023</t>
  </si>
  <si>
    <t>13-12-2023</t>
  </si>
  <si>
    <t>18-04-2024</t>
  </si>
  <si>
    <t>29-08-2023</t>
  </si>
  <si>
    <t>23-12-2023</t>
  </si>
  <si>
    <t>28-10-2024</t>
  </si>
  <si>
    <t>27-03-2024</t>
  </si>
  <si>
    <t>14-08-2023</t>
  </si>
  <si>
    <t>25-03-2023</t>
  </si>
  <si>
    <t>21-03-2023</t>
  </si>
  <si>
    <t>31-12-2023</t>
  </si>
  <si>
    <t>18-01-2023</t>
  </si>
  <si>
    <t>23-05-2023</t>
  </si>
  <si>
    <t>31-08-2023</t>
  </si>
  <si>
    <t>27-07-2024</t>
  </si>
  <si>
    <t>17-04-2024</t>
  </si>
  <si>
    <t>14-05-2023</t>
  </si>
  <si>
    <t>13-01-2024</t>
  </si>
  <si>
    <t>26-06-2024</t>
  </si>
  <si>
    <t>25-11-2022</t>
  </si>
  <si>
    <t>30-04-2023</t>
  </si>
  <si>
    <t>18-09-2024</t>
  </si>
  <si>
    <t>13-11-2023</t>
  </si>
  <si>
    <t>27-12-2022</t>
  </si>
  <si>
    <t>16-07-2023</t>
  </si>
  <si>
    <t>16-08-2023</t>
  </si>
  <si>
    <t>24-09-2023</t>
  </si>
  <si>
    <t>17-03-2023</t>
  </si>
  <si>
    <t>27-08-2024</t>
  </si>
  <si>
    <t>19-04-2024</t>
  </si>
  <si>
    <t>22-11-2023</t>
  </si>
  <si>
    <t>17-12-2023</t>
  </si>
  <si>
    <t>18-05-2024</t>
  </si>
  <si>
    <t>16-02-2023</t>
  </si>
  <si>
    <t>16-09-2023</t>
  </si>
  <si>
    <t>27-11-2022</t>
  </si>
  <si>
    <t>19-08-2023</t>
  </si>
  <si>
    <t>30-03-2023</t>
  </si>
  <si>
    <t>15-03-2024</t>
  </si>
  <si>
    <t>29-11-2022</t>
  </si>
  <si>
    <t>30-04-2024</t>
  </si>
  <si>
    <t>17-10-2024</t>
  </si>
  <si>
    <t>29-10-2024</t>
  </si>
  <si>
    <t>23-04-2023</t>
  </si>
  <si>
    <t>23-03-2024</t>
  </si>
  <si>
    <t>22-09-2024</t>
  </si>
  <si>
    <t>27-05-2024</t>
  </si>
  <si>
    <t>28-08-2023</t>
  </si>
  <si>
    <t>20-10-2023</t>
  </si>
  <si>
    <t>18-04-2023</t>
  </si>
  <si>
    <t>22-08-2024</t>
  </si>
  <si>
    <t>20-06-2023</t>
  </si>
  <si>
    <t>21-06-2023</t>
  </si>
  <si>
    <t>20-04-2023</t>
  </si>
  <si>
    <t>20-02-2024</t>
  </si>
  <si>
    <t>30-11-2023</t>
  </si>
  <si>
    <t>28-05-2023</t>
  </si>
  <si>
    <t>31-03-2024</t>
  </si>
  <si>
    <t>18-07-2024</t>
  </si>
  <si>
    <t>23-03-2023</t>
  </si>
  <si>
    <t>19-08-2024</t>
  </si>
  <si>
    <t>14-11-2023</t>
  </si>
  <si>
    <t>21-08-2023</t>
  </si>
  <si>
    <t>19-01-2024</t>
  </si>
  <si>
    <t>13-10-2023</t>
  </si>
  <si>
    <t>22-10-2024</t>
  </si>
  <si>
    <t>13-08-2023</t>
  </si>
  <si>
    <t>30-03-2024</t>
  </si>
  <si>
    <t>18-08-2023</t>
  </si>
  <si>
    <t>26-10-2023</t>
  </si>
  <si>
    <t>30-07-2023</t>
  </si>
  <si>
    <t>21-07-2023</t>
  </si>
  <si>
    <t>13-09-2024</t>
  </si>
  <si>
    <t>17-08-2023</t>
  </si>
  <si>
    <t>21-04-2023</t>
  </si>
  <si>
    <t>14-09-2023</t>
  </si>
  <si>
    <t>26-05-2024</t>
  </si>
  <si>
    <t>20-08-2024</t>
  </si>
  <si>
    <t>25-07-2024</t>
  </si>
  <si>
    <t>13-05-2024</t>
  </si>
  <si>
    <t>24-10-2024</t>
  </si>
  <si>
    <t>15-01-2024</t>
  </si>
  <si>
    <t>31-08-2024</t>
  </si>
  <si>
    <t>25-12-2022</t>
  </si>
  <si>
    <t>16-02-2024</t>
  </si>
  <si>
    <t>24-03-2023</t>
  </si>
  <si>
    <t>20-02-2023</t>
  </si>
  <si>
    <t>22-03-2023</t>
  </si>
  <si>
    <t>14-10-2024</t>
  </si>
  <si>
    <t>14-07-2023</t>
  </si>
  <si>
    <t>26-03-2023</t>
  </si>
  <si>
    <t>30-01-2023</t>
  </si>
  <si>
    <t>15-04-2023</t>
  </si>
  <si>
    <t>29-09-2023</t>
  </si>
  <si>
    <t>15-12-2022</t>
  </si>
  <si>
    <t>19-07-2023</t>
  </si>
  <si>
    <t>19-05-2024</t>
  </si>
  <si>
    <t>20-04-2024</t>
  </si>
  <si>
    <t>23-08-2024</t>
  </si>
  <si>
    <t>21-05-2024</t>
  </si>
  <si>
    <t>21-03-2024</t>
  </si>
  <si>
    <t>25-12-2023</t>
  </si>
  <si>
    <t>14-01-2024</t>
  </si>
  <si>
    <t>28-03-2024</t>
  </si>
  <si>
    <t>30-10-2023</t>
  </si>
  <si>
    <t>19-02-2024</t>
  </si>
  <si>
    <t>19-12-2022</t>
  </si>
  <si>
    <t>18-12-2023</t>
  </si>
  <si>
    <t>20-12-2022</t>
  </si>
  <si>
    <t>28-09-2023</t>
  </si>
  <si>
    <t>18-07-2023</t>
  </si>
  <si>
    <t>31-10-2023</t>
  </si>
  <si>
    <t>29-12-2023</t>
  </si>
  <si>
    <t>17-08-2024</t>
  </si>
  <si>
    <t>24-02-2024</t>
  </si>
  <si>
    <t>29-03-2023</t>
  </si>
  <si>
    <t>24-11-2022</t>
  </si>
  <si>
    <t>22-06-2023</t>
  </si>
  <si>
    <t>28-11-2022</t>
  </si>
  <si>
    <t>14-12-2022</t>
  </si>
  <si>
    <t>27-06-2023</t>
  </si>
  <si>
    <t>28-06-2023</t>
  </si>
  <si>
    <t>15-11-2023</t>
  </si>
  <si>
    <t>14-06-2023</t>
  </si>
  <si>
    <t>20-09-2023</t>
  </si>
  <si>
    <t>30-10-2024</t>
  </si>
  <si>
    <t>21-10-2024</t>
  </si>
  <si>
    <t>26-06-2023</t>
  </si>
  <si>
    <t>16-06-2024</t>
  </si>
  <si>
    <t>15-12-2023</t>
  </si>
  <si>
    <t>20-01-2024</t>
  </si>
  <si>
    <t>15-02-2024</t>
  </si>
  <si>
    <t>15-09-2024</t>
  </si>
  <si>
    <t>16-01-2024</t>
  </si>
  <si>
    <t>24-01-2023</t>
  </si>
  <si>
    <t>22-05-2023</t>
  </si>
  <si>
    <t>14-02-2024</t>
  </si>
  <si>
    <t>18-10-2024</t>
  </si>
  <si>
    <t>24-10-2023</t>
  </si>
  <si>
    <t>17-02-2023</t>
  </si>
  <si>
    <t>27-09-2023</t>
  </si>
  <si>
    <t>16-12-2023</t>
  </si>
  <si>
    <t>22-10-2023</t>
  </si>
  <si>
    <t>31-05-2024</t>
  </si>
  <si>
    <t>27-03-2023</t>
  </si>
  <si>
    <t>17-04-2023</t>
  </si>
  <si>
    <t>29-03-2024</t>
  </si>
  <si>
    <t>21-07-2024</t>
  </si>
  <si>
    <t>28-12-2022</t>
  </si>
  <si>
    <t>13-09-2023</t>
  </si>
  <si>
    <t>29-02-2024</t>
  </si>
  <si>
    <t>16-04-2024</t>
  </si>
  <si>
    <t>13-07-2023</t>
  </si>
  <si>
    <t>30-01-2024</t>
  </si>
  <si>
    <t>29-05-2023</t>
  </si>
  <si>
    <t>26-07-2023</t>
  </si>
  <si>
    <t>19-05-2023</t>
  </si>
  <si>
    <t>20-06-2024</t>
  </si>
  <si>
    <t>21-10-2023</t>
  </si>
  <si>
    <t>25-08-2024</t>
  </si>
  <si>
    <t>13-08-2024</t>
  </si>
  <si>
    <t>22-07-2024</t>
  </si>
  <si>
    <t>21-11-2023</t>
  </si>
  <si>
    <t>20-11-2022</t>
  </si>
  <si>
    <t>13-01-2023</t>
  </si>
  <si>
    <t>15-06-2023</t>
  </si>
  <si>
    <t>24-04-2023</t>
  </si>
  <si>
    <t>29-01-2024</t>
  </si>
  <si>
    <t>25-11-2023</t>
  </si>
  <si>
    <t>14-09-2024</t>
  </si>
  <si>
    <t>14-03-2023</t>
  </si>
  <si>
    <t>15-11-2022</t>
  </si>
  <si>
    <t>16-06-2023</t>
  </si>
  <si>
    <t>14-11-2022</t>
  </si>
  <si>
    <t>19-09-2024</t>
  </si>
  <si>
    <t>18-11-2022</t>
  </si>
  <si>
    <t>18-05-2023</t>
  </si>
  <si>
    <t>31-01-2023</t>
  </si>
  <si>
    <t>25-02-2024</t>
  </si>
  <si>
    <t>20-10-2024</t>
  </si>
  <si>
    <t>13-02-2023</t>
  </si>
  <si>
    <t>19-09-2023</t>
  </si>
  <si>
    <t>17-09-2024</t>
  </si>
  <si>
    <t>27-12-2023</t>
  </si>
  <si>
    <t>26-01-2023</t>
  </si>
  <si>
    <t>21-12-2022</t>
  </si>
  <si>
    <t>18-12-2022</t>
  </si>
  <si>
    <t>13-05-2023</t>
  </si>
  <si>
    <t>13-06-2023</t>
  </si>
  <si>
    <t>27-01-2023</t>
  </si>
  <si>
    <t>28-12-2023</t>
  </si>
  <si>
    <t>24-03-2024</t>
  </si>
  <si>
    <t>17-01-2023</t>
  </si>
  <si>
    <t>26-02-2023</t>
  </si>
  <si>
    <t>30-08-2024</t>
  </si>
  <si>
    <t>27-04-2023</t>
  </si>
  <si>
    <t>19-03-2024</t>
  </si>
  <si>
    <t>17-05-2024</t>
  </si>
  <si>
    <t>22-04-2023</t>
  </si>
  <si>
    <t>23-12-2022</t>
  </si>
  <si>
    <t>28-11-2023</t>
  </si>
  <si>
    <t>24-04-2024</t>
  </si>
  <si>
    <t>14-04-2024</t>
  </si>
  <si>
    <t>26-12-2023</t>
  </si>
  <si>
    <t>16-09-2024</t>
  </si>
  <si>
    <t>22-01-2024</t>
  </si>
  <si>
    <t>27-06-2024</t>
  </si>
  <si>
    <t>18-06-2024</t>
  </si>
  <si>
    <t>29-08-2024</t>
  </si>
  <si>
    <t>13-03-2023</t>
  </si>
  <si>
    <t>18-02-2024</t>
  </si>
  <si>
    <t>27-01-2024</t>
  </si>
  <si>
    <t>16-11-2023</t>
  </si>
  <si>
    <t>27-07-2023</t>
  </si>
  <si>
    <t>15-06-2024</t>
  </si>
  <si>
    <t>23-01-2023</t>
  </si>
  <si>
    <t>20-11-2023</t>
  </si>
  <si>
    <t>23-06-2024</t>
  </si>
  <si>
    <t>21-02-2023</t>
  </si>
  <si>
    <t>19-06-2023</t>
  </si>
  <si>
    <t>21-05-2023</t>
  </si>
  <si>
    <t>23-07-2024</t>
  </si>
  <si>
    <t>25-05-2023</t>
  </si>
  <si>
    <t>15-10-2024</t>
  </si>
  <si>
    <t>18-02-2023</t>
  </si>
  <si>
    <t>25-04-2023</t>
  </si>
  <si>
    <t>20-01-2023</t>
  </si>
  <si>
    <t>30-05-2023</t>
  </si>
  <si>
    <t>26-09-2024</t>
  </si>
  <si>
    <t>21-08-2024</t>
  </si>
  <si>
    <t>15-08-2023</t>
  </si>
  <si>
    <t>27-05-2023</t>
  </si>
  <si>
    <t>29-09-2024</t>
  </si>
  <si>
    <t>17-06-2023</t>
  </si>
  <si>
    <t>14-12-2023</t>
  </si>
  <si>
    <t>22-11-2022</t>
  </si>
  <si>
    <t>20-03-2023</t>
  </si>
  <si>
    <t>29-12-2022</t>
  </si>
  <si>
    <t>23-05-2024</t>
  </si>
  <si>
    <t>28-02-2024</t>
  </si>
  <si>
    <t>21-09-2023</t>
  </si>
  <si>
    <t>25-09-2023</t>
  </si>
  <si>
    <t>25-05-2024</t>
  </si>
  <si>
    <t>24-05-2023</t>
  </si>
  <si>
    <t>14-03-2024</t>
  </si>
  <si>
    <t>15-05-2024</t>
  </si>
  <si>
    <t>16-10-2024</t>
  </si>
  <si>
    <t>22-12-2022</t>
  </si>
  <si>
    <t>18-08-2024</t>
  </si>
  <si>
    <t>25-07-2023</t>
  </si>
  <si>
    <t>20-07-2023</t>
  </si>
  <si>
    <t>25-01-2023</t>
  </si>
  <si>
    <t>14-02-2023</t>
  </si>
  <si>
    <t>25-01-2024</t>
  </si>
  <si>
    <t>29-11-2023</t>
  </si>
  <si>
    <t>25-06-2023</t>
  </si>
  <si>
    <t>21-01-2023</t>
  </si>
  <si>
    <t>ProductName</t>
  </si>
  <si>
    <t>Category</t>
  </si>
  <si>
    <t>UnitPrice</t>
  </si>
  <si>
    <t>Supplier</t>
  </si>
  <si>
    <t>Huge</t>
  </si>
  <si>
    <t>Apparel</t>
  </si>
  <si>
    <t>Owens Inc</t>
  </si>
  <si>
    <t>Address</t>
  </si>
  <si>
    <t>Furniture</t>
  </si>
  <si>
    <t>Romero and Sons</t>
  </si>
  <si>
    <t>Almost</t>
  </si>
  <si>
    <t>Electronics</t>
  </si>
  <si>
    <t>Williams, Shah and Mitchell</t>
  </si>
  <si>
    <t>Month</t>
  </si>
  <si>
    <t>Beauty</t>
  </si>
  <si>
    <t>Williams-Stephens</t>
  </si>
  <si>
    <t>Plan</t>
  </si>
  <si>
    <t>Gibson Inc</t>
  </si>
  <si>
    <t>They</t>
  </si>
  <si>
    <t>Johnson and Sons</t>
  </si>
  <si>
    <t>Where</t>
  </si>
  <si>
    <t>David Inc</t>
  </si>
  <si>
    <t>Deep</t>
  </si>
  <si>
    <t>Mays-Griffith</t>
  </si>
  <si>
    <t>Parent</t>
  </si>
  <si>
    <t>Gibson LLC</t>
  </si>
  <si>
    <t>Ready</t>
  </si>
  <si>
    <t>Gilbert-Moreno</t>
  </si>
  <si>
    <t>Begin</t>
  </si>
  <si>
    <t>Toys</t>
  </si>
  <si>
    <t>Estrada LLC</t>
  </si>
  <si>
    <t>Raise</t>
  </si>
  <si>
    <t>Anderson PLC</t>
  </si>
  <si>
    <t>Official</t>
  </si>
  <si>
    <t>Johnson, Young and Davis</t>
  </si>
  <si>
    <t>Senior</t>
  </si>
  <si>
    <t>Velez, Washington and Bailey</t>
  </si>
  <si>
    <t>Wind</t>
  </si>
  <si>
    <t>Allen-Hendricks</t>
  </si>
  <si>
    <t>Fast</t>
  </si>
  <si>
    <t>Mcmahon, Munoz and Lopez</t>
  </si>
  <si>
    <t>Nation</t>
  </si>
  <si>
    <t>Browning, Cain and Smith</t>
  </si>
  <si>
    <t>Memory</t>
  </si>
  <si>
    <t>Ellis and Sons</t>
  </si>
  <si>
    <t>Hubbard, Peterson and Stafford</t>
  </si>
  <si>
    <t>While</t>
  </si>
  <si>
    <t>Wolf-Harris</t>
  </si>
  <si>
    <t>Offer</t>
  </si>
  <si>
    <t>Snyder-Stephens</t>
  </si>
  <si>
    <t>Increase</t>
  </si>
  <si>
    <t>Butler-Smith</t>
  </si>
  <si>
    <t>Whose</t>
  </si>
  <si>
    <t>Carter Group</t>
  </si>
  <si>
    <t>Very</t>
  </si>
  <si>
    <t>Riley LLC</t>
  </si>
  <si>
    <t>Martinez-Graham</t>
  </si>
  <si>
    <t>Taylor-Lewis</t>
  </si>
  <si>
    <t>Debate</t>
  </si>
  <si>
    <t>Faulkner, Wilson and Richards</t>
  </si>
  <si>
    <t>Charge</t>
  </si>
  <si>
    <t>Murray, Burns and Martinez</t>
  </si>
  <si>
    <t>Account</t>
  </si>
  <si>
    <t>Jones, Mueller and Medina</t>
  </si>
  <si>
    <t>Stock</t>
  </si>
  <si>
    <t>Alvarez Group</t>
  </si>
  <si>
    <t>Move</t>
  </si>
  <si>
    <t>Hurley-Brown</t>
  </si>
  <si>
    <t>Free</t>
  </si>
  <si>
    <t>Cook-Fox</t>
  </si>
  <si>
    <t>Whole</t>
  </si>
  <si>
    <t>Foster-Olson</t>
  </si>
  <si>
    <t>Mr</t>
  </si>
  <si>
    <t>Harrison Group</t>
  </si>
  <si>
    <t>Sister</t>
  </si>
  <si>
    <t>Hernandez-Clark</t>
  </si>
  <si>
    <t>Alone</t>
  </si>
  <si>
    <t>Curry Group</t>
  </si>
  <si>
    <t>Yeah</t>
  </si>
  <si>
    <t>Kramer LLC</t>
  </si>
  <si>
    <t>Important</t>
  </si>
  <si>
    <t>Anderson LLC</t>
  </si>
  <si>
    <t>Page</t>
  </si>
  <si>
    <t>Brown PLC</t>
  </si>
  <si>
    <t>Interesting</t>
  </si>
  <si>
    <t>Brock, Garcia and Hernandez</t>
  </si>
  <si>
    <t>Fish</t>
  </si>
  <si>
    <t>Williams Group</t>
  </si>
  <si>
    <t>Mrs</t>
  </si>
  <si>
    <t>Lee, Lamb and Petty</t>
  </si>
  <si>
    <t>Rock</t>
  </si>
  <si>
    <t>Harding-Miller</t>
  </si>
  <si>
    <t>Full</t>
  </si>
  <si>
    <t>Chambers, Schultz and Jones</t>
  </si>
  <si>
    <t>Have</t>
  </si>
  <si>
    <t>Hernandez and Sons</t>
  </si>
  <si>
    <t>Edge</t>
  </si>
  <si>
    <t>Reid Inc</t>
  </si>
  <si>
    <t>Fire</t>
  </si>
  <si>
    <t>Pittman, Mcdonald and Fox</t>
  </si>
  <si>
    <t>Again</t>
  </si>
  <si>
    <t>Dixon, Bell and Smith</t>
  </si>
  <si>
    <t>Article</t>
  </si>
  <si>
    <t>Hanson LLC</t>
  </si>
  <si>
    <t>House</t>
  </si>
  <si>
    <t>Sullivan-Williams</t>
  </si>
  <si>
    <t>Rest</t>
  </si>
  <si>
    <t>Scott-Roberson</t>
  </si>
  <si>
    <t>Some</t>
  </si>
  <si>
    <t>Smith, Peterson and Macdonald</t>
  </si>
  <si>
    <t>Out</t>
  </si>
  <si>
    <t>Valdez, Miller and Carlson</t>
  </si>
  <si>
    <t>Of</t>
  </si>
  <si>
    <t>Campbell Ltd</t>
  </si>
  <si>
    <t>Issue</t>
  </si>
  <si>
    <t>Schmidt LLC</t>
  </si>
  <si>
    <t>Song</t>
  </si>
  <si>
    <t>Direction</t>
  </si>
  <si>
    <t>Nguyen Inc</t>
  </si>
  <si>
    <t>Against</t>
  </si>
  <si>
    <t>George-Morales</t>
  </si>
  <si>
    <t>Rise</t>
  </si>
  <si>
    <t>Landry Inc</t>
  </si>
  <si>
    <t>Clearly</t>
  </si>
  <si>
    <t>Meyer, Gutierrez and Howard</t>
  </si>
  <si>
    <t>State</t>
  </si>
  <si>
    <t>Ball-Russell</t>
  </si>
  <si>
    <t>Well</t>
  </si>
  <si>
    <t>Garcia-Clark</t>
  </si>
  <si>
    <t>Purpose</t>
  </si>
  <si>
    <t>Dixon-Murphy</t>
  </si>
  <si>
    <t>Harrison, Carroll and Maldonado</t>
  </si>
  <si>
    <t>Government</t>
  </si>
  <si>
    <t>Gibbs and Sons</t>
  </si>
  <si>
    <t>Although</t>
  </si>
  <si>
    <t>Green Ltd</t>
  </si>
  <si>
    <t>Mention</t>
  </si>
  <si>
    <t>Rivera-Cardenas</t>
  </si>
  <si>
    <t>Adult</t>
  </si>
  <si>
    <t>Parker-Butler</t>
  </si>
  <si>
    <t>Trade</t>
  </si>
  <si>
    <t>Anderson, Williams and Reese</t>
  </si>
  <si>
    <t>Indeed</t>
  </si>
  <si>
    <t>Bradshaw-Stafford</t>
  </si>
  <si>
    <t>Scientist</t>
  </si>
  <si>
    <t>Spence, Howard and Patel</t>
  </si>
  <si>
    <t>Apply</t>
  </si>
  <si>
    <t>Blevins, Clark and Vincent</t>
  </si>
  <si>
    <t>Commercial</t>
  </si>
  <si>
    <t>Hunt-Thompson</t>
  </si>
  <si>
    <t>Hall Inc</t>
  </si>
  <si>
    <t>Reduce</t>
  </si>
  <si>
    <t>Chan-Acevedo</t>
  </si>
  <si>
    <t>Boy</t>
  </si>
  <si>
    <t>Guerra Ltd</t>
  </si>
  <si>
    <t>Send</t>
  </si>
  <si>
    <t>Jimenez-Marks</t>
  </si>
  <si>
    <t>Allow</t>
  </si>
  <si>
    <t>Owens, Gordon and Graves</t>
  </si>
  <si>
    <t>Clear</t>
  </si>
  <si>
    <t>Edwards, Williams and Blackwell</t>
  </si>
  <si>
    <t>Anything</t>
  </si>
  <si>
    <t>Stokes-Mcdowell</t>
  </si>
  <si>
    <t>Esparza, Buck and Taylor</t>
  </si>
  <si>
    <t>Agreement</t>
  </si>
  <si>
    <t>Evans, Odonnell and Rogers</t>
  </si>
  <si>
    <t>Pressure</t>
  </si>
  <si>
    <t>Wilson-Garcia</t>
  </si>
  <si>
    <t>Space</t>
  </si>
  <si>
    <t>Schmidt and Sons</t>
  </si>
  <si>
    <t>See</t>
  </si>
  <si>
    <t>Gomez-Ponce</t>
  </si>
  <si>
    <t>Can</t>
  </si>
  <si>
    <t>Larson PLC</t>
  </si>
  <si>
    <t>Best</t>
  </si>
  <si>
    <t>Green, Bartlett and White</t>
  </si>
  <si>
    <t>Melton, Rodriguez and Wallace</t>
  </si>
  <si>
    <t>Degree</t>
  </si>
  <si>
    <t>Wells, Fisher and Clark</t>
  </si>
  <si>
    <t>Food</t>
  </si>
  <si>
    <t>Gonzalez-Buchanan</t>
  </si>
  <si>
    <t>Fly</t>
  </si>
  <si>
    <t>Todd Group</t>
  </si>
  <si>
    <t>View</t>
  </si>
  <si>
    <t>Lee-Luna</t>
  </si>
  <si>
    <t>Force</t>
  </si>
  <si>
    <t>Scott Group</t>
  </si>
  <si>
    <t>Brennan, Finley and Hunt</t>
  </si>
  <si>
    <t>Industry</t>
  </si>
  <si>
    <t>Blake Group</t>
  </si>
  <si>
    <t>Message</t>
  </si>
  <si>
    <t>Sheppard-Sullivan</t>
  </si>
  <si>
    <t>Surface</t>
  </si>
  <si>
    <t>Chambers, Moore and Weaver</t>
  </si>
  <si>
    <t>Too</t>
  </si>
  <si>
    <t>Bates-Schmidt</t>
  </si>
  <si>
    <t>Once</t>
  </si>
  <si>
    <t>Roberts, Walker and Jones</t>
  </si>
  <si>
    <t>Among</t>
  </si>
  <si>
    <t>Johnson-Luna</t>
  </si>
  <si>
    <t>Customer Name</t>
  </si>
  <si>
    <t>Product Name</t>
  </si>
  <si>
    <t>Unit Price</t>
  </si>
  <si>
    <t>Calculated Sales</t>
  </si>
  <si>
    <t>Sales Difference</t>
  </si>
  <si>
    <t>Cleaned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</si>
</sst>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3">
    <dxf>
      <numFmt numFmtId="165" formatCode="dd/mm/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1B5E1-1721-4AD0-AE08-3E035BCF7F0A}" name="tblCustomers" displayName="tblCustomers" ref="A1:G1001" totalsRowShown="0">
  <autoFilter ref="A1:G1001" xr:uid="{D7F1B5E1-1721-4AD0-AE08-3E035BCF7F0A}"/>
  <tableColumns count="7">
    <tableColumn id="1" xr3:uid="{3EAF6A99-32D5-407B-B5B9-CC3B8DAE0691}" name="CustomerID"/>
    <tableColumn id="2" xr3:uid="{C5B2D2BB-427C-47DB-B928-A0703AF24742}" name="CustomerName"/>
    <tableColumn id="3" xr3:uid="{9D5EF16E-6384-4717-916A-F237449323C5}" name="Region"/>
    <tableColumn id="4" xr3:uid="{8651F4F0-E334-48EA-AB34-75754C23DC17}" name="Age"/>
    <tableColumn id="5" xr3:uid="{04E8CFBB-4F29-43E9-89E3-672CDA4D1CCF}" name="Gender"/>
    <tableColumn id="6" xr3:uid="{531DFEB8-1820-49FB-B6E6-D52BC756B442}" name="CustomerSince" dataDxfId="12"/>
    <tableColumn id="7" xr3:uid="{B223FBA2-3375-4555-8752-F65F7A970638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4F548-EFE1-46C0-B46E-ADF58F9ED9F7}" name="tblOrders" displayName="tblOrders" ref="A1:Q2001" totalsRowShown="0">
  <autoFilter ref="A1:Q2001" xr:uid="{7314F548-EFE1-46C0-B46E-ADF58F9ED9F7}"/>
  <tableColumns count="17">
    <tableColumn id="1" xr3:uid="{D6B35EB7-9CF8-4D9C-8F0F-1C26799A708A}" name="OrderID"/>
    <tableColumn id="2" xr3:uid="{2B8CBDA3-A2A6-4AC6-9374-D272670978E4}" name="CustomerID"/>
    <tableColumn id="8" xr3:uid="{305DD544-5242-47DF-99EE-CAF5C42EF44A}" name="Customer Name" dataDxfId="11">
      <calculatedColumnFormula>_xlfn.XLOOKUP(tblOrders[[#This Row],[CustomerID]],tblCustomers[CustomerID],tblCustomers[CustomerName],"not found")</calculatedColumnFormula>
    </tableColumn>
    <tableColumn id="14" xr3:uid="{C3E037D2-ECC7-4A85-AA65-02BD9598B0B3}" name="Age" dataDxfId="6">
      <calculatedColumnFormula>_xlfn.XLOOKUP(tblOrders[[#This Row],[CustomerID]],tblCustomers[CustomerID],tblCustomers[Age],"not found")</calculatedColumnFormula>
    </tableColumn>
    <tableColumn id="15" xr3:uid="{396F1FE6-120A-4556-8DFD-C958E71A0589}" name="Gender" dataDxfId="5">
      <calculatedColumnFormula>_xlfn.XLOOKUP(tblOrders[[#This Row],[CustomerID]],tblCustomers[CustomerID],tblCustomers[Gender],"not found")</calculatedColumnFormula>
    </tableColumn>
    <tableColumn id="9" xr3:uid="{91EC9D60-8BE6-4B69-972D-7AAD9DDDBE23}" name="Region" dataDxfId="10">
      <calculatedColumnFormula>_xlfn.XLOOKUP(tblOrders[[#This Row],[CustomerID]],tblCustomers[CustomerID],tblCustomers[Region],"not found")</calculatedColumnFormula>
    </tableColumn>
    <tableColumn id="3" xr3:uid="{F29D36B2-109B-48DC-BFC8-0A45AD5A6EC2}" name="ProductID"/>
    <tableColumn id="10" xr3:uid="{9A902E94-9433-4ADE-9831-3F20AA57C609}" name="Product Name" dataDxfId="9">
      <calculatedColumnFormula>_xlfn.XLOOKUP(tblOrders[[#This Row],[ProductID]],tblProducts[ProductID],tblProducts[ProductName],"not found")</calculatedColumnFormula>
    </tableColumn>
    <tableColumn id="11" xr3:uid="{88DEC3D9-E3EE-4992-8D3A-34481884323B}" name="Category" dataDxfId="8">
      <calculatedColumnFormula>_xlfn.XLOOKUP(tblOrders[[#This Row],[ProductID]],tblProducts[ProductID],tblProducts[Category],"not found")</calculatedColumnFormula>
    </tableColumn>
    <tableColumn id="12" xr3:uid="{4F23E91A-084F-45E6-B269-552985A08929}" name="Unit Price" dataDxfId="7">
      <calculatedColumnFormula>_xlfn.XLOOKUP(tblOrders[[#This Row],[ProductID]],tblProducts[ProductID],tblProducts[UnitPrice],"not found")</calculatedColumnFormula>
    </tableColumn>
    <tableColumn id="13" xr3:uid="{4DEBF5E6-D002-4E00-B501-5C52FA52FC30}" name="Supplier" dataDxfId="2">
      <calculatedColumnFormula>_xlfn.XLOOKUP(tblOrders[[#This Row],[ProductID]],tblProducts[ProductID],tblProducts[Supplier],"not found")</calculatedColumnFormula>
    </tableColumn>
    <tableColumn id="4" xr3:uid="{C9D3DE47-4B2C-49A9-8ACA-6E925F79E045}" name="OrderDate" dataDxfId="1"/>
    <tableColumn id="18" xr3:uid="{1F341879-02D5-4DA7-BD53-00E56E358EDC}" name="Cleaned Date" dataDxfId="0">
      <calculatedColumnFormula>IF(ISNUMBER(tblOrders[[#This Row],[OrderDate]]),tblOrders[[#This Row],[OrderDate]],_xlfn.LET(_xlpm.x,SUBSTITUTE(TRIM(tblOrders[[#This Row],[OrderDate]]),"-","/"),_xlpm.P,_xlfn.TEXTSPLIT(_xlpm.x,"/"),DATE(INDEX(_xlpm.P,1,3),INDEX(_xlpm.P,1,2),INDEX(_xlpm.P,1,1))))</calculatedColumnFormula>
    </tableColumn>
    <tableColumn id="5" xr3:uid="{67B2210D-432E-4059-B0C9-B094B64A042A}" name="Quantity"/>
    <tableColumn id="6" xr3:uid="{7C5FCB8C-B87B-4CCA-ABC8-AEA8D33FE9E2}" name="TotalSales"/>
    <tableColumn id="16" xr3:uid="{206C6415-993F-4856-8A4F-725DFB585C56}" name="Calculated Sales" dataDxfId="4">
      <calculatedColumnFormula>tblOrders[[#This Row],[Quantity]]*tblOrders[[#This Row],[Unit Price]]</calculatedColumnFormula>
    </tableColumn>
    <tableColumn id="17" xr3:uid="{E2C17061-CC1B-4B74-9331-FC779FEC224E}" name="Sales Difference" dataDxfId="3">
      <calculatedColumnFormula>tblOrders[[#This Row],[TotalSales]]-tblOrders[[#This Row],[Calculated Sales]]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14DACF-94C6-4E17-A6BB-E06E8776D595}" name="tblProducts" displayName="tblProducts" ref="A1:E101" totalsRowShown="0">
  <autoFilter ref="A1:E101" xr:uid="{D814DACF-94C6-4E17-A6BB-E06E8776D595}"/>
  <tableColumns count="5">
    <tableColumn id="1" xr3:uid="{D1AFAD2F-3467-4FC8-A6A9-2BB9B2A82C75}" name="ProductID"/>
    <tableColumn id="2" xr3:uid="{E5EF6437-8CD5-4A00-B6F7-24A67FC4C8CE}" name="ProductName"/>
    <tableColumn id="3" xr3:uid="{C091F847-C20B-404A-A790-1484AD010285}" name="Category"/>
    <tableColumn id="4" xr3:uid="{8239AA49-3D10-4FF2-9D2A-2ABBEDD34913}" name="UnitPrice"/>
    <tableColumn id="5" xr3:uid="{2EB0335F-5361-48A7-BDC8-348A9FD04C62}" name="Sup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CD0A-7A5A-4459-976A-EE053219565B}">
  <dimension ref="A1:G1001"/>
  <sheetViews>
    <sheetView workbookViewId="0">
      <selection activeCell="L13" sqref="L13"/>
    </sheetView>
  </sheetViews>
  <sheetFormatPr defaultRowHeight="15" x14ac:dyDescent="0.25"/>
  <cols>
    <col min="1" max="1" width="14.140625" customWidth="1"/>
    <col min="2" max="2" width="17.42578125" customWidth="1"/>
    <col min="3" max="3" width="9.42578125" customWidth="1"/>
    <col min="5" max="5" width="9.85546875" customWidth="1"/>
    <col min="6" max="6" width="17.140625" customWidth="1"/>
    <col min="7" max="7" width="30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51</v>
      </c>
      <c r="E2" t="s">
        <v>9</v>
      </c>
      <c r="F2" s="1">
        <v>44768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>
        <v>21</v>
      </c>
      <c r="E3" t="s">
        <v>13</v>
      </c>
      <c r="F3" s="1">
        <v>45037</v>
      </c>
      <c r="G3" t="s">
        <v>14</v>
      </c>
    </row>
    <row r="4" spans="1:7" x14ac:dyDescent="0.25">
      <c r="A4">
        <v>3</v>
      </c>
      <c r="B4" t="s">
        <v>15</v>
      </c>
      <c r="C4" t="s">
        <v>8</v>
      </c>
      <c r="D4">
        <v>19</v>
      </c>
      <c r="E4" t="s">
        <v>9</v>
      </c>
      <c r="F4" s="1">
        <v>45373</v>
      </c>
      <c r="G4" t="s">
        <v>16</v>
      </c>
    </row>
    <row r="5" spans="1:7" x14ac:dyDescent="0.25">
      <c r="A5">
        <v>4</v>
      </c>
      <c r="B5" t="s">
        <v>17</v>
      </c>
      <c r="C5" t="s">
        <v>18</v>
      </c>
      <c r="D5">
        <v>20</v>
      </c>
      <c r="E5" t="s">
        <v>9</v>
      </c>
      <c r="F5" s="1">
        <v>45507</v>
      </c>
      <c r="G5" t="s">
        <v>19</v>
      </c>
    </row>
    <row r="6" spans="1:7" x14ac:dyDescent="0.25">
      <c r="A6">
        <v>5</v>
      </c>
      <c r="B6" t="s">
        <v>20</v>
      </c>
      <c r="C6" t="s">
        <v>21</v>
      </c>
      <c r="D6">
        <v>18</v>
      </c>
      <c r="E6" t="s">
        <v>13</v>
      </c>
      <c r="F6" s="1">
        <v>44964</v>
      </c>
      <c r="G6" t="s">
        <v>22</v>
      </c>
    </row>
    <row r="7" spans="1:7" x14ac:dyDescent="0.25">
      <c r="A7">
        <v>6</v>
      </c>
      <c r="B7" t="s">
        <v>23</v>
      </c>
      <c r="C7" t="s">
        <v>18</v>
      </c>
      <c r="D7">
        <v>59</v>
      </c>
      <c r="E7" t="s">
        <v>9</v>
      </c>
      <c r="F7" s="1">
        <v>43875</v>
      </c>
      <c r="G7" t="s">
        <v>24</v>
      </c>
    </row>
    <row r="8" spans="1:7" x14ac:dyDescent="0.25">
      <c r="A8">
        <v>7</v>
      </c>
      <c r="B8" t="s">
        <v>25</v>
      </c>
      <c r="C8" t="s">
        <v>21</v>
      </c>
      <c r="D8">
        <v>24</v>
      </c>
      <c r="E8" t="s">
        <v>13</v>
      </c>
      <c r="F8" s="1">
        <v>45502</v>
      </c>
      <c r="G8" t="s">
        <v>26</v>
      </c>
    </row>
    <row r="9" spans="1:7" x14ac:dyDescent="0.25">
      <c r="A9">
        <v>8</v>
      </c>
      <c r="B9" t="s">
        <v>27</v>
      </c>
      <c r="C9" t="s">
        <v>28</v>
      </c>
      <c r="D9">
        <v>58</v>
      </c>
      <c r="E9" t="s">
        <v>13</v>
      </c>
      <c r="F9" s="1">
        <v>44705</v>
      </c>
      <c r="G9" t="s">
        <v>29</v>
      </c>
    </row>
    <row r="10" spans="1:7" x14ac:dyDescent="0.25">
      <c r="A10">
        <v>9</v>
      </c>
      <c r="B10" t="s">
        <v>30</v>
      </c>
      <c r="C10" t="s">
        <v>18</v>
      </c>
      <c r="D10">
        <v>53</v>
      </c>
      <c r="E10" t="s">
        <v>13</v>
      </c>
      <c r="F10" s="1">
        <v>45346</v>
      </c>
      <c r="G10" t="s">
        <v>31</v>
      </c>
    </row>
    <row r="11" spans="1:7" x14ac:dyDescent="0.25">
      <c r="A11">
        <v>10</v>
      </c>
      <c r="B11" t="s">
        <v>32</v>
      </c>
      <c r="C11" t="s">
        <v>21</v>
      </c>
      <c r="D11">
        <v>25</v>
      </c>
      <c r="E11" t="s">
        <v>9</v>
      </c>
      <c r="F11" s="1">
        <v>44353</v>
      </c>
      <c r="G11" t="s">
        <v>33</v>
      </c>
    </row>
    <row r="12" spans="1:7" x14ac:dyDescent="0.25">
      <c r="A12">
        <v>11</v>
      </c>
      <c r="B12" t="s">
        <v>34</v>
      </c>
      <c r="C12" t="s">
        <v>21</v>
      </c>
      <c r="D12">
        <v>55</v>
      </c>
      <c r="E12" t="s">
        <v>13</v>
      </c>
      <c r="F12" s="1">
        <v>45033</v>
      </c>
      <c r="G12" t="s">
        <v>35</v>
      </c>
    </row>
    <row r="13" spans="1:7" x14ac:dyDescent="0.25">
      <c r="A13">
        <v>12</v>
      </c>
      <c r="B13" t="s">
        <v>36</v>
      </c>
      <c r="C13" t="s">
        <v>18</v>
      </c>
      <c r="D13">
        <v>49</v>
      </c>
      <c r="E13" t="s">
        <v>13</v>
      </c>
      <c r="F13" s="1">
        <v>43886</v>
      </c>
      <c r="G13" t="s">
        <v>37</v>
      </c>
    </row>
    <row r="14" spans="1:7" x14ac:dyDescent="0.25">
      <c r="A14">
        <v>13</v>
      </c>
      <c r="B14" t="s">
        <v>38</v>
      </c>
      <c r="C14" t="s">
        <v>12</v>
      </c>
      <c r="D14">
        <v>32</v>
      </c>
      <c r="E14" t="s">
        <v>13</v>
      </c>
      <c r="F14" s="1">
        <v>44139</v>
      </c>
      <c r="G14" t="s">
        <v>39</v>
      </c>
    </row>
    <row r="15" spans="1:7" x14ac:dyDescent="0.25">
      <c r="A15">
        <v>14</v>
      </c>
      <c r="B15" t="s">
        <v>40</v>
      </c>
      <c r="C15" t="s">
        <v>12</v>
      </c>
      <c r="D15">
        <v>57</v>
      </c>
      <c r="E15" t="s">
        <v>13</v>
      </c>
      <c r="F15" s="1">
        <v>45342</v>
      </c>
      <c r="G15" t="s">
        <v>41</v>
      </c>
    </row>
    <row r="16" spans="1:7" x14ac:dyDescent="0.25">
      <c r="A16">
        <v>15</v>
      </c>
      <c r="B16" t="s">
        <v>42</v>
      </c>
      <c r="C16" t="s">
        <v>28</v>
      </c>
      <c r="D16">
        <v>34</v>
      </c>
      <c r="E16" t="s">
        <v>13</v>
      </c>
      <c r="F16" s="1">
        <v>44008</v>
      </c>
      <c r="G16" t="s">
        <v>43</v>
      </c>
    </row>
    <row r="17" spans="1:7" x14ac:dyDescent="0.25">
      <c r="A17">
        <v>16</v>
      </c>
      <c r="B17" t="s">
        <v>44</v>
      </c>
      <c r="C17" t="s">
        <v>8</v>
      </c>
      <c r="D17">
        <v>55</v>
      </c>
      <c r="E17" t="s">
        <v>13</v>
      </c>
      <c r="F17" s="1">
        <v>44439</v>
      </c>
      <c r="G17" t="s">
        <v>45</v>
      </c>
    </row>
    <row r="18" spans="1:7" x14ac:dyDescent="0.25">
      <c r="A18">
        <v>17</v>
      </c>
      <c r="B18" t="s">
        <v>46</v>
      </c>
      <c r="C18" t="s">
        <v>28</v>
      </c>
      <c r="D18">
        <v>61</v>
      </c>
      <c r="E18" t="s">
        <v>9</v>
      </c>
      <c r="F18" s="1">
        <v>44822</v>
      </c>
      <c r="G18" t="s">
        <v>47</v>
      </c>
    </row>
    <row r="19" spans="1:7" x14ac:dyDescent="0.25">
      <c r="A19">
        <v>18</v>
      </c>
      <c r="B19" t="s">
        <v>48</v>
      </c>
      <c r="C19" t="s">
        <v>28</v>
      </c>
      <c r="D19">
        <v>25</v>
      </c>
      <c r="E19" t="s">
        <v>9</v>
      </c>
      <c r="F19" s="1">
        <v>45364</v>
      </c>
      <c r="G19" t="s">
        <v>49</v>
      </c>
    </row>
    <row r="20" spans="1:7" x14ac:dyDescent="0.25">
      <c r="A20">
        <v>19</v>
      </c>
      <c r="B20" t="s">
        <v>50</v>
      </c>
      <c r="C20" t="s">
        <v>12</v>
      </c>
      <c r="D20">
        <v>39</v>
      </c>
      <c r="E20" t="s">
        <v>9</v>
      </c>
      <c r="F20" s="1">
        <v>44257</v>
      </c>
      <c r="G20" t="s">
        <v>51</v>
      </c>
    </row>
    <row r="21" spans="1:7" x14ac:dyDescent="0.25">
      <c r="A21">
        <v>20</v>
      </c>
      <c r="B21" t="s">
        <v>52</v>
      </c>
      <c r="C21" t="s">
        <v>8</v>
      </c>
      <c r="D21">
        <v>48</v>
      </c>
      <c r="E21" t="s">
        <v>9</v>
      </c>
      <c r="F21" s="1">
        <v>43845</v>
      </c>
      <c r="G21" t="s">
        <v>53</v>
      </c>
    </row>
    <row r="22" spans="1:7" x14ac:dyDescent="0.25">
      <c r="A22">
        <v>21</v>
      </c>
      <c r="B22" t="s">
        <v>54</v>
      </c>
      <c r="C22" t="s">
        <v>28</v>
      </c>
      <c r="D22">
        <v>64</v>
      </c>
      <c r="E22" t="s">
        <v>13</v>
      </c>
      <c r="F22" s="1">
        <v>44130</v>
      </c>
      <c r="G22" t="s">
        <v>55</v>
      </c>
    </row>
    <row r="23" spans="1:7" x14ac:dyDescent="0.25">
      <c r="A23">
        <v>22</v>
      </c>
      <c r="B23" t="s">
        <v>56</v>
      </c>
      <c r="C23" t="s">
        <v>28</v>
      </c>
      <c r="D23">
        <v>60</v>
      </c>
      <c r="E23" t="s">
        <v>13</v>
      </c>
      <c r="F23" s="1">
        <v>44560</v>
      </c>
      <c r="G23" t="s">
        <v>57</v>
      </c>
    </row>
    <row r="24" spans="1:7" x14ac:dyDescent="0.25">
      <c r="A24">
        <v>23</v>
      </c>
      <c r="B24" t="s">
        <v>58</v>
      </c>
      <c r="C24" t="s">
        <v>28</v>
      </c>
      <c r="D24">
        <v>67</v>
      </c>
      <c r="E24" t="s">
        <v>9</v>
      </c>
      <c r="F24" s="1">
        <v>44372</v>
      </c>
      <c r="G24" t="s">
        <v>59</v>
      </c>
    </row>
    <row r="25" spans="1:7" x14ac:dyDescent="0.25">
      <c r="A25">
        <v>24</v>
      </c>
      <c r="B25" t="s">
        <v>60</v>
      </c>
      <c r="C25" t="s">
        <v>18</v>
      </c>
      <c r="D25">
        <v>65</v>
      </c>
      <c r="E25" t="s">
        <v>13</v>
      </c>
      <c r="F25" s="1">
        <v>44954</v>
      </c>
      <c r="G25" t="s">
        <v>61</v>
      </c>
    </row>
    <row r="26" spans="1:7" x14ac:dyDescent="0.25">
      <c r="A26">
        <v>25</v>
      </c>
      <c r="B26" t="s">
        <v>62</v>
      </c>
      <c r="C26" t="s">
        <v>18</v>
      </c>
      <c r="D26">
        <v>41</v>
      </c>
      <c r="E26" t="s">
        <v>13</v>
      </c>
      <c r="F26" s="1">
        <v>43863</v>
      </c>
      <c r="G26" t="s">
        <v>63</v>
      </c>
    </row>
    <row r="27" spans="1:7" x14ac:dyDescent="0.25">
      <c r="A27">
        <v>26</v>
      </c>
      <c r="B27" t="s">
        <v>64</v>
      </c>
      <c r="C27" t="s">
        <v>21</v>
      </c>
      <c r="D27">
        <v>28</v>
      </c>
      <c r="E27" t="s">
        <v>13</v>
      </c>
      <c r="F27" s="1">
        <v>44131</v>
      </c>
      <c r="G27" t="s">
        <v>65</v>
      </c>
    </row>
    <row r="28" spans="1:7" x14ac:dyDescent="0.25">
      <c r="A28">
        <v>27</v>
      </c>
      <c r="B28" t="s">
        <v>66</v>
      </c>
      <c r="C28" t="s">
        <v>12</v>
      </c>
      <c r="D28">
        <v>66</v>
      </c>
      <c r="E28" t="s">
        <v>13</v>
      </c>
      <c r="F28" s="1">
        <v>44041</v>
      </c>
      <c r="G28" t="s">
        <v>67</v>
      </c>
    </row>
    <row r="29" spans="1:7" x14ac:dyDescent="0.25">
      <c r="A29">
        <v>28</v>
      </c>
      <c r="B29" t="s">
        <v>68</v>
      </c>
      <c r="C29" t="s">
        <v>12</v>
      </c>
      <c r="D29">
        <v>57</v>
      </c>
      <c r="E29" t="s">
        <v>9</v>
      </c>
      <c r="F29" s="1">
        <v>45451</v>
      </c>
      <c r="G29" t="s">
        <v>69</v>
      </c>
    </row>
    <row r="30" spans="1:7" x14ac:dyDescent="0.25">
      <c r="A30">
        <v>29</v>
      </c>
      <c r="B30" t="s">
        <v>70</v>
      </c>
      <c r="C30" t="s">
        <v>8</v>
      </c>
      <c r="D30">
        <v>67</v>
      </c>
      <c r="E30" t="s">
        <v>13</v>
      </c>
      <c r="F30" s="1">
        <v>44888</v>
      </c>
      <c r="G30" t="s">
        <v>71</v>
      </c>
    </row>
    <row r="31" spans="1:7" x14ac:dyDescent="0.25">
      <c r="A31">
        <v>30</v>
      </c>
      <c r="B31" t="s">
        <v>72</v>
      </c>
      <c r="C31" t="s">
        <v>12</v>
      </c>
      <c r="D31">
        <v>45</v>
      </c>
      <c r="E31" t="s">
        <v>13</v>
      </c>
      <c r="F31" s="1">
        <v>44402</v>
      </c>
      <c r="G31" t="s">
        <v>73</v>
      </c>
    </row>
    <row r="32" spans="1:7" x14ac:dyDescent="0.25">
      <c r="A32">
        <v>31</v>
      </c>
      <c r="B32" t="s">
        <v>74</v>
      </c>
      <c r="C32" t="s">
        <v>21</v>
      </c>
      <c r="D32">
        <v>19</v>
      </c>
      <c r="E32" t="s">
        <v>9</v>
      </c>
      <c r="F32" s="1">
        <v>45441</v>
      </c>
      <c r="G32" t="s">
        <v>75</v>
      </c>
    </row>
    <row r="33" spans="1:7" x14ac:dyDescent="0.25">
      <c r="A33">
        <v>32</v>
      </c>
      <c r="B33" t="s">
        <v>76</v>
      </c>
      <c r="C33" t="s">
        <v>12</v>
      </c>
      <c r="D33">
        <v>39</v>
      </c>
      <c r="E33" t="s">
        <v>9</v>
      </c>
      <c r="F33" s="1">
        <v>45245</v>
      </c>
      <c r="G33" t="s">
        <v>77</v>
      </c>
    </row>
    <row r="34" spans="1:7" x14ac:dyDescent="0.25">
      <c r="A34">
        <v>33</v>
      </c>
      <c r="B34" t="s">
        <v>78</v>
      </c>
      <c r="C34" t="s">
        <v>8</v>
      </c>
      <c r="D34">
        <v>39</v>
      </c>
      <c r="E34" t="s">
        <v>13</v>
      </c>
      <c r="F34" s="1">
        <v>43891</v>
      </c>
      <c r="G34" t="s">
        <v>79</v>
      </c>
    </row>
    <row r="35" spans="1:7" x14ac:dyDescent="0.25">
      <c r="A35">
        <v>34</v>
      </c>
      <c r="B35" t="s">
        <v>80</v>
      </c>
      <c r="C35" t="s">
        <v>12</v>
      </c>
      <c r="D35">
        <v>37</v>
      </c>
      <c r="E35" t="s">
        <v>9</v>
      </c>
      <c r="F35" s="1">
        <v>44684</v>
      </c>
      <c r="G35" t="s">
        <v>81</v>
      </c>
    </row>
    <row r="36" spans="1:7" x14ac:dyDescent="0.25">
      <c r="A36">
        <v>35</v>
      </c>
      <c r="B36" t="s">
        <v>82</v>
      </c>
      <c r="C36" t="s">
        <v>21</v>
      </c>
      <c r="D36">
        <v>63</v>
      </c>
      <c r="E36" t="s">
        <v>13</v>
      </c>
      <c r="F36" s="1">
        <v>45213</v>
      </c>
      <c r="G36" t="s">
        <v>83</v>
      </c>
    </row>
    <row r="37" spans="1:7" x14ac:dyDescent="0.25">
      <c r="A37">
        <v>36</v>
      </c>
      <c r="B37" t="s">
        <v>84</v>
      </c>
      <c r="C37" t="s">
        <v>12</v>
      </c>
      <c r="D37">
        <v>49</v>
      </c>
      <c r="E37" t="s">
        <v>13</v>
      </c>
      <c r="F37" s="1">
        <v>44288</v>
      </c>
      <c r="G37" t="s">
        <v>85</v>
      </c>
    </row>
    <row r="38" spans="1:7" x14ac:dyDescent="0.25">
      <c r="A38">
        <v>37</v>
      </c>
      <c r="B38" t="s">
        <v>86</v>
      </c>
      <c r="C38" t="s">
        <v>21</v>
      </c>
      <c r="D38">
        <v>62</v>
      </c>
      <c r="E38" t="s">
        <v>9</v>
      </c>
      <c r="F38" s="1">
        <v>45438</v>
      </c>
      <c r="G38" t="s">
        <v>87</v>
      </c>
    </row>
    <row r="39" spans="1:7" x14ac:dyDescent="0.25">
      <c r="A39">
        <v>38</v>
      </c>
      <c r="B39" t="s">
        <v>88</v>
      </c>
      <c r="C39" t="s">
        <v>28</v>
      </c>
      <c r="D39">
        <v>30</v>
      </c>
      <c r="E39" t="s">
        <v>13</v>
      </c>
      <c r="F39" s="1">
        <v>44520</v>
      </c>
      <c r="G39" t="s">
        <v>89</v>
      </c>
    </row>
    <row r="40" spans="1:7" x14ac:dyDescent="0.25">
      <c r="A40">
        <v>39</v>
      </c>
      <c r="B40" t="s">
        <v>90</v>
      </c>
      <c r="C40" t="s">
        <v>18</v>
      </c>
      <c r="D40">
        <v>41</v>
      </c>
      <c r="E40" t="s">
        <v>13</v>
      </c>
      <c r="F40" s="1">
        <v>44188</v>
      </c>
      <c r="G40" t="s">
        <v>91</v>
      </c>
    </row>
    <row r="41" spans="1:7" x14ac:dyDescent="0.25">
      <c r="A41">
        <v>40</v>
      </c>
      <c r="B41" t="s">
        <v>92</v>
      </c>
      <c r="C41" t="s">
        <v>21</v>
      </c>
      <c r="D41">
        <v>39</v>
      </c>
      <c r="E41" t="s">
        <v>13</v>
      </c>
      <c r="F41" s="1">
        <v>44341</v>
      </c>
      <c r="G41" t="s">
        <v>93</v>
      </c>
    </row>
    <row r="42" spans="1:7" x14ac:dyDescent="0.25">
      <c r="A42">
        <v>41</v>
      </c>
      <c r="B42" t="s">
        <v>94</v>
      </c>
      <c r="C42" t="s">
        <v>28</v>
      </c>
      <c r="D42">
        <v>40</v>
      </c>
      <c r="E42" t="s">
        <v>13</v>
      </c>
      <c r="F42" s="1">
        <v>45583</v>
      </c>
      <c r="G42" t="s">
        <v>95</v>
      </c>
    </row>
    <row r="43" spans="1:7" x14ac:dyDescent="0.25">
      <c r="A43">
        <v>42</v>
      </c>
      <c r="B43" t="s">
        <v>96</v>
      </c>
      <c r="C43" t="s">
        <v>21</v>
      </c>
      <c r="D43">
        <v>67</v>
      </c>
      <c r="E43" t="s">
        <v>13</v>
      </c>
      <c r="F43" s="1">
        <v>43955</v>
      </c>
      <c r="G43" t="s">
        <v>97</v>
      </c>
    </row>
    <row r="44" spans="1:7" x14ac:dyDescent="0.25">
      <c r="A44">
        <v>43</v>
      </c>
      <c r="B44" t="s">
        <v>98</v>
      </c>
      <c r="C44" t="s">
        <v>28</v>
      </c>
      <c r="D44">
        <v>41</v>
      </c>
      <c r="E44" t="s">
        <v>9</v>
      </c>
      <c r="F44" s="1">
        <v>44852</v>
      </c>
      <c r="G44" t="s">
        <v>99</v>
      </c>
    </row>
    <row r="45" spans="1:7" x14ac:dyDescent="0.25">
      <c r="A45">
        <v>44</v>
      </c>
      <c r="B45" t="s">
        <v>100</v>
      </c>
      <c r="C45" t="s">
        <v>28</v>
      </c>
      <c r="D45">
        <v>28</v>
      </c>
      <c r="E45" t="s">
        <v>13</v>
      </c>
      <c r="F45" s="1">
        <v>44218</v>
      </c>
      <c r="G45" t="s">
        <v>101</v>
      </c>
    </row>
    <row r="46" spans="1:7" x14ac:dyDescent="0.25">
      <c r="A46">
        <v>45</v>
      </c>
      <c r="B46" t="s">
        <v>102</v>
      </c>
      <c r="C46" t="s">
        <v>8</v>
      </c>
      <c r="D46">
        <v>51</v>
      </c>
      <c r="E46" t="s">
        <v>13</v>
      </c>
      <c r="F46" s="1">
        <v>44516</v>
      </c>
      <c r="G46" t="s">
        <v>103</v>
      </c>
    </row>
    <row r="47" spans="1:7" x14ac:dyDescent="0.25">
      <c r="A47">
        <v>46</v>
      </c>
      <c r="B47" t="s">
        <v>104</v>
      </c>
      <c r="C47" t="s">
        <v>28</v>
      </c>
      <c r="D47">
        <v>23</v>
      </c>
      <c r="E47" t="s">
        <v>13</v>
      </c>
      <c r="F47" s="1">
        <v>44990</v>
      </c>
      <c r="G47" t="s">
        <v>105</v>
      </c>
    </row>
    <row r="48" spans="1:7" x14ac:dyDescent="0.25">
      <c r="A48">
        <v>47</v>
      </c>
      <c r="B48" t="s">
        <v>106</v>
      </c>
      <c r="C48" t="s">
        <v>21</v>
      </c>
      <c r="D48">
        <v>55</v>
      </c>
      <c r="E48" t="s">
        <v>9</v>
      </c>
      <c r="F48" s="1">
        <v>45035</v>
      </c>
      <c r="G48" t="s">
        <v>107</v>
      </c>
    </row>
    <row r="49" spans="1:7" x14ac:dyDescent="0.25">
      <c r="A49">
        <v>48</v>
      </c>
      <c r="B49" t="s">
        <v>108</v>
      </c>
      <c r="C49" t="s">
        <v>8</v>
      </c>
      <c r="D49">
        <v>40</v>
      </c>
      <c r="E49" t="s">
        <v>13</v>
      </c>
      <c r="F49" s="1">
        <v>43995</v>
      </c>
      <c r="G49" t="s">
        <v>109</v>
      </c>
    </row>
    <row r="50" spans="1:7" x14ac:dyDescent="0.25">
      <c r="A50">
        <v>49</v>
      </c>
      <c r="B50" t="s">
        <v>110</v>
      </c>
      <c r="C50" t="s">
        <v>28</v>
      </c>
      <c r="D50">
        <v>38</v>
      </c>
      <c r="E50" t="s">
        <v>13</v>
      </c>
      <c r="F50" s="1">
        <v>44716</v>
      </c>
      <c r="G50" t="s">
        <v>111</v>
      </c>
    </row>
    <row r="51" spans="1:7" x14ac:dyDescent="0.25">
      <c r="A51">
        <v>50</v>
      </c>
      <c r="B51" t="s">
        <v>112</v>
      </c>
      <c r="C51" t="s">
        <v>8</v>
      </c>
      <c r="D51">
        <v>53</v>
      </c>
      <c r="E51" t="s">
        <v>9</v>
      </c>
      <c r="F51" s="1">
        <v>44192</v>
      </c>
      <c r="G51" t="s">
        <v>113</v>
      </c>
    </row>
    <row r="52" spans="1:7" x14ac:dyDescent="0.25">
      <c r="A52">
        <v>51</v>
      </c>
      <c r="B52" t="s">
        <v>114</v>
      </c>
      <c r="C52" t="s">
        <v>21</v>
      </c>
      <c r="D52">
        <v>66</v>
      </c>
      <c r="E52" t="s">
        <v>9</v>
      </c>
      <c r="F52" s="1">
        <v>45232</v>
      </c>
      <c r="G52" t="s">
        <v>115</v>
      </c>
    </row>
    <row r="53" spans="1:7" x14ac:dyDescent="0.25">
      <c r="A53">
        <v>52</v>
      </c>
      <c r="B53" t="s">
        <v>116</v>
      </c>
      <c r="C53" t="s">
        <v>28</v>
      </c>
      <c r="D53">
        <v>45</v>
      </c>
      <c r="E53" t="s">
        <v>13</v>
      </c>
      <c r="F53" s="1">
        <v>44868</v>
      </c>
      <c r="G53" t="s">
        <v>117</v>
      </c>
    </row>
    <row r="54" spans="1:7" x14ac:dyDescent="0.25">
      <c r="A54">
        <v>53</v>
      </c>
      <c r="B54" t="s">
        <v>118</v>
      </c>
      <c r="C54" t="s">
        <v>21</v>
      </c>
      <c r="D54">
        <v>58</v>
      </c>
      <c r="E54" t="s">
        <v>13</v>
      </c>
      <c r="F54" s="1">
        <v>45599</v>
      </c>
      <c r="G54" t="s">
        <v>119</v>
      </c>
    </row>
    <row r="55" spans="1:7" x14ac:dyDescent="0.25">
      <c r="A55">
        <v>54</v>
      </c>
      <c r="B55" t="s">
        <v>120</v>
      </c>
      <c r="C55" t="s">
        <v>18</v>
      </c>
      <c r="D55">
        <v>64</v>
      </c>
      <c r="E55" t="s">
        <v>9</v>
      </c>
      <c r="F55" s="1">
        <v>44796</v>
      </c>
      <c r="G55" t="s">
        <v>121</v>
      </c>
    </row>
    <row r="56" spans="1:7" x14ac:dyDescent="0.25">
      <c r="A56">
        <v>55</v>
      </c>
      <c r="B56" t="s">
        <v>122</v>
      </c>
      <c r="C56" t="s">
        <v>8</v>
      </c>
      <c r="D56">
        <v>55</v>
      </c>
      <c r="E56" t="s">
        <v>13</v>
      </c>
      <c r="F56" s="1">
        <v>44916</v>
      </c>
      <c r="G56" t="s">
        <v>123</v>
      </c>
    </row>
    <row r="57" spans="1:7" x14ac:dyDescent="0.25">
      <c r="A57">
        <v>56</v>
      </c>
      <c r="B57" t="s">
        <v>124</v>
      </c>
      <c r="C57" t="s">
        <v>21</v>
      </c>
      <c r="D57">
        <v>63</v>
      </c>
      <c r="E57" t="s">
        <v>9</v>
      </c>
      <c r="F57" s="1">
        <v>45509</v>
      </c>
      <c r="G57" t="s">
        <v>125</v>
      </c>
    </row>
    <row r="58" spans="1:7" x14ac:dyDescent="0.25">
      <c r="A58">
        <v>57</v>
      </c>
      <c r="B58" t="s">
        <v>126</v>
      </c>
      <c r="C58" t="s">
        <v>12</v>
      </c>
      <c r="D58">
        <v>62</v>
      </c>
      <c r="E58" t="s">
        <v>13</v>
      </c>
      <c r="F58" s="1">
        <v>45279</v>
      </c>
      <c r="G58" t="s">
        <v>127</v>
      </c>
    </row>
    <row r="59" spans="1:7" x14ac:dyDescent="0.25">
      <c r="A59">
        <v>58</v>
      </c>
      <c r="B59" t="s">
        <v>128</v>
      </c>
      <c r="C59" t="s">
        <v>8</v>
      </c>
      <c r="D59">
        <v>66</v>
      </c>
      <c r="E59" t="s">
        <v>13</v>
      </c>
      <c r="F59" s="1">
        <v>44202</v>
      </c>
      <c r="G59" t="s">
        <v>129</v>
      </c>
    </row>
    <row r="60" spans="1:7" x14ac:dyDescent="0.25">
      <c r="A60">
        <v>59</v>
      </c>
      <c r="B60" t="s">
        <v>130</v>
      </c>
      <c r="C60" t="s">
        <v>18</v>
      </c>
      <c r="D60">
        <v>50</v>
      </c>
      <c r="E60" t="s">
        <v>9</v>
      </c>
      <c r="F60" s="1">
        <v>44969</v>
      </c>
      <c r="G60" t="s">
        <v>131</v>
      </c>
    </row>
    <row r="61" spans="1:7" x14ac:dyDescent="0.25">
      <c r="A61">
        <v>60</v>
      </c>
      <c r="B61" t="s">
        <v>132</v>
      </c>
      <c r="C61" t="s">
        <v>12</v>
      </c>
      <c r="D61">
        <v>46</v>
      </c>
      <c r="E61" t="s">
        <v>9</v>
      </c>
      <c r="F61" s="1">
        <v>45074</v>
      </c>
      <c r="G61" t="s">
        <v>133</v>
      </c>
    </row>
    <row r="62" spans="1:7" x14ac:dyDescent="0.25">
      <c r="A62">
        <v>61</v>
      </c>
      <c r="B62" t="s">
        <v>134</v>
      </c>
      <c r="C62" t="s">
        <v>28</v>
      </c>
      <c r="D62">
        <v>22</v>
      </c>
      <c r="E62" t="s">
        <v>9</v>
      </c>
      <c r="F62" s="1">
        <v>44691</v>
      </c>
      <c r="G62" t="s">
        <v>135</v>
      </c>
    </row>
    <row r="63" spans="1:7" x14ac:dyDescent="0.25">
      <c r="A63">
        <v>62</v>
      </c>
      <c r="B63" t="s">
        <v>136</v>
      </c>
      <c r="C63" t="s">
        <v>28</v>
      </c>
      <c r="D63">
        <v>58</v>
      </c>
      <c r="E63" t="s">
        <v>13</v>
      </c>
      <c r="F63" s="1">
        <v>44349</v>
      </c>
      <c r="G63" t="s">
        <v>137</v>
      </c>
    </row>
    <row r="64" spans="1:7" x14ac:dyDescent="0.25">
      <c r="A64">
        <v>63</v>
      </c>
      <c r="B64" t="s">
        <v>138</v>
      </c>
      <c r="C64" t="s">
        <v>12</v>
      </c>
      <c r="D64">
        <v>30</v>
      </c>
      <c r="E64" t="s">
        <v>9</v>
      </c>
      <c r="F64" s="1">
        <v>44814</v>
      </c>
      <c r="G64" t="s">
        <v>139</v>
      </c>
    </row>
    <row r="65" spans="1:7" x14ac:dyDescent="0.25">
      <c r="A65">
        <v>64</v>
      </c>
      <c r="B65" t="s">
        <v>140</v>
      </c>
      <c r="C65" t="s">
        <v>28</v>
      </c>
      <c r="D65">
        <v>49</v>
      </c>
      <c r="E65" t="s">
        <v>9</v>
      </c>
      <c r="F65" s="1">
        <v>44275</v>
      </c>
      <c r="G65" t="s">
        <v>141</v>
      </c>
    </row>
    <row r="66" spans="1:7" x14ac:dyDescent="0.25">
      <c r="A66">
        <v>65</v>
      </c>
      <c r="B66" t="s">
        <v>142</v>
      </c>
      <c r="C66" t="s">
        <v>18</v>
      </c>
      <c r="D66">
        <v>46</v>
      </c>
      <c r="E66" t="s">
        <v>9</v>
      </c>
      <c r="F66" s="1">
        <v>44225</v>
      </c>
      <c r="G66" t="s">
        <v>143</v>
      </c>
    </row>
    <row r="67" spans="1:7" x14ac:dyDescent="0.25">
      <c r="A67">
        <v>66</v>
      </c>
      <c r="B67" t="s">
        <v>144</v>
      </c>
      <c r="C67" t="s">
        <v>18</v>
      </c>
      <c r="D67">
        <v>56</v>
      </c>
      <c r="E67" t="s">
        <v>9</v>
      </c>
      <c r="F67" s="1">
        <v>45246</v>
      </c>
      <c r="G67" t="s">
        <v>145</v>
      </c>
    </row>
    <row r="68" spans="1:7" x14ac:dyDescent="0.25">
      <c r="A68">
        <v>67</v>
      </c>
      <c r="B68" t="s">
        <v>146</v>
      </c>
      <c r="C68" t="s">
        <v>18</v>
      </c>
      <c r="D68">
        <v>54</v>
      </c>
      <c r="E68" t="s">
        <v>13</v>
      </c>
      <c r="F68" s="1">
        <v>44231</v>
      </c>
      <c r="G68" t="s">
        <v>147</v>
      </c>
    </row>
    <row r="69" spans="1:7" x14ac:dyDescent="0.25">
      <c r="A69">
        <v>68</v>
      </c>
      <c r="B69" t="s">
        <v>148</v>
      </c>
      <c r="C69" t="s">
        <v>28</v>
      </c>
      <c r="D69">
        <v>54</v>
      </c>
      <c r="E69" t="s">
        <v>9</v>
      </c>
      <c r="F69" s="1">
        <v>44918</v>
      </c>
      <c r="G69" t="s">
        <v>149</v>
      </c>
    </row>
    <row r="70" spans="1:7" x14ac:dyDescent="0.25">
      <c r="A70">
        <v>69</v>
      </c>
      <c r="B70" t="s">
        <v>150</v>
      </c>
      <c r="C70" t="s">
        <v>8</v>
      </c>
      <c r="D70">
        <v>47</v>
      </c>
      <c r="E70" t="s">
        <v>13</v>
      </c>
      <c r="F70" s="1">
        <v>44195</v>
      </c>
      <c r="G70" t="s">
        <v>151</v>
      </c>
    </row>
    <row r="71" spans="1:7" x14ac:dyDescent="0.25">
      <c r="A71">
        <v>70</v>
      </c>
      <c r="B71" t="s">
        <v>152</v>
      </c>
      <c r="C71" t="s">
        <v>18</v>
      </c>
      <c r="D71">
        <v>57</v>
      </c>
      <c r="E71" t="s">
        <v>9</v>
      </c>
      <c r="F71" s="1">
        <v>44540</v>
      </c>
      <c r="G71" t="s">
        <v>153</v>
      </c>
    </row>
    <row r="72" spans="1:7" x14ac:dyDescent="0.25">
      <c r="A72">
        <v>71</v>
      </c>
      <c r="B72" t="s">
        <v>154</v>
      </c>
      <c r="C72" t="s">
        <v>28</v>
      </c>
      <c r="D72">
        <v>25</v>
      </c>
      <c r="E72" t="s">
        <v>13</v>
      </c>
      <c r="F72" s="1">
        <v>45246</v>
      </c>
      <c r="G72" t="s">
        <v>155</v>
      </c>
    </row>
    <row r="73" spans="1:7" x14ac:dyDescent="0.25">
      <c r="A73">
        <v>72</v>
      </c>
      <c r="B73" t="s">
        <v>156</v>
      </c>
      <c r="C73" t="s">
        <v>12</v>
      </c>
      <c r="D73">
        <v>23</v>
      </c>
      <c r="E73" t="s">
        <v>9</v>
      </c>
      <c r="F73" s="1">
        <v>44623</v>
      </c>
      <c r="G73" t="s">
        <v>157</v>
      </c>
    </row>
    <row r="74" spans="1:7" x14ac:dyDescent="0.25">
      <c r="A74">
        <v>73</v>
      </c>
      <c r="B74" t="s">
        <v>158</v>
      </c>
      <c r="C74" t="s">
        <v>8</v>
      </c>
      <c r="D74">
        <v>20</v>
      </c>
      <c r="E74" t="s">
        <v>9</v>
      </c>
      <c r="F74" s="1">
        <v>45486</v>
      </c>
      <c r="G74" t="s">
        <v>159</v>
      </c>
    </row>
    <row r="75" spans="1:7" x14ac:dyDescent="0.25">
      <c r="A75">
        <v>74</v>
      </c>
      <c r="B75" t="s">
        <v>160</v>
      </c>
      <c r="C75" t="s">
        <v>12</v>
      </c>
      <c r="D75">
        <v>57</v>
      </c>
      <c r="E75" t="s">
        <v>9</v>
      </c>
      <c r="F75" s="1">
        <v>45546</v>
      </c>
      <c r="G75" t="s">
        <v>161</v>
      </c>
    </row>
    <row r="76" spans="1:7" x14ac:dyDescent="0.25">
      <c r="A76">
        <v>75</v>
      </c>
      <c r="B76" t="s">
        <v>162</v>
      </c>
      <c r="C76" t="s">
        <v>8</v>
      </c>
      <c r="D76">
        <v>44</v>
      </c>
      <c r="E76" t="s">
        <v>13</v>
      </c>
      <c r="F76" s="1">
        <v>45569</v>
      </c>
      <c r="G76" t="s">
        <v>163</v>
      </c>
    </row>
    <row r="77" spans="1:7" x14ac:dyDescent="0.25">
      <c r="A77">
        <v>76</v>
      </c>
      <c r="B77" t="s">
        <v>164</v>
      </c>
      <c r="C77" t="s">
        <v>8</v>
      </c>
      <c r="D77">
        <v>67</v>
      </c>
      <c r="E77" t="s">
        <v>9</v>
      </c>
      <c r="F77" s="1">
        <v>44585</v>
      </c>
      <c r="G77" t="s">
        <v>165</v>
      </c>
    </row>
    <row r="78" spans="1:7" x14ac:dyDescent="0.25">
      <c r="A78">
        <v>77</v>
      </c>
      <c r="B78" t="s">
        <v>166</v>
      </c>
      <c r="C78" t="s">
        <v>18</v>
      </c>
      <c r="D78">
        <v>69</v>
      </c>
      <c r="E78" t="s">
        <v>13</v>
      </c>
      <c r="F78" s="1">
        <v>45234</v>
      </c>
      <c r="G78" t="s">
        <v>167</v>
      </c>
    </row>
    <row r="79" spans="1:7" x14ac:dyDescent="0.25">
      <c r="A79">
        <v>78</v>
      </c>
      <c r="B79" t="s">
        <v>168</v>
      </c>
      <c r="C79" t="s">
        <v>18</v>
      </c>
      <c r="D79">
        <v>28</v>
      </c>
      <c r="E79" t="s">
        <v>13</v>
      </c>
      <c r="F79" s="1">
        <v>43895</v>
      </c>
      <c r="G79" t="s">
        <v>169</v>
      </c>
    </row>
    <row r="80" spans="1:7" x14ac:dyDescent="0.25">
      <c r="A80">
        <v>79</v>
      </c>
      <c r="B80" t="s">
        <v>170</v>
      </c>
      <c r="C80" t="s">
        <v>18</v>
      </c>
      <c r="D80">
        <v>63</v>
      </c>
      <c r="E80" t="s">
        <v>9</v>
      </c>
      <c r="F80" s="1">
        <v>45559</v>
      </c>
      <c r="G80" t="s">
        <v>171</v>
      </c>
    </row>
    <row r="81" spans="1:7" x14ac:dyDescent="0.25">
      <c r="A81">
        <v>80</v>
      </c>
      <c r="B81" t="s">
        <v>172</v>
      </c>
      <c r="C81" t="s">
        <v>8</v>
      </c>
      <c r="D81">
        <v>59</v>
      </c>
      <c r="E81" t="s">
        <v>9</v>
      </c>
      <c r="F81" s="1">
        <v>45070</v>
      </c>
      <c r="G81" t="s">
        <v>173</v>
      </c>
    </row>
    <row r="82" spans="1:7" x14ac:dyDescent="0.25">
      <c r="A82">
        <v>81</v>
      </c>
      <c r="B82" t="s">
        <v>174</v>
      </c>
      <c r="C82" t="s">
        <v>8</v>
      </c>
      <c r="D82">
        <v>25</v>
      </c>
      <c r="E82" t="s">
        <v>9</v>
      </c>
      <c r="F82" s="1">
        <v>44631</v>
      </c>
      <c r="G82" t="s">
        <v>175</v>
      </c>
    </row>
    <row r="83" spans="1:7" x14ac:dyDescent="0.25">
      <c r="A83">
        <v>82</v>
      </c>
      <c r="B83" t="s">
        <v>176</v>
      </c>
      <c r="C83" t="s">
        <v>18</v>
      </c>
      <c r="D83">
        <v>68</v>
      </c>
      <c r="E83" t="s">
        <v>13</v>
      </c>
      <c r="F83" s="1">
        <v>44590</v>
      </c>
      <c r="G83" t="s">
        <v>177</v>
      </c>
    </row>
    <row r="84" spans="1:7" x14ac:dyDescent="0.25">
      <c r="A84">
        <v>83</v>
      </c>
      <c r="B84" t="s">
        <v>178</v>
      </c>
      <c r="C84" t="s">
        <v>8</v>
      </c>
      <c r="D84">
        <v>41</v>
      </c>
      <c r="E84" t="s">
        <v>9</v>
      </c>
      <c r="F84" s="1">
        <v>44263</v>
      </c>
      <c r="G84" t="s">
        <v>179</v>
      </c>
    </row>
    <row r="85" spans="1:7" x14ac:dyDescent="0.25">
      <c r="A85">
        <v>84</v>
      </c>
      <c r="B85" t="s">
        <v>180</v>
      </c>
      <c r="C85" t="s">
        <v>21</v>
      </c>
      <c r="D85">
        <v>29</v>
      </c>
      <c r="E85" t="s">
        <v>9</v>
      </c>
      <c r="F85" s="1">
        <v>44556</v>
      </c>
      <c r="G85" t="s">
        <v>181</v>
      </c>
    </row>
    <row r="86" spans="1:7" x14ac:dyDescent="0.25">
      <c r="A86">
        <v>85</v>
      </c>
      <c r="B86" t="s">
        <v>182</v>
      </c>
      <c r="C86" t="s">
        <v>12</v>
      </c>
      <c r="D86">
        <v>29</v>
      </c>
      <c r="E86" t="s">
        <v>9</v>
      </c>
      <c r="F86" s="1">
        <v>44218</v>
      </c>
      <c r="G86" t="s">
        <v>183</v>
      </c>
    </row>
    <row r="87" spans="1:7" x14ac:dyDescent="0.25">
      <c r="A87">
        <v>86</v>
      </c>
      <c r="B87" t="s">
        <v>184</v>
      </c>
      <c r="C87" t="s">
        <v>12</v>
      </c>
      <c r="D87">
        <v>50</v>
      </c>
      <c r="E87" t="s">
        <v>13</v>
      </c>
      <c r="F87" s="1">
        <v>44897</v>
      </c>
      <c r="G87" t="s">
        <v>185</v>
      </c>
    </row>
    <row r="88" spans="1:7" x14ac:dyDescent="0.25">
      <c r="A88">
        <v>87</v>
      </c>
      <c r="B88" t="s">
        <v>186</v>
      </c>
      <c r="C88" t="s">
        <v>28</v>
      </c>
      <c r="D88">
        <v>65</v>
      </c>
      <c r="E88" t="s">
        <v>9</v>
      </c>
      <c r="F88" s="1">
        <v>44335</v>
      </c>
      <c r="G88" t="s">
        <v>187</v>
      </c>
    </row>
    <row r="89" spans="1:7" x14ac:dyDescent="0.25">
      <c r="A89">
        <v>88</v>
      </c>
      <c r="B89" t="s">
        <v>188</v>
      </c>
      <c r="C89" t="s">
        <v>8</v>
      </c>
      <c r="D89">
        <v>47</v>
      </c>
      <c r="E89" t="s">
        <v>9</v>
      </c>
      <c r="F89" s="1">
        <v>45413</v>
      </c>
      <c r="G89" t="s">
        <v>189</v>
      </c>
    </row>
    <row r="90" spans="1:7" x14ac:dyDescent="0.25">
      <c r="A90">
        <v>89</v>
      </c>
      <c r="B90" t="s">
        <v>190</v>
      </c>
      <c r="C90" t="s">
        <v>28</v>
      </c>
      <c r="D90">
        <v>57</v>
      </c>
      <c r="E90" t="s">
        <v>9</v>
      </c>
      <c r="F90" s="1">
        <v>44760</v>
      </c>
      <c r="G90" t="s">
        <v>191</v>
      </c>
    </row>
    <row r="91" spans="1:7" x14ac:dyDescent="0.25">
      <c r="A91">
        <v>90</v>
      </c>
      <c r="B91" t="s">
        <v>192</v>
      </c>
      <c r="C91" t="s">
        <v>28</v>
      </c>
      <c r="D91">
        <v>35</v>
      </c>
      <c r="E91" t="s">
        <v>9</v>
      </c>
      <c r="F91" s="1">
        <v>45483</v>
      </c>
      <c r="G91" t="s">
        <v>193</v>
      </c>
    </row>
    <row r="92" spans="1:7" x14ac:dyDescent="0.25">
      <c r="A92">
        <v>91</v>
      </c>
      <c r="B92" t="s">
        <v>194</v>
      </c>
      <c r="C92" t="s">
        <v>18</v>
      </c>
      <c r="D92">
        <v>24</v>
      </c>
      <c r="E92" t="s">
        <v>9</v>
      </c>
      <c r="F92" s="1">
        <v>43860</v>
      </c>
      <c r="G92" t="s">
        <v>195</v>
      </c>
    </row>
    <row r="93" spans="1:7" x14ac:dyDescent="0.25">
      <c r="A93">
        <v>92</v>
      </c>
      <c r="B93" t="s">
        <v>196</v>
      </c>
      <c r="C93" t="s">
        <v>8</v>
      </c>
      <c r="D93">
        <v>51</v>
      </c>
      <c r="E93" t="s">
        <v>9</v>
      </c>
      <c r="F93" s="1">
        <v>43954</v>
      </c>
      <c r="G93" t="s">
        <v>197</v>
      </c>
    </row>
    <row r="94" spans="1:7" x14ac:dyDescent="0.25">
      <c r="A94">
        <v>93</v>
      </c>
      <c r="B94" t="s">
        <v>198</v>
      </c>
      <c r="C94" t="s">
        <v>21</v>
      </c>
      <c r="D94">
        <v>51</v>
      </c>
      <c r="E94" t="s">
        <v>13</v>
      </c>
      <c r="F94" s="1">
        <v>44785</v>
      </c>
      <c r="G94" t="s">
        <v>199</v>
      </c>
    </row>
    <row r="95" spans="1:7" x14ac:dyDescent="0.25">
      <c r="A95">
        <v>94</v>
      </c>
      <c r="B95" t="s">
        <v>200</v>
      </c>
      <c r="C95" t="s">
        <v>28</v>
      </c>
      <c r="D95">
        <v>52</v>
      </c>
      <c r="E95" t="s">
        <v>13</v>
      </c>
      <c r="F95" s="1">
        <v>44324</v>
      </c>
      <c r="G95" t="s">
        <v>201</v>
      </c>
    </row>
    <row r="96" spans="1:7" x14ac:dyDescent="0.25">
      <c r="A96">
        <v>95</v>
      </c>
      <c r="B96" t="s">
        <v>202</v>
      </c>
      <c r="C96" t="s">
        <v>28</v>
      </c>
      <c r="D96">
        <v>68</v>
      </c>
      <c r="E96" t="s">
        <v>13</v>
      </c>
      <c r="F96" s="1">
        <v>44181</v>
      </c>
      <c r="G96" t="s">
        <v>203</v>
      </c>
    </row>
    <row r="97" spans="1:7" x14ac:dyDescent="0.25">
      <c r="A97">
        <v>96</v>
      </c>
      <c r="B97" t="s">
        <v>204</v>
      </c>
      <c r="C97" t="s">
        <v>28</v>
      </c>
      <c r="D97">
        <v>28</v>
      </c>
      <c r="E97" t="s">
        <v>13</v>
      </c>
      <c r="F97" s="1">
        <v>45248</v>
      </c>
      <c r="G97" t="s">
        <v>205</v>
      </c>
    </row>
    <row r="98" spans="1:7" x14ac:dyDescent="0.25">
      <c r="A98">
        <v>97</v>
      </c>
      <c r="B98" t="s">
        <v>206</v>
      </c>
      <c r="C98" t="s">
        <v>28</v>
      </c>
      <c r="D98">
        <v>55</v>
      </c>
      <c r="E98" t="s">
        <v>9</v>
      </c>
      <c r="F98" s="1">
        <v>44807</v>
      </c>
      <c r="G98" t="s">
        <v>207</v>
      </c>
    </row>
    <row r="99" spans="1:7" x14ac:dyDescent="0.25">
      <c r="A99">
        <v>98</v>
      </c>
      <c r="B99" t="s">
        <v>208</v>
      </c>
      <c r="C99" t="s">
        <v>18</v>
      </c>
      <c r="D99">
        <v>46</v>
      </c>
      <c r="E99" t="s">
        <v>9</v>
      </c>
      <c r="F99" s="1">
        <v>45272</v>
      </c>
      <c r="G99" t="s">
        <v>209</v>
      </c>
    </row>
    <row r="100" spans="1:7" x14ac:dyDescent="0.25">
      <c r="A100">
        <v>99</v>
      </c>
      <c r="B100" t="s">
        <v>210</v>
      </c>
      <c r="C100" t="s">
        <v>12</v>
      </c>
      <c r="D100">
        <v>54</v>
      </c>
      <c r="E100" t="s">
        <v>9</v>
      </c>
      <c r="F100" s="1">
        <v>43980</v>
      </c>
      <c r="G100" t="s">
        <v>211</v>
      </c>
    </row>
    <row r="101" spans="1:7" x14ac:dyDescent="0.25">
      <c r="A101">
        <v>100</v>
      </c>
      <c r="B101" t="s">
        <v>212</v>
      </c>
      <c r="C101" t="s">
        <v>8</v>
      </c>
      <c r="D101">
        <v>26</v>
      </c>
      <c r="E101" t="s">
        <v>9</v>
      </c>
      <c r="F101" s="1">
        <v>44900</v>
      </c>
      <c r="G101" t="s">
        <v>213</v>
      </c>
    </row>
    <row r="102" spans="1:7" x14ac:dyDescent="0.25">
      <c r="A102">
        <v>101</v>
      </c>
      <c r="B102" t="s">
        <v>214</v>
      </c>
      <c r="C102" t="s">
        <v>28</v>
      </c>
      <c r="D102">
        <v>57</v>
      </c>
      <c r="E102" t="s">
        <v>13</v>
      </c>
      <c r="F102" s="1">
        <v>45098</v>
      </c>
      <c r="G102" t="s">
        <v>215</v>
      </c>
    </row>
    <row r="103" spans="1:7" x14ac:dyDescent="0.25">
      <c r="A103">
        <v>102</v>
      </c>
      <c r="B103" t="s">
        <v>216</v>
      </c>
      <c r="C103" t="s">
        <v>12</v>
      </c>
      <c r="D103">
        <v>62</v>
      </c>
      <c r="E103" t="s">
        <v>9</v>
      </c>
      <c r="F103" s="1">
        <v>44327</v>
      </c>
      <c r="G103" t="s">
        <v>217</v>
      </c>
    </row>
    <row r="104" spans="1:7" x14ac:dyDescent="0.25">
      <c r="A104">
        <v>103</v>
      </c>
      <c r="B104" t="s">
        <v>218</v>
      </c>
      <c r="C104" t="s">
        <v>21</v>
      </c>
      <c r="D104">
        <v>59</v>
      </c>
      <c r="E104" t="s">
        <v>9</v>
      </c>
      <c r="F104" s="1">
        <v>44809</v>
      </c>
      <c r="G104" t="s">
        <v>219</v>
      </c>
    </row>
    <row r="105" spans="1:7" x14ac:dyDescent="0.25">
      <c r="A105">
        <v>104</v>
      </c>
      <c r="B105" t="s">
        <v>220</v>
      </c>
      <c r="C105" t="s">
        <v>21</v>
      </c>
      <c r="D105">
        <v>32</v>
      </c>
      <c r="E105" t="s">
        <v>9</v>
      </c>
      <c r="F105" s="1">
        <v>45233</v>
      </c>
      <c r="G105" t="s">
        <v>221</v>
      </c>
    </row>
    <row r="106" spans="1:7" x14ac:dyDescent="0.25">
      <c r="A106">
        <v>105</v>
      </c>
      <c r="B106" t="s">
        <v>222</v>
      </c>
      <c r="C106" t="s">
        <v>8</v>
      </c>
      <c r="D106">
        <v>48</v>
      </c>
      <c r="E106" t="s">
        <v>9</v>
      </c>
      <c r="F106" s="1">
        <v>45070</v>
      </c>
      <c r="G106" t="s">
        <v>223</v>
      </c>
    </row>
    <row r="107" spans="1:7" x14ac:dyDescent="0.25">
      <c r="A107">
        <v>106</v>
      </c>
      <c r="B107" t="s">
        <v>224</v>
      </c>
      <c r="C107" t="s">
        <v>21</v>
      </c>
      <c r="D107">
        <v>51</v>
      </c>
      <c r="E107" t="s">
        <v>13</v>
      </c>
      <c r="F107" s="1">
        <v>44223</v>
      </c>
      <c r="G107" t="s">
        <v>225</v>
      </c>
    </row>
    <row r="108" spans="1:7" x14ac:dyDescent="0.25">
      <c r="A108">
        <v>107</v>
      </c>
      <c r="B108" t="s">
        <v>226</v>
      </c>
      <c r="C108" t="s">
        <v>12</v>
      </c>
      <c r="D108">
        <v>67</v>
      </c>
      <c r="E108" t="s">
        <v>9</v>
      </c>
      <c r="F108" s="1">
        <v>44484</v>
      </c>
      <c r="G108" t="s">
        <v>227</v>
      </c>
    </row>
    <row r="109" spans="1:7" x14ac:dyDescent="0.25">
      <c r="A109">
        <v>108</v>
      </c>
      <c r="B109" t="s">
        <v>228</v>
      </c>
      <c r="C109" t="s">
        <v>12</v>
      </c>
      <c r="D109">
        <v>62</v>
      </c>
      <c r="E109" t="s">
        <v>13</v>
      </c>
      <c r="F109" s="1">
        <v>45429</v>
      </c>
      <c r="G109" t="s">
        <v>229</v>
      </c>
    </row>
    <row r="110" spans="1:7" x14ac:dyDescent="0.25">
      <c r="A110">
        <v>109</v>
      </c>
      <c r="B110" t="s">
        <v>230</v>
      </c>
      <c r="C110" t="s">
        <v>28</v>
      </c>
      <c r="D110">
        <v>42</v>
      </c>
      <c r="E110" t="s">
        <v>9</v>
      </c>
      <c r="F110" s="1">
        <v>44485</v>
      </c>
      <c r="G110" t="s">
        <v>231</v>
      </c>
    </row>
    <row r="111" spans="1:7" x14ac:dyDescent="0.25">
      <c r="A111">
        <v>110</v>
      </c>
      <c r="B111" t="s">
        <v>232</v>
      </c>
      <c r="C111" t="s">
        <v>28</v>
      </c>
      <c r="D111">
        <v>44</v>
      </c>
      <c r="E111" t="s">
        <v>9</v>
      </c>
      <c r="F111" s="1">
        <v>43850</v>
      </c>
      <c r="G111" t="s">
        <v>233</v>
      </c>
    </row>
    <row r="112" spans="1:7" x14ac:dyDescent="0.25">
      <c r="A112">
        <v>111</v>
      </c>
      <c r="B112" t="s">
        <v>234</v>
      </c>
      <c r="C112" t="s">
        <v>18</v>
      </c>
      <c r="D112">
        <v>45</v>
      </c>
      <c r="E112" t="s">
        <v>13</v>
      </c>
      <c r="F112" s="1">
        <v>44903</v>
      </c>
      <c r="G112" t="s">
        <v>235</v>
      </c>
    </row>
    <row r="113" spans="1:7" x14ac:dyDescent="0.25">
      <c r="A113">
        <v>112</v>
      </c>
      <c r="B113" t="s">
        <v>236</v>
      </c>
      <c r="C113" t="s">
        <v>28</v>
      </c>
      <c r="D113">
        <v>22</v>
      </c>
      <c r="E113" t="s">
        <v>13</v>
      </c>
      <c r="F113" s="1">
        <v>45558</v>
      </c>
      <c r="G113" t="s">
        <v>237</v>
      </c>
    </row>
    <row r="114" spans="1:7" x14ac:dyDescent="0.25">
      <c r="A114">
        <v>113</v>
      </c>
      <c r="B114" t="s">
        <v>238</v>
      </c>
      <c r="C114" t="s">
        <v>18</v>
      </c>
      <c r="D114">
        <v>27</v>
      </c>
      <c r="E114" t="s">
        <v>9</v>
      </c>
      <c r="F114" s="1">
        <v>44313</v>
      </c>
      <c r="G114" t="s">
        <v>239</v>
      </c>
    </row>
    <row r="115" spans="1:7" x14ac:dyDescent="0.25">
      <c r="A115">
        <v>114</v>
      </c>
      <c r="B115" t="s">
        <v>240</v>
      </c>
      <c r="C115" t="s">
        <v>12</v>
      </c>
      <c r="D115">
        <v>45</v>
      </c>
      <c r="E115" t="s">
        <v>13</v>
      </c>
      <c r="F115" s="1">
        <v>44094</v>
      </c>
      <c r="G115" t="s">
        <v>241</v>
      </c>
    </row>
    <row r="116" spans="1:7" x14ac:dyDescent="0.25">
      <c r="A116">
        <v>115</v>
      </c>
      <c r="B116" t="s">
        <v>242</v>
      </c>
      <c r="C116" t="s">
        <v>12</v>
      </c>
      <c r="D116">
        <v>46</v>
      </c>
      <c r="E116" t="s">
        <v>13</v>
      </c>
      <c r="F116" s="1">
        <v>44838</v>
      </c>
      <c r="G116" t="s">
        <v>243</v>
      </c>
    </row>
    <row r="117" spans="1:7" x14ac:dyDescent="0.25">
      <c r="A117">
        <v>116</v>
      </c>
      <c r="B117" t="s">
        <v>244</v>
      </c>
      <c r="C117" t="s">
        <v>12</v>
      </c>
      <c r="D117">
        <v>66</v>
      </c>
      <c r="E117" t="s">
        <v>13</v>
      </c>
      <c r="F117" s="1">
        <v>45154</v>
      </c>
      <c r="G117" t="s">
        <v>245</v>
      </c>
    </row>
    <row r="118" spans="1:7" x14ac:dyDescent="0.25">
      <c r="A118">
        <v>117</v>
      </c>
      <c r="B118" t="s">
        <v>246</v>
      </c>
      <c r="C118" t="s">
        <v>21</v>
      </c>
      <c r="D118">
        <v>63</v>
      </c>
      <c r="E118" t="s">
        <v>9</v>
      </c>
      <c r="F118" s="1">
        <v>45003</v>
      </c>
      <c r="G118" t="s">
        <v>247</v>
      </c>
    </row>
    <row r="119" spans="1:7" x14ac:dyDescent="0.25">
      <c r="A119">
        <v>118</v>
      </c>
      <c r="B119" t="s">
        <v>248</v>
      </c>
      <c r="C119" t="s">
        <v>12</v>
      </c>
      <c r="D119">
        <v>49</v>
      </c>
      <c r="E119" t="s">
        <v>9</v>
      </c>
      <c r="F119" s="1">
        <v>44132</v>
      </c>
      <c r="G119" t="s">
        <v>249</v>
      </c>
    </row>
    <row r="120" spans="1:7" x14ac:dyDescent="0.25">
      <c r="A120">
        <v>119</v>
      </c>
      <c r="B120" t="s">
        <v>250</v>
      </c>
      <c r="C120" t="s">
        <v>8</v>
      </c>
      <c r="D120">
        <v>42</v>
      </c>
      <c r="E120" t="s">
        <v>9</v>
      </c>
      <c r="F120" s="1">
        <v>45274</v>
      </c>
      <c r="G120" t="s">
        <v>251</v>
      </c>
    </row>
    <row r="121" spans="1:7" x14ac:dyDescent="0.25">
      <c r="A121">
        <v>120</v>
      </c>
      <c r="B121" t="s">
        <v>252</v>
      </c>
      <c r="C121" t="s">
        <v>28</v>
      </c>
      <c r="D121">
        <v>39</v>
      </c>
      <c r="E121" t="s">
        <v>9</v>
      </c>
      <c r="F121" s="1">
        <v>44459</v>
      </c>
      <c r="G121" t="s">
        <v>253</v>
      </c>
    </row>
    <row r="122" spans="1:7" x14ac:dyDescent="0.25">
      <c r="A122">
        <v>121</v>
      </c>
      <c r="B122" t="s">
        <v>254</v>
      </c>
      <c r="C122" t="s">
        <v>12</v>
      </c>
      <c r="D122">
        <v>18</v>
      </c>
      <c r="E122" t="s">
        <v>9</v>
      </c>
      <c r="F122" s="1">
        <v>44722</v>
      </c>
      <c r="G122" t="s">
        <v>255</v>
      </c>
    </row>
    <row r="123" spans="1:7" x14ac:dyDescent="0.25">
      <c r="A123">
        <v>122</v>
      </c>
      <c r="B123" t="s">
        <v>256</v>
      </c>
      <c r="C123" t="s">
        <v>12</v>
      </c>
      <c r="D123">
        <v>36</v>
      </c>
      <c r="E123" t="s">
        <v>13</v>
      </c>
      <c r="F123" s="1">
        <v>44715</v>
      </c>
      <c r="G123" t="s">
        <v>257</v>
      </c>
    </row>
    <row r="124" spans="1:7" x14ac:dyDescent="0.25">
      <c r="A124">
        <v>123</v>
      </c>
      <c r="B124" t="s">
        <v>258</v>
      </c>
      <c r="C124" t="s">
        <v>12</v>
      </c>
      <c r="D124">
        <v>65</v>
      </c>
      <c r="E124" t="s">
        <v>9</v>
      </c>
      <c r="F124" s="1">
        <v>43876</v>
      </c>
      <c r="G124" t="s">
        <v>259</v>
      </c>
    </row>
    <row r="125" spans="1:7" x14ac:dyDescent="0.25">
      <c r="A125">
        <v>124</v>
      </c>
      <c r="B125" t="s">
        <v>260</v>
      </c>
      <c r="C125" t="s">
        <v>18</v>
      </c>
      <c r="D125">
        <v>32</v>
      </c>
      <c r="E125" t="s">
        <v>13</v>
      </c>
      <c r="F125" s="1">
        <v>44685</v>
      </c>
      <c r="G125" t="s">
        <v>261</v>
      </c>
    </row>
    <row r="126" spans="1:7" x14ac:dyDescent="0.25">
      <c r="A126">
        <v>125</v>
      </c>
      <c r="B126" t="s">
        <v>262</v>
      </c>
      <c r="C126" t="s">
        <v>12</v>
      </c>
      <c r="D126">
        <v>22</v>
      </c>
      <c r="E126" t="s">
        <v>9</v>
      </c>
      <c r="F126" s="1">
        <v>44899</v>
      </c>
      <c r="G126" t="s">
        <v>263</v>
      </c>
    </row>
    <row r="127" spans="1:7" x14ac:dyDescent="0.25">
      <c r="A127">
        <v>126</v>
      </c>
      <c r="B127" t="s">
        <v>264</v>
      </c>
      <c r="C127" t="s">
        <v>8</v>
      </c>
      <c r="D127">
        <v>44</v>
      </c>
      <c r="E127" t="s">
        <v>9</v>
      </c>
      <c r="F127" s="1">
        <v>44162</v>
      </c>
      <c r="G127" t="s">
        <v>265</v>
      </c>
    </row>
    <row r="128" spans="1:7" x14ac:dyDescent="0.25">
      <c r="A128">
        <v>127</v>
      </c>
      <c r="B128" t="s">
        <v>266</v>
      </c>
      <c r="C128" t="s">
        <v>21</v>
      </c>
      <c r="D128">
        <v>42</v>
      </c>
      <c r="E128" t="s">
        <v>9</v>
      </c>
      <c r="F128" s="1">
        <v>44575</v>
      </c>
      <c r="G128" t="s">
        <v>267</v>
      </c>
    </row>
    <row r="129" spans="1:7" x14ac:dyDescent="0.25">
      <c r="A129">
        <v>128</v>
      </c>
      <c r="B129" t="s">
        <v>268</v>
      </c>
      <c r="C129" t="s">
        <v>28</v>
      </c>
      <c r="D129">
        <v>50</v>
      </c>
      <c r="E129" t="s">
        <v>9</v>
      </c>
      <c r="F129" s="1">
        <v>44127</v>
      </c>
      <c r="G129" t="s">
        <v>269</v>
      </c>
    </row>
    <row r="130" spans="1:7" x14ac:dyDescent="0.25">
      <c r="A130">
        <v>129</v>
      </c>
      <c r="B130" t="s">
        <v>270</v>
      </c>
      <c r="C130" t="s">
        <v>28</v>
      </c>
      <c r="D130">
        <v>37</v>
      </c>
      <c r="E130" t="s">
        <v>13</v>
      </c>
      <c r="F130" s="1">
        <v>44390</v>
      </c>
      <c r="G130" t="s">
        <v>271</v>
      </c>
    </row>
    <row r="131" spans="1:7" x14ac:dyDescent="0.25">
      <c r="A131">
        <v>130</v>
      </c>
      <c r="B131" t="s">
        <v>272</v>
      </c>
      <c r="C131" t="s">
        <v>12</v>
      </c>
      <c r="D131">
        <v>22</v>
      </c>
      <c r="E131" t="s">
        <v>9</v>
      </c>
      <c r="F131" s="1">
        <v>43980</v>
      </c>
      <c r="G131" t="s">
        <v>273</v>
      </c>
    </row>
    <row r="132" spans="1:7" x14ac:dyDescent="0.25">
      <c r="A132">
        <v>131</v>
      </c>
      <c r="B132" t="s">
        <v>274</v>
      </c>
      <c r="C132" t="s">
        <v>21</v>
      </c>
      <c r="D132">
        <v>58</v>
      </c>
      <c r="E132" t="s">
        <v>13</v>
      </c>
      <c r="F132" s="1">
        <v>44253</v>
      </c>
      <c r="G132" t="s">
        <v>275</v>
      </c>
    </row>
    <row r="133" spans="1:7" x14ac:dyDescent="0.25">
      <c r="A133">
        <v>132</v>
      </c>
      <c r="B133" t="s">
        <v>276</v>
      </c>
      <c r="C133" t="s">
        <v>21</v>
      </c>
      <c r="D133">
        <v>20</v>
      </c>
      <c r="E133" t="s">
        <v>9</v>
      </c>
      <c r="F133" s="1">
        <v>44423</v>
      </c>
      <c r="G133" t="s">
        <v>277</v>
      </c>
    </row>
    <row r="134" spans="1:7" x14ac:dyDescent="0.25">
      <c r="A134">
        <v>133</v>
      </c>
      <c r="B134" t="s">
        <v>278</v>
      </c>
      <c r="C134" t="s">
        <v>21</v>
      </c>
      <c r="D134">
        <v>28</v>
      </c>
      <c r="E134" t="s">
        <v>9</v>
      </c>
      <c r="F134" s="1">
        <v>44203</v>
      </c>
      <c r="G134" t="s">
        <v>279</v>
      </c>
    </row>
    <row r="135" spans="1:7" x14ac:dyDescent="0.25">
      <c r="A135">
        <v>134</v>
      </c>
      <c r="B135" t="s">
        <v>280</v>
      </c>
      <c r="C135" t="s">
        <v>21</v>
      </c>
      <c r="D135">
        <v>29</v>
      </c>
      <c r="E135" t="s">
        <v>13</v>
      </c>
      <c r="F135" s="1">
        <v>45589</v>
      </c>
      <c r="G135" t="s">
        <v>281</v>
      </c>
    </row>
    <row r="136" spans="1:7" x14ac:dyDescent="0.25">
      <c r="A136">
        <v>135</v>
      </c>
      <c r="B136" t="s">
        <v>282</v>
      </c>
      <c r="C136" t="s">
        <v>21</v>
      </c>
      <c r="D136">
        <v>56</v>
      </c>
      <c r="E136" t="s">
        <v>9</v>
      </c>
      <c r="F136" s="1">
        <v>44959</v>
      </c>
      <c r="G136" t="s">
        <v>283</v>
      </c>
    </row>
    <row r="137" spans="1:7" x14ac:dyDescent="0.25">
      <c r="A137">
        <v>136</v>
      </c>
      <c r="B137" t="s">
        <v>284</v>
      </c>
      <c r="C137" t="s">
        <v>18</v>
      </c>
      <c r="D137">
        <v>45</v>
      </c>
      <c r="E137" t="s">
        <v>9</v>
      </c>
      <c r="F137" s="1">
        <v>45264</v>
      </c>
      <c r="G137" t="s">
        <v>285</v>
      </c>
    </row>
    <row r="138" spans="1:7" x14ac:dyDescent="0.25">
      <c r="A138">
        <v>137</v>
      </c>
      <c r="B138" t="s">
        <v>286</v>
      </c>
      <c r="C138" t="s">
        <v>8</v>
      </c>
      <c r="D138">
        <v>48</v>
      </c>
      <c r="E138" t="s">
        <v>13</v>
      </c>
      <c r="F138" s="1">
        <v>45181</v>
      </c>
      <c r="G138" t="s">
        <v>287</v>
      </c>
    </row>
    <row r="139" spans="1:7" x14ac:dyDescent="0.25">
      <c r="A139">
        <v>138</v>
      </c>
      <c r="B139" t="s">
        <v>288</v>
      </c>
      <c r="C139" t="s">
        <v>21</v>
      </c>
      <c r="D139">
        <v>49</v>
      </c>
      <c r="E139" t="s">
        <v>9</v>
      </c>
      <c r="F139" s="1">
        <v>44021</v>
      </c>
      <c r="G139" t="s">
        <v>289</v>
      </c>
    </row>
    <row r="140" spans="1:7" x14ac:dyDescent="0.25">
      <c r="A140">
        <v>139</v>
      </c>
      <c r="B140" t="s">
        <v>290</v>
      </c>
      <c r="C140" t="s">
        <v>28</v>
      </c>
      <c r="D140">
        <v>62</v>
      </c>
      <c r="E140" t="s">
        <v>13</v>
      </c>
      <c r="F140" s="1">
        <v>43954</v>
      </c>
      <c r="G140" t="s">
        <v>291</v>
      </c>
    </row>
    <row r="141" spans="1:7" x14ac:dyDescent="0.25">
      <c r="A141">
        <v>140</v>
      </c>
      <c r="B141" t="s">
        <v>292</v>
      </c>
      <c r="C141" t="s">
        <v>18</v>
      </c>
      <c r="D141">
        <v>39</v>
      </c>
      <c r="E141" t="s">
        <v>13</v>
      </c>
      <c r="F141" s="1">
        <v>44327</v>
      </c>
      <c r="G141" t="s">
        <v>293</v>
      </c>
    </row>
    <row r="142" spans="1:7" x14ac:dyDescent="0.25">
      <c r="A142">
        <v>141</v>
      </c>
      <c r="B142" t="s">
        <v>294</v>
      </c>
      <c r="C142" t="s">
        <v>18</v>
      </c>
      <c r="D142">
        <v>49</v>
      </c>
      <c r="E142" t="s">
        <v>13</v>
      </c>
      <c r="F142" s="1">
        <v>44030</v>
      </c>
      <c r="G142" t="s">
        <v>295</v>
      </c>
    </row>
    <row r="143" spans="1:7" x14ac:dyDescent="0.25">
      <c r="A143">
        <v>142</v>
      </c>
      <c r="B143" t="s">
        <v>296</v>
      </c>
      <c r="C143" t="s">
        <v>8</v>
      </c>
      <c r="D143">
        <v>60</v>
      </c>
      <c r="E143" t="s">
        <v>13</v>
      </c>
      <c r="F143" s="1">
        <v>43929</v>
      </c>
      <c r="G143" t="s">
        <v>297</v>
      </c>
    </row>
    <row r="144" spans="1:7" x14ac:dyDescent="0.25">
      <c r="A144">
        <v>143</v>
      </c>
      <c r="B144" t="s">
        <v>298</v>
      </c>
      <c r="C144" t="s">
        <v>8</v>
      </c>
      <c r="D144">
        <v>21</v>
      </c>
      <c r="E144" t="s">
        <v>13</v>
      </c>
      <c r="F144" s="1">
        <v>44955</v>
      </c>
      <c r="G144" t="s">
        <v>299</v>
      </c>
    </row>
    <row r="145" spans="1:7" x14ac:dyDescent="0.25">
      <c r="A145">
        <v>144</v>
      </c>
      <c r="B145" t="s">
        <v>300</v>
      </c>
      <c r="C145" t="s">
        <v>8</v>
      </c>
      <c r="D145">
        <v>24</v>
      </c>
      <c r="E145" t="s">
        <v>13</v>
      </c>
      <c r="F145" s="1">
        <v>45084</v>
      </c>
      <c r="G145" t="s">
        <v>301</v>
      </c>
    </row>
    <row r="146" spans="1:7" x14ac:dyDescent="0.25">
      <c r="A146">
        <v>145</v>
      </c>
      <c r="B146" t="s">
        <v>302</v>
      </c>
      <c r="C146" t="s">
        <v>28</v>
      </c>
      <c r="D146">
        <v>38</v>
      </c>
      <c r="E146" t="s">
        <v>13</v>
      </c>
      <c r="F146" s="1">
        <v>44198</v>
      </c>
      <c r="G146" t="s">
        <v>303</v>
      </c>
    </row>
    <row r="147" spans="1:7" x14ac:dyDescent="0.25">
      <c r="A147">
        <v>146</v>
      </c>
      <c r="B147" t="s">
        <v>304</v>
      </c>
      <c r="C147" t="s">
        <v>28</v>
      </c>
      <c r="D147">
        <v>41</v>
      </c>
      <c r="E147" t="s">
        <v>9</v>
      </c>
      <c r="F147" s="1">
        <v>44167</v>
      </c>
      <c r="G147" t="s">
        <v>305</v>
      </c>
    </row>
    <row r="148" spans="1:7" x14ac:dyDescent="0.25">
      <c r="A148">
        <v>147</v>
      </c>
      <c r="B148" t="s">
        <v>306</v>
      </c>
      <c r="C148" t="s">
        <v>8</v>
      </c>
      <c r="D148">
        <v>57</v>
      </c>
      <c r="E148" t="s">
        <v>9</v>
      </c>
      <c r="F148" s="1">
        <v>44622</v>
      </c>
      <c r="G148" t="s">
        <v>307</v>
      </c>
    </row>
    <row r="149" spans="1:7" x14ac:dyDescent="0.25">
      <c r="A149">
        <v>148</v>
      </c>
      <c r="B149" t="s">
        <v>308</v>
      </c>
      <c r="C149" t="s">
        <v>21</v>
      </c>
      <c r="D149">
        <v>33</v>
      </c>
      <c r="E149" t="s">
        <v>9</v>
      </c>
      <c r="F149" s="1">
        <v>45591</v>
      </c>
      <c r="G149" t="s">
        <v>309</v>
      </c>
    </row>
    <row r="150" spans="1:7" x14ac:dyDescent="0.25">
      <c r="A150">
        <v>149</v>
      </c>
      <c r="B150" t="s">
        <v>310</v>
      </c>
      <c r="C150" t="s">
        <v>12</v>
      </c>
      <c r="D150">
        <v>28</v>
      </c>
      <c r="E150" t="s">
        <v>13</v>
      </c>
      <c r="F150" s="1">
        <v>44561</v>
      </c>
      <c r="G150" t="s">
        <v>311</v>
      </c>
    </row>
    <row r="151" spans="1:7" x14ac:dyDescent="0.25">
      <c r="A151">
        <v>150</v>
      </c>
      <c r="B151" t="s">
        <v>312</v>
      </c>
      <c r="C151" t="s">
        <v>28</v>
      </c>
      <c r="D151">
        <v>49</v>
      </c>
      <c r="E151" t="s">
        <v>13</v>
      </c>
      <c r="F151" s="1">
        <v>45165</v>
      </c>
      <c r="G151" t="s">
        <v>313</v>
      </c>
    </row>
    <row r="152" spans="1:7" x14ac:dyDescent="0.25">
      <c r="A152">
        <v>151</v>
      </c>
      <c r="B152" t="s">
        <v>314</v>
      </c>
      <c r="C152" t="s">
        <v>21</v>
      </c>
      <c r="D152">
        <v>60</v>
      </c>
      <c r="E152" t="s">
        <v>13</v>
      </c>
      <c r="F152" s="1">
        <v>44355</v>
      </c>
      <c r="G152" t="s">
        <v>315</v>
      </c>
    </row>
    <row r="153" spans="1:7" x14ac:dyDescent="0.25">
      <c r="A153">
        <v>152</v>
      </c>
      <c r="B153" t="s">
        <v>316</v>
      </c>
      <c r="C153" t="s">
        <v>21</v>
      </c>
      <c r="D153">
        <v>24</v>
      </c>
      <c r="E153" t="s">
        <v>9</v>
      </c>
      <c r="F153" s="1">
        <v>43957</v>
      </c>
      <c r="G153" t="s">
        <v>317</v>
      </c>
    </row>
    <row r="154" spans="1:7" x14ac:dyDescent="0.25">
      <c r="A154">
        <v>153</v>
      </c>
      <c r="B154" t="s">
        <v>318</v>
      </c>
      <c r="C154" t="s">
        <v>18</v>
      </c>
      <c r="D154">
        <v>24</v>
      </c>
      <c r="E154" t="s">
        <v>13</v>
      </c>
      <c r="F154" s="1">
        <v>45015</v>
      </c>
      <c r="G154" t="s">
        <v>319</v>
      </c>
    </row>
    <row r="155" spans="1:7" x14ac:dyDescent="0.25">
      <c r="A155">
        <v>154</v>
      </c>
      <c r="B155" t="s">
        <v>320</v>
      </c>
      <c r="C155" t="s">
        <v>8</v>
      </c>
      <c r="D155">
        <v>50</v>
      </c>
      <c r="E155" t="s">
        <v>9</v>
      </c>
      <c r="F155" s="1">
        <v>44000</v>
      </c>
      <c r="G155" t="s">
        <v>321</v>
      </c>
    </row>
    <row r="156" spans="1:7" x14ac:dyDescent="0.25">
      <c r="A156">
        <v>155</v>
      </c>
      <c r="B156" t="s">
        <v>322</v>
      </c>
      <c r="C156" t="s">
        <v>12</v>
      </c>
      <c r="D156">
        <v>50</v>
      </c>
      <c r="E156" t="s">
        <v>13</v>
      </c>
      <c r="F156" s="1">
        <v>44005</v>
      </c>
      <c r="G156" t="s">
        <v>323</v>
      </c>
    </row>
    <row r="157" spans="1:7" x14ac:dyDescent="0.25">
      <c r="A157">
        <v>156</v>
      </c>
      <c r="B157" t="s">
        <v>324</v>
      </c>
      <c r="C157" t="s">
        <v>12</v>
      </c>
      <c r="D157">
        <v>53</v>
      </c>
      <c r="E157" t="s">
        <v>13</v>
      </c>
      <c r="F157" s="1">
        <v>44997</v>
      </c>
      <c r="G157" t="s">
        <v>325</v>
      </c>
    </row>
    <row r="158" spans="1:7" x14ac:dyDescent="0.25">
      <c r="A158">
        <v>157</v>
      </c>
      <c r="B158" t="s">
        <v>326</v>
      </c>
      <c r="C158" t="s">
        <v>12</v>
      </c>
      <c r="D158">
        <v>42</v>
      </c>
      <c r="E158" t="s">
        <v>9</v>
      </c>
      <c r="F158" s="1">
        <v>44819</v>
      </c>
      <c r="G158" t="s">
        <v>327</v>
      </c>
    </row>
    <row r="159" spans="1:7" x14ac:dyDescent="0.25">
      <c r="A159">
        <v>158</v>
      </c>
      <c r="B159" t="s">
        <v>328</v>
      </c>
      <c r="C159" t="s">
        <v>28</v>
      </c>
      <c r="D159">
        <v>46</v>
      </c>
      <c r="E159" t="s">
        <v>13</v>
      </c>
      <c r="F159" s="1">
        <v>45229</v>
      </c>
      <c r="G159" t="s">
        <v>329</v>
      </c>
    </row>
    <row r="160" spans="1:7" x14ac:dyDescent="0.25">
      <c r="A160">
        <v>159</v>
      </c>
      <c r="B160" t="s">
        <v>330</v>
      </c>
      <c r="C160" t="s">
        <v>28</v>
      </c>
      <c r="D160">
        <v>54</v>
      </c>
      <c r="E160" t="s">
        <v>13</v>
      </c>
      <c r="F160" s="1">
        <v>44643</v>
      </c>
      <c r="G160" t="s">
        <v>331</v>
      </c>
    </row>
    <row r="161" spans="1:7" x14ac:dyDescent="0.25">
      <c r="A161">
        <v>160</v>
      </c>
      <c r="B161" t="s">
        <v>332</v>
      </c>
      <c r="C161" t="s">
        <v>12</v>
      </c>
      <c r="D161">
        <v>38</v>
      </c>
      <c r="E161" t="s">
        <v>13</v>
      </c>
      <c r="F161" s="1">
        <v>44017</v>
      </c>
      <c r="G161" t="s">
        <v>333</v>
      </c>
    </row>
    <row r="162" spans="1:7" x14ac:dyDescent="0.25">
      <c r="A162">
        <v>161</v>
      </c>
      <c r="B162" t="s">
        <v>334</v>
      </c>
      <c r="C162" t="s">
        <v>28</v>
      </c>
      <c r="D162">
        <v>56</v>
      </c>
      <c r="E162" t="s">
        <v>9</v>
      </c>
      <c r="F162" s="1">
        <v>45438</v>
      </c>
      <c r="G162" t="s">
        <v>335</v>
      </c>
    </row>
    <row r="163" spans="1:7" x14ac:dyDescent="0.25">
      <c r="A163">
        <v>162</v>
      </c>
      <c r="B163" t="s">
        <v>336</v>
      </c>
      <c r="C163" t="s">
        <v>28</v>
      </c>
      <c r="D163">
        <v>59</v>
      </c>
      <c r="E163" t="s">
        <v>9</v>
      </c>
      <c r="F163" s="1">
        <v>44320</v>
      </c>
      <c r="G163" t="s">
        <v>337</v>
      </c>
    </row>
    <row r="164" spans="1:7" x14ac:dyDescent="0.25">
      <c r="A164">
        <v>163</v>
      </c>
      <c r="B164" t="s">
        <v>338</v>
      </c>
      <c r="C164" t="s">
        <v>28</v>
      </c>
      <c r="D164">
        <v>37</v>
      </c>
      <c r="E164" t="s">
        <v>13</v>
      </c>
      <c r="F164" s="1">
        <v>44503</v>
      </c>
      <c r="G164" t="s">
        <v>339</v>
      </c>
    </row>
    <row r="165" spans="1:7" x14ac:dyDescent="0.25">
      <c r="A165">
        <v>164</v>
      </c>
      <c r="B165" t="s">
        <v>340</v>
      </c>
      <c r="C165" t="s">
        <v>28</v>
      </c>
      <c r="D165">
        <v>51</v>
      </c>
      <c r="E165" t="s">
        <v>9</v>
      </c>
      <c r="F165" s="1">
        <v>44667</v>
      </c>
      <c r="G165" t="s">
        <v>341</v>
      </c>
    </row>
    <row r="166" spans="1:7" x14ac:dyDescent="0.25">
      <c r="A166">
        <v>165</v>
      </c>
      <c r="B166" t="s">
        <v>342</v>
      </c>
      <c r="C166" t="s">
        <v>21</v>
      </c>
      <c r="D166">
        <v>32</v>
      </c>
      <c r="E166" t="s">
        <v>13</v>
      </c>
      <c r="F166" s="1">
        <v>45368</v>
      </c>
      <c r="G166" t="s">
        <v>343</v>
      </c>
    </row>
    <row r="167" spans="1:7" x14ac:dyDescent="0.25">
      <c r="A167">
        <v>166</v>
      </c>
      <c r="B167" t="s">
        <v>344</v>
      </c>
      <c r="C167" t="s">
        <v>8</v>
      </c>
      <c r="D167">
        <v>45</v>
      </c>
      <c r="E167" t="s">
        <v>9</v>
      </c>
      <c r="F167" s="1">
        <v>44607</v>
      </c>
      <c r="G167" t="s">
        <v>345</v>
      </c>
    </row>
    <row r="168" spans="1:7" x14ac:dyDescent="0.25">
      <c r="A168">
        <v>167</v>
      </c>
      <c r="B168" t="s">
        <v>346</v>
      </c>
      <c r="C168" t="s">
        <v>18</v>
      </c>
      <c r="D168">
        <v>23</v>
      </c>
      <c r="E168" t="s">
        <v>9</v>
      </c>
      <c r="F168" s="1">
        <v>44114</v>
      </c>
      <c r="G168" t="s">
        <v>347</v>
      </c>
    </row>
    <row r="169" spans="1:7" x14ac:dyDescent="0.25">
      <c r="A169">
        <v>168</v>
      </c>
      <c r="B169" t="s">
        <v>348</v>
      </c>
      <c r="C169" t="s">
        <v>12</v>
      </c>
      <c r="D169">
        <v>51</v>
      </c>
      <c r="E169" t="s">
        <v>9</v>
      </c>
      <c r="F169" s="1">
        <v>45425</v>
      </c>
      <c r="G169" t="s">
        <v>349</v>
      </c>
    </row>
    <row r="170" spans="1:7" x14ac:dyDescent="0.25">
      <c r="A170">
        <v>169</v>
      </c>
      <c r="B170" t="s">
        <v>350</v>
      </c>
      <c r="C170" t="s">
        <v>12</v>
      </c>
      <c r="D170">
        <v>40</v>
      </c>
      <c r="E170" t="s">
        <v>13</v>
      </c>
      <c r="F170" s="1">
        <v>45517</v>
      </c>
      <c r="G170" t="s">
        <v>351</v>
      </c>
    </row>
    <row r="171" spans="1:7" x14ac:dyDescent="0.25">
      <c r="A171">
        <v>170</v>
      </c>
      <c r="B171" t="s">
        <v>352</v>
      </c>
      <c r="C171" t="s">
        <v>8</v>
      </c>
      <c r="D171">
        <v>33</v>
      </c>
      <c r="E171" t="s">
        <v>13</v>
      </c>
      <c r="F171" s="1">
        <v>44890</v>
      </c>
      <c r="G171" t="s">
        <v>353</v>
      </c>
    </row>
    <row r="172" spans="1:7" x14ac:dyDescent="0.25">
      <c r="A172">
        <v>171</v>
      </c>
      <c r="B172" t="s">
        <v>354</v>
      </c>
      <c r="C172" t="s">
        <v>21</v>
      </c>
      <c r="D172">
        <v>29</v>
      </c>
      <c r="E172" t="s">
        <v>13</v>
      </c>
      <c r="F172" s="1">
        <v>44620</v>
      </c>
      <c r="G172" t="s">
        <v>355</v>
      </c>
    </row>
    <row r="173" spans="1:7" x14ac:dyDescent="0.25">
      <c r="A173">
        <v>172</v>
      </c>
      <c r="B173" t="s">
        <v>356</v>
      </c>
      <c r="C173" t="s">
        <v>21</v>
      </c>
      <c r="D173">
        <v>52</v>
      </c>
      <c r="E173" t="s">
        <v>13</v>
      </c>
      <c r="F173" s="1">
        <v>45214</v>
      </c>
      <c r="G173" t="s">
        <v>357</v>
      </c>
    </row>
    <row r="174" spans="1:7" x14ac:dyDescent="0.25">
      <c r="A174">
        <v>173</v>
      </c>
      <c r="B174" t="s">
        <v>358</v>
      </c>
      <c r="C174" t="s">
        <v>21</v>
      </c>
      <c r="D174">
        <v>49</v>
      </c>
      <c r="E174" t="s">
        <v>9</v>
      </c>
      <c r="F174" s="1">
        <v>44002</v>
      </c>
      <c r="G174" t="s">
        <v>359</v>
      </c>
    </row>
    <row r="175" spans="1:7" x14ac:dyDescent="0.25">
      <c r="A175">
        <v>174</v>
      </c>
      <c r="B175" t="s">
        <v>360</v>
      </c>
      <c r="C175" t="s">
        <v>28</v>
      </c>
      <c r="D175">
        <v>35</v>
      </c>
      <c r="E175" t="s">
        <v>13</v>
      </c>
      <c r="F175" s="1">
        <v>44872</v>
      </c>
      <c r="G175" t="s">
        <v>361</v>
      </c>
    </row>
    <row r="176" spans="1:7" x14ac:dyDescent="0.25">
      <c r="A176">
        <v>175</v>
      </c>
      <c r="B176" t="s">
        <v>362</v>
      </c>
      <c r="C176" t="s">
        <v>28</v>
      </c>
      <c r="D176">
        <v>48</v>
      </c>
      <c r="E176" t="s">
        <v>13</v>
      </c>
      <c r="F176" s="1">
        <v>45059</v>
      </c>
      <c r="G176" t="s">
        <v>363</v>
      </c>
    </row>
    <row r="177" spans="1:7" x14ac:dyDescent="0.25">
      <c r="A177">
        <v>176</v>
      </c>
      <c r="B177" t="s">
        <v>364</v>
      </c>
      <c r="C177" t="s">
        <v>18</v>
      </c>
      <c r="D177">
        <v>19</v>
      </c>
      <c r="E177" t="s">
        <v>13</v>
      </c>
      <c r="F177" s="1">
        <v>43876</v>
      </c>
      <c r="G177" t="s">
        <v>365</v>
      </c>
    </row>
    <row r="178" spans="1:7" x14ac:dyDescent="0.25">
      <c r="A178">
        <v>177</v>
      </c>
      <c r="B178" t="s">
        <v>366</v>
      </c>
      <c r="C178" t="s">
        <v>12</v>
      </c>
      <c r="D178">
        <v>45</v>
      </c>
      <c r="E178" t="s">
        <v>9</v>
      </c>
      <c r="F178" s="1">
        <v>44001</v>
      </c>
      <c r="G178" t="s">
        <v>367</v>
      </c>
    </row>
    <row r="179" spans="1:7" x14ac:dyDescent="0.25">
      <c r="A179">
        <v>178</v>
      </c>
      <c r="B179" t="s">
        <v>368</v>
      </c>
      <c r="C179" t="s">
        <v>21</v>
      </c>
      <c r="D179">
        <v>32</v>
      </c>
      <c r="E179" t="s">
        <v>13</v>
      </c>
      <c r="F179" s="1">
        <v>44910</v>
      </c>
      <c r="G179" t="s">
        <v>369</v>
      </c>
    </row>
    <row r="180" spans="1:7" x14ac:dyDescent="0.25">
      <c r="A180">
        <v>179</v>
      </c>
      <c r="B180" t="s">
        <v>370</v>
      </c>
      <c r="C180" t="s">
        <v>8</v>
      </c>
      <c r="D180">
        <v>36</v>
      </c>
      <c r="E180" t="s">
        <v>9</v>
      </c>
      <c r="F180" s="1">
        <v>45338</v>
      </c>
      <c r="G180" t="s">
        <v>371</v>
      </c>
    </row>
    <row r="181" spans="1:7" x14ac:dyDescent="0.25">
      <c r="A181">
        <v>180</v>
      </c>
      <c r="B181" t="s">
        <v>372</v>
      </c>
      <c r="C181" t="s">
        <v>18</v>
      </c>
      <c r="D181">
        <v>42</v>
      </c>
      <c r="E181" t="s">
        <v>9</v>
      </c>
      <c r="F181" s="1">
        <v>45349</v>
      </c>
      <c r="G181" t="s">
        <v>373</v>
      </c>
    </row>
    <row r="182" spans="1:7" x14ac:dyDescent="0.25">
      <c r="A182">
        <v>181</v>
      </c>
      <c r="B182" t="s">
        <v>374</v>
      </c>
      <c r="C182" t="s">
        <v>12</v>
      </c>
      <c r="D182">
        <v>22</v>
      </c>
      <c r="E182" t="s">
        <v>9</v>
      </c>
      <c r="F182" s="1">
        <v>44622</v>
      </c>
      <c r="G182" t="s">
        <v>375</v>
      </c>
    </row>
    <row r="183" spans="1:7" x14ac:dyDescent="0.25">
      <c r="A183">
        <v>182</v>
      </c>
      <c r="B183" t="s">
        <v>376</v>
      </c>
      <c r="C183" t="s">
        <v>21</v>
      </c>
      <c r="D183">
        <v>44</v>
      </c>
      <c r="E183" t="s">
        <v>13</v>
      </c>
      <c r="F183" s="1">
        <v>44046</v>
      </c>
      <c r="G183" t="s">
        <v>377</v>
      </c>
    </row>
    <row r="184" spans="1:7" x14ac:dyDescent="0.25">
      <c r="A184">
        <v>183</v>
      </c>
      <c r="B184" t="s">
        <v>378</v>
      </c>
      <c r="C184" t="s">
        <v>28</v>
      </c>
      <c r="D184">
        <v>23</v>
      </c>
      <c r="E184" t="s">
        <v>9</v>
      </c>
      <c r="F184" s="1">
        <v>45187</v>
      </c>
      <c r="G184" t="s">
        <v>379</v>
      </c>
    </row>
    <row r="185" spans="1:7" x14ac:dyDescent="0.25">
      <c r="A185">
        <v>184</v>
      </c>
      <c r="B185" t="s">
        <v>380</v>
      </c>
      <c r="C185" t="s">
        <v>12</v>
      </c>
      <c r="D185">
        <v>60</v>
      </c>
      <c r="E185" t="s">
        <v>13</v>
      </c>
      <c r="F185" s="1">
        <v>44779</v>
      </c>
      <c r="G185" t="s">
        <v>381</v>
      </c>
    </row>
    <row r="186" spans="1:7" x14ac:dyDescent="0.25">
      <c r="A186">
        <v>185</v>
      </c>
      <c r="B186" t="s">
        <v>382</v>
      </c>
      <c r="C186" t="s">
        <v>8</v>
      </c>
      <c r="D186">
        <v>40</v>
      </c>
      <c r="E186" t="s">
        <v>9</v>
      </c>
      <c r="F186" s="1">
        <v>44097</v>
      </c>
      <c r="G186" t="s">
        <v>383</v>
      </c>
    </row>
    <row r="187" spans="1:7" x14ac:dyDescent="0.25">
      <c r="A187">
        <v>186</v>
      </c>
      <c r="B187" t="s">
        <v>384</v>
      </c>
      <c r="C187" t="s">
        <v>18</v>
      </c>
      <c r="D187">
        <v>43</v>
      </c>
      <c r="E187" t="s">
        <v>9</v>
      </c>
      <c r="F187" s="1">
        <v>45014</v>
      </c>
      <c r="G187" t="s">
        <v>385</v>
      </c>
    </row>
    <row r="188" spans="1:7" x14ac:dyDescent="0.25">
      <c r="A188">
        <v>187</v>
      </c>
      <c r="B188" t="s">
        <v>386</v>
      </c>
      <c r="C188" t="s">
        <v>18</v>
      </c>
      <c r="D188">
        <v>39</v>
      </c>
      <c r="E188" t="s">
        <v>13</v>
      </c>
      <c r="F188" s="1">
        <v>44151</v>
      </c>
      <c r="G188" t="s">
        <v>387</v>
      </c>
    </row>
    <row r="189" spans="1:7" x14ac:dyDescent="0.25">
      <c r="A189">
        <v>188</v>
      </c>
      <c r="B189" t="s">
        <v>388</v>
      </c>
      <c r="C189" t="s">
        <v>28</v>
      </c>
      <c r="D189">
        <v>67</v>
      </c>
      <c r="E189" t="s">
        <v>9</v>
      </c>
      <c r="F189" s="1">
        <v>45318</v>
      </c>
      <c r="G189" t="s">
        <v>389</v>
      </c>
    </row>
    <row r="190" spans="1:7" x14ac:dyDescent="0.25">
      <c r="A190">
        <v>189</v>
      </c>
      <c r="B190" t="s">
        <v>390</v>
      </c>
      <c r="C190" t="s">
        <v>12</v>
      </c>
      <c r="D190">
        <v>54</v>
      </c>
      <c r="E190" t="s">
        <v>9</v>
      </c>
      <c r="F190" s="1">
        <v>44388</v>
      </c>
      <c r="G190" t="s">
        <v>391</v>
      </c>
    </row>
    <row r="191" spans="1:7" x14ac:dyDescent="0.25">
      <c r="A191">
        <v>190</v>
      </c>
      <c r="B191" t="s">
        <v>392</v>
      </c>
      <c r="C191" t="s">
        <v>12</v>
      </c>
      <c r="D191">
        <v>60</v>
      </c>
      <c r="E191" t="s">
        <v>9</v>
      </c>
      <c r="F191" s="1">
        <v>44013</v>
      </c>
      <c r="G191" t="s">
        <v>393</v>
      </c>
    </row>
    <row r="192" spans="1:7" x14ac:dyDescent="0.25">
      <c r="A192">
        <v>191</v>
      </c>
      <c r="B192" t="s">
        <v>394</v>
      </c>
      <c r="C192" t="s">
        <v>12</v>
      </c>
      <c r="D192">
        <v>21</v>
      </c>
      <c r="E192" t="s">
        <v>9</v>
      </c>
      <c r="F192" s="1">
        <v>45466</v>
      </c>
      <c r="G192" t="s">
        <v>395</v>
      </c>
    </row>
    <row r="193" spans="1:7" x14ac:dyDescent="0.25">
      <c r="A193">
        <v>192</v>
      </c>
      <c r="B193" t="s">
        <v>396</v>
      </c>
      <c r="C193" t="s">
        <v>21</v>
      </c>
      <c r="D193">
        <v>21</v>
      </c>
      <c r="E193" t="s">
        <v>9</v>
      </c>
      <c r="F193" s="1">
        <v>45391</v>
      </c>
      <c r="G193" t="s">
        <v>397</v>
      </c>
    </row>
    <row r="194" spans="1:7" x14ac:dyDescent="0.25">
      <c r="A194">
        <v>193</v>
      </c>
      <c r="B194" t="s">
        <v>398</v>
      </c>
      <c r="C194" t="s">
        <v>12</v>
      </c>
      <c r="D194">
        <v>39</v>
      </c>
      <c r="E194" t="s">
        <v>9</v>
      </c>
      <c r="F194" s="1">
        <v>45322</v>
      </c>
      <c r="G194" t="s">
        <v>399</v>
      </c>
    </row>
    <row r="195" spans="1:7" x14ac:dyDescent="0.25">
      <c r="A195">
        <v>194</v>
      </c>
      <c r="B195" t="s">
        <v>400</v>
      </c>
      <c r="C195" t="s">
        <v>28</v>
      </c>
      <c r="D195">
        <v>28</v>
      </c>
      <c r="E195" t="s">
        <v>13</v>
      </c>
      <c r="F195" s="1">
        <v>45231</v>
      </c>
      <c r="G195" t="s">
        <v>401</v>
      </c>
    </row>
    <row r="196" spans="1:7" x14ac:dyDescent="0.25">
      <c r="A196">
        <v>195</v>
      </c>
      <c r="B196" t="s">
        <v>402</v>
      </c>
      <c r="C196" t="s">
        <v>18</v>
      </c>
      <c r="D196">
        <v>53</v>
      </c>
      <c r="E196" t="s">
        <v>13</v>
      </c>
      <c r="F196" s="1">
        <v>45198</v>
      </c>
      <c r="G196" t="s">
        <v>403</v>
      </c>
    </row>
    <row r="197" spans="1:7" x14ac:dyDescent="0.25">
      <c r="A197">
        <v>196</v>
      </c>
      <c r="B197" t="s">
        <v>404</v>
      </c>
      <c r="C197" t="s">
        <v>21</v>
      </c>
      <c r="D197">
        <v>56</v>
      </c>
      <c r="E197" t="s">
        <v>13</v>
      </c>
      <c r="F197" s="1">
        <v>45012</v>
      </c>
      <c r="G197" t="s">
        <v>405</v>
      </c>
    </row>
    <row r="198" spans="1:7" x14ac:dyDescent="0.25">
      <c r="A198">
        <v>197</v>
      </c>
      <c r="B198" t="s">
        <v>406</v>
      </c>
      <c r="C198" t="s">
        <v>8</v>
      </c>
      <c r="D198">
        <v>58</v>
      </c>
      <c r="E198" t="s">
        <v>9</v>
      </c>
      <c r="F198" s="1">
        <v>44464</v>
      </c>
      <c r="G198" t="s">
        <v>407</v>
      </c>
    </row>
    <row r="199" spans="1:7" x14ac:dyDescent="0.25">
      <c r="A199">
        <v>198</v>
      </c>
      <c r="B199" t="s">
        <v>408</v>
      </c>
      <c r="C199" t="s">
        <v>8</v>
      </c>
      <c r="D199">
        <v>50</v>
      </c>
      <c r="E199" t="s">
        <v>13</v>
      </c>
      <c r="F199" s="1">
        <v>45525</v>
      </c>
      <c r="G199" t="s">
        <v>409</v>
      </c>
    </row>
    <row r="200" spans="1:7" x14ac:dyDescent="0.25">
      <c r="A200">
        <v>199</v>
      </c>
      <c r="B200" t="s">
        <v>410</v>
      </c>
      <c r="C200" t="s">
        <v>12</v>
      </c>
      <c r="D200">
        <v>45</v>
      </c>
      <c r="E200" t="s">
        <v>13</v>
      </c>
      <c r="F200" s="1">
        <v>43932</v>
      </c>
      <c r="G200" t="s">
        <v>411</v>
      </c>
    </row>
    <row r="201" spans="1:7" x14ac:dyDescent="0.25">
      <c r="A201">
        <v>200</v>
      </c>
      <c r="B201" t="s">
        <v>412</v>
      </c>
      <c r="C201" t="s">
        <v>21</v>
      </c>
      <c r="D201">
        <v>54</v>
      </c>
      <c r="E201" t="s">
        <v>9</v>
      </c>
      <c r="F201" s="1">
        <v>44923</v>
      </c>
      <c r="G201" t="s">
        <v>413</v>
      </c>
    </row>
    <row r="202" spans="1:7" x14ac:dyDescent="0.25">
      <c r="A202">
        <v>201</v>
      </c>
      <c r="B202" t="s">
        <v>414</v>
      </c>
      <c r="C202" t="s">
        <v>21</v>
      </c>
      <c r="D202">
        <v>23</v>
      </c>
      <c r="E202" t="s">
        <v>9</v>
      </c>
      <c r="F202" s="1">
        <v>45323</v>
      </c>
      <c r="G202" t="s">
        <v>415</v>
      </c>
    </row>
    <row r="203" spans="1:7" x14ac:dyDescent="0.25">
      <c r="A203">
        <v>202</v>
      </c>
      <c r="B203" t="s">
        <v>416</v>
      </c>
      <c r="C203" t="s">
        <v>12</v>
      </c>
      <c r="D203">
        <v>45</v>
      </c>
      <c r="E203" t="s">
        <v>9</v>
      </c>
      <c r="F203" s="1">
        <v>45080</v>
      </c>
      <c r="G203" t="s">
        <v>417</v>
      </c>
    </row>
    <row r="204" spans="1:7" x14ac:dyDescent="0.25">
      <c r="A204">
        <v>203</v>
      </c>
      <c r="B204" t="s">
        <v>418</v>
      </c>
      <c r="C204" t="s">
        <v>8</v>
      </c>
      <c r="D204">
        <v>65</v>
      </c>
      <c r="E204" t="s">
        <v>13</v>
      </c>
      <c r="F204" s="1">
        <v>45383</v>
      </c>
      <c r="G204" t="s">
        <v>419</v>
      </c>
    </row>
    <row r="205" spans="1:7" x14ac:dyDescent="0.25">
      <c r="A205">
        <v>204</v>
      </c>
      <c r="B205" t="s">
        <v>420</v>
      </c>
      <c r="C205" t="s">
        <v>8</v>
      </c>
      <c r="D205">
        <v>31</v>
      </c>
      <c r="E205" t="s">
        <v>9</v>
      </c>
      <c r="F205" s="1">
        <v>44524</v>
      </c>
      <c r="G205" t="s">
        <v>421</v>
      </c>
    </row>
    <row r="206" spans="1:7" x14ac:dyDescent="0.25">
      <c r="A206">
        <v>205</v>
      </c>
      <c r="B206" t="s">
        <v>422</v>
      </c>
      <c r="C206" t="s">
        <v>21</v>
      </c>
      <c r="D206">
        <v>45</v>
      </c>
      <c r="E206" t="s">
        <v>9</v>
      </c>
      <c r="F206" s="1">
        <v>43935</v>
      </c>
      <c r="G206" t="s">
        <v>423</v>
      </c>
    </row>
    <row r="207" spans="1:7" x14ac:dyDescent="0.25">
      <c r="A207">
        <v>206</v>
      </c>
      <c r="B207" t="s">
        <v>424</v>
      </c>
      <c r="C207" t="s">
        <v>8</v>
      </c>
      <c r="D207">
        <v>42</v>
      </c>
      <c r="E207" t="s">
        <v>9</v>
      </c>
      <c r="F207" s="1">
        <v>43962</v>
      </c>
      <c r="G207" t="s">
        <v>425</v>
      </c>
    </row>
    <row r="208" spans="1:7" x14ac:dyDescent="0.25">
      <c r="A208">
        <v>207</v>
      </c>
      <c r="B208" t="s">
        <v>426</v>
      </c>
      <c r="C208" t="s">
        <v>12</v>
      </c>
      <c r="D208">
        <v>52</v>
      </c>
      <c r="E208" t="s">
        <v>9</v>
      </c>
      <c r="F208" s="1">
        <v>44162</v>
      </c>
      <c r="G208" t="s">
        <v>427</v>
      </c>
    </row>
    <row r="209" spans="1:7" x14ac:dyDescent="0.25">
      <c r="A209">
        <v>208</v>
      </c>
      <c r="B209" t="s">
        <v>428</v>
      </c>
      <c r="C209" t="s">
        <v>18</v>
      </c>
      <c r="D209">
        <v>67</v>
      </c>
      <c r="E209" t="s">
        <v>13</v>
      </c>
      <c r="F209" s="1">
        <v>45215</v>
      </c>
      <c r="G209" t="s">
        <v>429</v>
      </c>
    </row>
    <row r="210" spans="1:7" x14ac:dyDescent="0.25">
      <c r="A210">
        <v>209</v>
      </c>
      <c r="B210" t="s">
        <v>430</v>
      </c>
      <c r="C210" t="s">
        <v>28</v>
      </c>
      <c r="D210">
        <v>48</v>
      </c>
      <c r="E210" t="s">
        <v>9</v>
      </c>
      <c r="F210" s="1">
        <v>44057</v>
      </c>
      <c r="G210" t="s">
        <v>431</v>
      </c>
    </row>
    <row r="211" spans="1:7" x14ac:dyDescent="0.25">
      <c r="A211">
        <v>210</v>
      </c>
      <c r="B211" t="s">
        <v>432</v>
      </c>
      <c r="C211" t="s">
        <v>28</v>
      </c>
      <c r="D211">
        <v>68</v>
      </c>
      <c r="E211" t="s">
        <v>13</v>
      </c>
      <c r="F211" s="1">
        <v>43944</v>
      </c>
      <c r="G211" t="s">
        <v>433</v>
      </c>
    </row>
    <row r="212" spans="1:7" x14ac:dyDescent="0.25">
      <c r="A212">
        <v>211</v>
      </c>
      <c r="B212" t="s">
        <v>434</v>
      </c>
      <c r="C212" t="s">
        <v>8</v>
      </c>
      <c r="D212">
        <v>42</v>
      </c>
      <c r="E212" t="s">
        <v>9</v>
      </c>
      <c r="F212" s="1">
        <v>45091</v>
      </c>
      <c r="G212" t="s">
        <v>435</v>
      </c>
    </row>
    <row r="213" spans="1:7" x14ac:dyDescent="0.25">
      <c r="A213">
        <v>212</v>
      </c>
      <c r="B213" t="s">
        <v>436</v>
      </c>
      <c r="C213" t="s">
        <v>12</v>
      </c>
      <c r="D213">
        <v>65</v>
      </c>
      <c r="E213" t="s">
        <v>13</v>
      </c>
      <c r="F213" s="1">
        <v>45372</v>
      </c>
      <c r="G213" t="s">
        <v>437</v>
      </c>
    </row>
    <row r="214" spans="1:7" x14ac:dyDescent="0.25">
      <c r="A214">
        <v>213</v>
      </c>
      <c r="B214" t="s">
        <v>438</v>
      </c>
      <c r="C214" t="s">
        <v>12</v>
      </c>
      <c r="D214">
        <v>38</v>
      </c>
      <c r="E214" t="s">
        <v>13</v>
      </c>
      <c r="F214" s="1">
        <v>44159</v>
      </c>
      <c r="G214" t="s">
        <v>439</v>
      </c>
    </row>
    <row r="215" spans="1:7" x14ac:dyDescent="0.25">
      <c r="A215">
        <v>214</v>
      </c>
      <c r="B215" t="s">
        <v>440</v>
      </c>
      <c r="C215" t="s">
        <v>12</v>
      </c>
      <c r="D215">
        <v>66</v>
      </c>
      <c r="E215" t="s">
        <v>13</v>
      </c>
      <c r="F215" s="1">
        <v>44185</v>
      </c>
      <c r="G215" t="s">
        <v>441</v>
      </c>
    </row>
    <row r="216" spans="1:7" x14ac:dyDescent="0.25">
      <c r="A216">
        <v>215</v>
      </c>
      <c r="B216" t="s">
        <v>442</v>
      </c>
      <c r="C216" t="s">
        <v>28</v>
      </c>
      <c r="D216">
        <v>49</v>
      </c>
      <c r="E216" t="s">
        <v>9</v>
      </c>
      <c r="F216" s="1">
        <v>45487</v>
      </c>
      <c r="G216" t="s">
        <v>443</v>
      </c>
    </row>
    <row r="217" spans="1:7" x14ac:dyDescent="0.25">
      <c r="A217">
        <v>216</v>
      </c>
      <c r="B217" t="s">
        <v>444</v>
      </c>
      <c r="C217" t="s">
        <v>18</v>
      </c>
      <c r="D217">
        <v>48</v>
      </c>
      <c r="E217" t="s">
        <v>13</v>
      </c>
      <c r="F217" s="1">
        <v>44695</v>
      </c>
      <c r="G217" t="s">
        <v>445</v>
      </c>
    </row>
    <row r="218" spans="1:7" x14ac:dyDescent="0.25">
      <c r="A218">
        <v>217</v>
      </c>
      <c r="B218" t="s">
        <v>446</v>
      </c>
      <c r="C218" t="s">
        <v>28</v>
      </c>
      <c r="D218">
        <v>39</v>
      </c>
      <c r="E218" t="s">
        <v>13</v>
      </c>
      <c r="F218" s="1">
        <v>45028</v>
      </c>
      <c r="G218" t="s">
        <v>447</v>
      </c>
    </row>
    <row r="219" spans="1:7" x14ac:dyDescent="0.25">
      <c r="A219">
        <v>218</v>
      </c>
      <c r="B219" t="s">
        <v>448</v>
      </c>
      <c r="C219" t="s">
        <v>18</v>
      </c>
      <c r="D219">
        <v>32</v>
      </c>
      <c r="E219" t="s">
        <v>9</v>
      </c>
      <c r="F219" s="1">
        <v>44605</v>
      </c>
      <c r="G219" t="s">
        <v>449</v>
      </c>
    </row>
    <row r="220" spans="1:7" x14ac:dyDescent="0.25">
      <c r="A220">
        <v>219</v>
      </c>
      <c r="B220" t="s">
        <v>450</v>
      </c>
      <c r="C220" t="s">
        <v>28</v>
      </c>
      <c r="D220">
        <v>36</v>
      </c>
      <c r="E220" t="s">
        <v>13</v>
      </c>
      <c r="F220" s="1">
        <v>44100</v>
      </c>
      <c r="G220" t="s">
        <v>451</v>
      </c>
    </row>
    <row r="221" spans="1:7" x14ac:dyDescent="0.25">
      <c r="A221">
        <v>220</v>
      </c>
      <c r="B221" t="s">
        <v>452</v>
      </c>
      <c r="C221" t="s">
        <v>21</v>
      </c>
      <c r="D221">
        <v>63</v>
      </c>
      <c r="E221" t="s">
        <v>13</v>
      </c>
      <c r="F221" s="1">
        <v>45563</v>
      </c>
      <c r="G221" t="s">
        <v>453</v>
      </c>
    </row>
    <row r="222" spans="1:7" x14ac:dyDescent="0.25">
      <c r="A222">
        <v>221</v>
      </c>
      <c r="B222" t="s">
        <v>454</v>
      </c>
      <c r="C222" t="s">
        <v>8</v>
      </c>
      <c r="D222">
        <v>53</v>
      </c>
      <c r="E222" t="s">
        <v>9</v>
      </c>
      <c r="F222" s="1">
        <v>44455</v>
      </c>
      <c r="G222" t="s">
        <v>455</v>
      </c>
    </row>
    <row r="223" spans="1:7" x14ac:dyDescent="0.25">
      <c r="A223">
        <v>222</v>
      </c>
      <c r="B223" t="s">
        <v>456</v>
      </c>
      <c r="C223" t="s">
        <v>21</v>
      </c>
      <c r="D223">
        <v>68</v>
      </c>
      <c r="E223" t="s">
        <v>9</v>
      </c>
      <c r="F223" s="1">
        <v>43923</v>
      </c>
      <c r="G223" t="s">
        <v>457</v>
      </c>
    </row>
    <row r="224" spans="1:7" x14ac:dyDescent="0.25">
      <c r="A224">
        <v>223</v>
      </c>
      <c r="B224" t="s">
        <v>458</v>
      </c>
      <c r="C224" t="s">
        <v>28</v>
      </c>
      <c r="D224">
        <v>59</v>
      </c>
      <c r="E224" t="s">
        <v>9</v>
      </c>
      <c r="F224" s="1">
        <v>43851</v>
      </c>
      <c r="G224" t="s">
        <v>459</v>
      </c>
    </row>
    <row r="225" spans="1:7" x14ac:dyDescent="0.25">
      <c r="A225">
        <v>224</v>
      </c>
      <c r="B225" t="s">
        <v>460</v>
      </c>
      <c r="C225" t="s">
        <v>18</v>
      </c>
      <c r="D225">
        <v>52</v>
      </c>
      <c r="E225" t="s">
        <v>13</v>
      </c>
      <c r="F225" s="1">
        <v>45200</v>
      </c>
      <c r="G225" t="s">
        <v>461</v>
      </c>
    </row>
    <row r="226" spans="1:7" x14ac:dyDescent="0.25">
      <c r="A226">
        <v>225</v>
      </c>
      <c r="B226" t="s">
        <v>462</v>
      </c>
      <c r="C226" t="s">
        <v>18</v>
      </c>
      <c r="D226">
        <v>66</v>
      </c>
      <c r="E226" t="s">
        <v>13</v>
      </c>
      <c r="F226" s="1">
        <v>44558</v>
      </c>
      <c r="G226" t="s">
        <v>463</v>
      </c>
    </row>
    <row r="227" spans="1:7" x14ac:dyDescent="0.25">
      <c r="A227">
        <v>226</v>
      </c>
      <c r="B227" t="s">
        <v>464</v>
      </c>
      <c r="C227" t="s">
        <v>21</v>
      </c>
      <c r="D227">
        <v>34</v>
      </c>
      <c r="E227" t="s">
        <v>13</v>
      </c>
      <c r="F227" s="1">
        <v>45399</v>
      </c>
      <c r="G227" t="s">
        <v>465</v>
      </c>
    </row>
    <row r="228" spans="1:7" x14ac:dyDescent="0.25">
      <c r="A228">
        <v>227</v>
      </c>
      <c r="B228" t="s">
        <v>466</v>
      </c>
      <c r="C228" t="s">
        <v>12</v>
      </c>
      <c r="D228">
        <v>19</v>
      </c>
      <c r="E228" t="s">
        <v>9</v>
      </c>
      <c r="F228" s="1">
        <v>44334</v>
      </c>
      <c r="G228" t="s">
        <v>467</v>
      </c>
    </row>
    <row r="229" spans="1:7" x14ac:dyDescent="0.25">
      <c r="A229">
        <v>228</v>
      </c>
      <c r="B229" t="s">
        <v>468</v>
      </c>
      <c r="C229" t="s">
        <v>12</v>
      </c>
      <c r="D229">
        <v>59</v>
      </c>
      <c r="E229" t="s">
        <v>13</v>
      </c>
      <c r="F229" s="1">
        <v>44719</v>
      </c>
      <c r="G229" t="s">
        <v>469</v>
      </c>
    </row>
    <row r="230" spans="1:7" x14ac:dyDescent="0.25">
      <c r="A230">
        <v>229</v>
      </c>
      <c r="B230" t="s">
        <v>470</v>
      </c>
      <c r="C230" t="s">
        <v>12</v>
      </c>
      <c r="D230">
        <v>63</v>
      </c>
      <c r="E230" t="s">
        <v>13</v>
      </c>
      <c r="F230" s="1">
        <v>43977</v>
      </c>
      <c r="G230" t="s">
        <v>471</v>
      </c>
    </row>
    <row r="231" spans="1:7" x14ac:dyDescent="0.25">
      <c r="A231">
        <v>230</v>
      </c>
      <c r="B231" t="s">
        <v>472</v>
      </c>
      <c r="C231" t="s">
        <v>28</v>
      </c>
      <c r="D231">
        <v>29</v>
      </c>
      <c r="E231" t="s">
        <v>9</v>
      </c>
      <c r="F231" s="1">
        <v>44042</v>
      </c>
      <c r="G231" t="s">
        <v>473</v>
      </c>
    </row>
    <row r="232" spans="1:7" x14ac:dyDescent="0.25">
      <c r="A232">
        <v>231</v>
      </c>
      <c r="B232" t="s">
        <v>474</v>
      </c>
      <c r="C232" t="s">
        <v>8</v>
      </c>
      <c r="D232">
        <v>53</v>
      </c>
      <c r="E232" t="s">
        <v>9</v>
      </c>
      <c r="F232" s="1">
        <v>45376</v>
      </c>
      <c r="G232" t="s">
        <v>475</v>
      </c>
    </row>
    <row r="233" spans="1:7" x14ac:dyDescent="0.25">
      <c r="A233">
        <v>232</v>
      </c>
      <c r="B233" t="s">
        <v>476</v>
      </c>
      <c r="C233" t="s">
        <v>12</v>
      </c>
      <c r="D233">
        <v>67</v>
      </c>
      <c r="E233" t="s">
        <v>13</v>
      </c>
      <c r="F233" s="1">
        <v>44576</v>
      </c>
      <c r="G233" t="s">
        <v>477</v>
      </c>
    </row>
    <row r="234" spans="1:7" x14ac:dyDescent="0.25">
      <c r="A234">
        <v>233</v>
      </c>
      <c r="B234" t="s">
        <v>478</v>
      </c>
      <c r="C234" t="s">
        <v>21</v>
      </c>
      <c r="D234">
        <v>56</v>
      </c>
      <c r="E234" t="s">
        <v>9</v>
      </c>
      <c r="F234" s="1">
        <v>43900</v>
      </c>
      <c r="G234" t="s">
        <v>479</v>
      </c>
    </row>
    <row r="235" spans="1:7" x14ac:dyDescent="0.25">
      <c r="A235">
        <v>234</v>
      </c>
      <c r="B235" t="s">
        <v>480</v>
      </c>
      <c r="C235" t="s">
        <v>21</v>
      </c>
      <c r="D235">
        <v>34</v>
      </c>
      <c r="E235" t="s">
        <v>13</v>
      </c>
      <c r="F235" s="1">
        <v>44194</v>
      </c>
      <c r="G235" t="s">
        <v>481</v>
      </c>
    </row>
    <row r="236" spans="1:7" x14ac:dyDescent="0.25">
      <c r="A236">
        <v>235</v>
      </c>
      <c r="B236" t="s">
        <v>482</v>
      </c>
      <c r="C236" t="s">
        <v>21</v>
      </c>
      <c r="D236">
        <v>21</v>
      </c>
      <c r="E236" t="s">
        <v>9</v>
      </c>
      <c r="F236" s="1">
        <v>44107</v>
      </c>
      <c r="G236" t="s">
        <v>483</v>
      </c>
    </row>
    <row r="237" spans="1:7" x14ac:dyDescent="0.25">
      <c r="A237">
        <v>236</v>
      </c>
      <c r="B237" t="s">
        <v>484</v>
      </c>
      <c r="C237" t="s">
        <v>12</v>
      </c>
      <c r="D237">
        <v>38</v>
      </c>
      <c r="E237" t="s">
        <v>9</v>
      </c>
      <c r="F237" s="1">
        <v>45551</v>
      </c>
      <c r="G237" t="s">
        <v>485</v>
      </c>
    </row>
    <row r="238" spans="1:7" x14ac:dyDescent="0.25">
      <c r="A238">
        <v>237</v>
      </c>
      <c r="B238" t="s">
        <v>486</v>
      </c>
      <c r="C238" t="s">
        <v>8</v>
      </c>
      <c r="D238">
        <v>33</v>
      </c>
      <c r="E238" t="s">
        <v>13</v>
      </c>
      <c r="F238" s="1">
        <v>44011</v>
      </c>
      <c r="G238" t="s">
        <v>487</v>
      </c>
    </row>
    <row r="239" spans="1:7" x14ac:dyDescent="0.25">
      <c r="A239">
        <v>238</v>
      </c>
      <c r="B239" t="s">
        <v>488</v>
      </c>
      <c r="C239" t="s">
        <v>28</v>
      </c>
      <c r="D239">
        <v>23</v>
      </c>
      <c r="E239" t="s">
        <v>9</v>
      </c>
      <c r="F239" s="1">
        <v>43999</v>
      </c>
      <c r="G239" t="s">
        <v>489</v>
      </c>
    </row>
    <row r="240" spans="1:7" x14ac:dyDescent="0.25">
      <c r="A240">
        <v>239</v>
      </c>
      <c r="B240" t="s">
        <v>490</v>
      </c>
      <c r="C240" t="s">
        <v>28</v>
      </c>
      <c r="D240">
        <v>37</v>
      </c>
      <c r="E240" t="s">
        <v>9</v>
      </c>
      <c r="F240" s="1">
        <v>45179</v>
      </c>
      <c r="G240" t="s">
        <v>491</v>
      </c>
    </row>
    <row r="241" spans="1:7" x14ac:dyDescent="0.25">
      <c r="A241">
        <v>240</v>
      </c>
      <c r="B241" t="s">
        <v>492</v>
      </c>
      <c r="C241" t="s">
        <v>21</v>
      </c>
      <c r="D241">
        <v>55</v>
      </c>
      <c r="E241" t="s">
        <v>13</v>
      </c>
      <c r="F241" s="1">
        <v>44633</v>
      </c>
      <c r="G241" t="s">
        <v>493</v>
      </c>
    </row>
    <row r="242" spans="1:7" x14ac:dyDescent="0.25">
      <c r="A242">
        <v>241</v>
      </c>
      <c r="B242" t="s">
        <v>494</v>
      </c>
      <c r="C242" t="s">
        <v>21</v>
      </c>
      <c r="D242">
        <v>21</v>
      </c>
      <c r="E242" t="s">
        <v>9</v>
      </c>
      <c r="F242" s="1">
        <v>45397</v>
      </c>
      <c r="G242" t="s">
        <v>495</v>
      </c>
    </row>
    <row r="243" spans="1:7" x14ac:dyDescent="0.25">
      <c r="A243">
        <v>242</v>
      </c>
      <c r="B243" t="s">
        <v>496</v>
      </c>
      <c r="C243" t="s">
        <v>28</v>
      </c>
      <c r="D243">
        <v>64</v>
      </c>
      <c r="E243" t="s">
        <v>9</v>
      </c>
      <c r="F243" s="1">
        <v>44334</v>
      </c>
      <c r="G243" t="s">
        <v>497</v>
      </c>
    </row>
    <row r="244" spans="1:7" x14ac:dyDescent="0.25">
      <c r="A244">
        <v>243</v>
      </c>
      <c r="B244" t="s">
        <v>498</v>
      </c>
      <c r="C244" t="s">
        <v>21</v>
      </c>
      <c r="D244">
        <v>46</v>
      </c>
      <c r="E244" t="s">
        <v>9</v>
      </c>
      <c r="F244" s="1">
        <v>43856</v>
      </c>
      <c r="G244" t="s">
        <v>499</v>
      </c>
    </row>
    <row r="245" spans="1:7" x14ac:dyDescent="0.25">
      <c r="A245">
        <v>244</v>
      </c>
      <c r="B245" t="s">
        <v>500</v>
      </c>
      <c r="C245" t="s">
        <v>8</v>
      </c>
      <c r="D245">
        <v>63</v>
      </c>
      <c r="E245" t="s">
        <v>13</v>
      </c>
      <c r="F245" s="1">
        <v>45352</v>
      </c>
      <c r="G245" t="s">
        <v>501</v>
      </c>
    </row>
    <row r="246" spans="1:7" x14ac:dyDescent="0.25">
      <c r="A246">
        <v>245</v>
      </c>
      <c r="B246" t="s">
        <v>502</v>
      </c>
      <c r="C246" t="s">
        <v>8</v>
      </c>
      <c r="D246">
        <v>66</v>
      </c>
      <c r="E246" t="s">
        <v>13</v>
      </c>
      <c r="F246" s="1">
        <v>45393</v>
      </c>
      <c r="G246" t="s">
        <v>503</v>
      </c>
    </row>
    <row r="247" spans="1:7" x14ac:dyDescent="0.25">
      <c r="A247">
        <v>246</v>
      </c>
      <c r="B247" t="s">
        <v>504</v>
      </c>
      <c r="C247" t="s">
        <v>28</v>
      </c>
      <c r="D247">
        <v>45</v>
      </c>
      <c r="E247" t="s">
        <v>9</v>
      </c>
      <c r="F247" s="1">
        <v>44044</v>
      </c>
      <c r="G247" t="s">
        <v>505</v>
      </c>
    </row>
    <row r="248" spans="1:7" x14ac:dyDescent="0.25">
      <c r="A248">
        <v>247</v>
      </c>
      <c r="B248" t="s">
        <v>506</v>
      </c>
      <c r="C248" t="s">
        <v>12</v>
      </c>
      <c r="D248">
        <v>65</v>
      </c>
      <c r="E248" t="s">
        <v>9</v>
      </c>
      <c r="F248" s="1">
        <v>44521</v>
      </c>
      <c r="G248" t="s">
        <v>507</v>
      </c>
    </row>
    <row r="249" spans="1:7" x14ac:dyDescent="0.25">
      <c r="A249">
        <v>248</v>
      </c>
      <c r="B249" t="s">
        <v>508</v>
      </c>
      <c r="C249" t="s">
        <v>21</v>
      </c>
      <c r="D249">
        <v>52</v>
      </c>
      <c r="E249" t="s">
        <v>9</v>
      </c>
      <c r="F249" s="1">
        <v>45150</v>
      </c>
      <c r="G249" t="s">
        <v>509</v>
      </c>
    </row>
    <row r="250" spans="1:7" x14ac:dyDescent="0.25">
      <c r="A250">
        <v>249</v>
      </c>
      <c r="B250" t="s">
        <v>510</v>
      </c>
      <c r="C250" t="s">
        <v>18</v>
      </c>
      <c r="D250">
        <v>56</v>
      </c>
      <c r="E250" t="s">
        <v>9</v>
      </c>
      <c r="F250" s="1">
        <v>44348</v>
      </c>
      <c r="G250" t="s">
        <v>511</v>
      </c>
    </row>
    <row r="251" spans="1:7" x14ac:dyDescent="0.25">
      <c r="A251">
        <v>250</v>
      </c>
      <c r="B251" t="s">
        <v>512</v>
      </c>
      <c r="C251" t="s">
        <v>8</v>
      </c>
      <c r="D251">
        <v>23</v>
      </c>
      <c r="E251" t="s">
        <v>9</v>
      </c>
      <c r="F251" s="1">
        <v>44972</v>
      </c>
      <c r="G251" t="s">
        <v>513</v>
      </c>
    </row>
    <row r="252" spans="1:7" x14ac:dyDescent="0.25">
      <c r="A252">
        <v>251</v>
      </c>
      <c r="B252" t="s">
        <v>514</v>
      </c>
      <c r="C252" t="s">
        <v>28</v>
      </c>
      <c r="D252">
        <v>47</v>
      </c>
      <c r="E252" t="s">
        <v>9</v>
      </c>
      <c r="F252" s="1">
        <v>44482</v>
      </c>
      <c r="G252" t="s">
        <v>515</v>
      </c>
    </row>
    <row r="253" spans="1:7" x14ac:dyDescent="0.25">
      <c r="A253">
        <v>252</v>
      </c>
      <c r="B253" t="s">
        <v>516</v>
      </c>
      <c r="C253" t="s">
        <v>28</v>
      </c>
      <c r="D253">
        <v>36</v>
      </c>
      <c r="E253" t="s">
        <v>13</v>
      </c>
      <c r="F253" s="1">
        <v>45532</v>
      </c>
      <c r="G253" t="s">
        <v>517</v>
      </c>
    </row>
    <row r="254" spans="1:7" x14ac:dyDescent="0.25">
      <c r="A254">
        <v>253</v>
      </c>
      <c r="B254" t="s">
        <v>518</v>
      </c>
      <c r="C254" t="s">
        <v>28</v>
      </c>
      <c r="D254">
        <v>48</v>
      </c>
      <c r="E254" t="s">
        <v>13</v>
      </c>
      <c r="F254" s="1">
        <v>45078</v>
      </c>
      <c r="G254" t="s">
        <v>519</v>
      </c>
    </row>
    <row r="255" spans="1:7" x14ac:dyDescent="0.25">
      <c r="A255">
        <v>254</v>
      </c>
      <c r="B255" t="s">
        <v>520</v>
      </c>
      <c r="C255" t="s">
        <v>18</v>
      </c>
      <c r="D255">
        <v>51</v>
      </c>
      <c r="E255" t="s">
        <v>13</v>
      </c>
      <c r="F255" s="1">
        <v>44348</v>
      </c>
      <c r="G255" t="s">
        <v>521</v>
      </c>
    </row>
    <row r="256" spans="1:7" x14ac:dyDescent="0.25">
      <c r="A256">
        <v>255</v>
      </c>
      <c r="B256" t="s">
        <v>522</v>
      </c>
      <c r="C256" t="s">
        <v>18</v>
      </c>
      <c r="D256">
        <v>25</v>
      </c>
      <c r="E256" t="s">
        <v>9</v>
      </c>
      <c r="F256" s="1">
        <v>44413</v>
      </c>
      <c r="G256" t="s">
        <v>523</v>
      </c>
    </row>
    <row r="257" spans="1:7" x14ac:dyDescent="0.25">
      <c r="A257">
        <v>256</v>
      </c>
      <c r="B257" t="s">
        <v>524</v>
      </c>
      <c r="C257" t="s">
        <v>8</v>
      </c>
      <c r="D257">
        <v>22</v>
      </c>
      <c r="E257" t="s">
        <v>9</v>
      </c>
      <c r="F257" s="1">
        <v>44573</v>
      </c>
      <c r="G257" t="s">
        <v>525</v>
      </c>
    </row>
    <row r="258" spans="1:7" x14ac:dyDescent="0.25">
      <c r="A258">
        <v>257</v>
      </c>
      <c r="B258" t="s">
        <v>526</v>
      </c>
      <c r="C258" t="s">
        <v>18</v>
      </c>
      <c r="D258">
        <v>58</v>
      </c>
      <c r="E258" t="s">
        <v>9</v>
      </c>
      <c r="F258" s="1">
        <v>44728</v>
      </c>
      <c r="G258" t="s">
        <v>527</v>
      </c>
    </row>
    <row r="259" spans="1:7" x14ac:dyDescent="0.25">
      <c r="A259">
        <v>258</v>
      </c>
      <c r="B259" t="s">
        <v>528</v>
      </c>
      <c r="C259" t="s">
        <v>28</v>
      </c>
      <c r="D259">
        <v>51</v>
      </c>
      <c r="E259" t="s">
        <v>13</v>
      </c>
      <c r="F259" s="1">
        <v>44949</v>
      </c>
      <c r="G259" t="s">
        <v>529</v>
      </c>
    </row>
    <row r="260" spans="1:7" x14ac:dyDescent="0.25">
      <c r="A260">
        <v>259</v>
      </c>
      <c r="B260" t="s">
        <v>530</v>
      </c>
      <c r="C260" t="s">
        <v>21</v>
      </c>
      <c r="D260">
        <v>67</v>
      </c>
      <c r="E260" t="s">
        <v>13</v>
      </c>
      <c r="F260" s="1">
        <v>45009</v>
      </c>
      <c r="G260" t="s">
        <v>531</v>
      </c>
    </row>
    <row r="261" spans="1:7" x14ac:dyDescent="0.25">
      <c r="A261">
        <v>260</v>
      </c>
      <c r="B261" t="s">
        <v>532</v>
      </c>
      <c r="C261" t="s">
        <v>28</v>
      </c>
      <c r="D261">
        <v>39</v>
      </c>
      <c r="E261" t="s">
        <v>9</v>
      </c>
      <c r="F261" s="1">
        <v>44252</v>
      </c>
      <c r="G261" t="s">
        <v>533</v>
      </c>
    </row>
    <row r="262" spans="1:7" x14ac:dyDescent="0.25">
      <c r="A262">
        <v>261</v>
      </c>
      <c r="B262" t="s">
        <v>534</v>
      </c>
      <c r="C262" t="s">
        <v>18</v>
      </c>
      <c r="D262">
        <v>30</v>
      </c>
      <c r="E262" t="s">
        <v>9</v>
      </c>
      <c r="F262" s="1">
        <v>44207</v>
      </c>
      <c r="G262" t="s">
        <v>535</v>
      </c>
    </row>
    <row r="263" spans="1:7" x14ac:dyDescent="0.25">
      <c r="A263">
        <v>262</v>
      </c>
      <c r="B263" t="s">
        <v>536</v>
      </c>
      <c r="C263" t="s">
        <v>28</v>
      </c>
      <c r="D263">
        <v>36</v>
      </c>
      <c r="E263" t="s">
        <v>9</v>
      </c>
      <c r="F263" s="1">
        <v>44748</v>
      </c>
      <c r="G263" t="s">
        <v>537</v>
      </c>
    </row>
    <row r="264" spans="1:7" x14ac:dyDescent="0.25">
      <c r="A264">
        <v>263</v>
      </c>
      <c r="B264" t="s">
        <v>538</v>
      </c>
      <c r="C264" t="s">
        <v>12</v>
      </c>
      <c r="D264">
        <v>25</v>
      </c>
      <c r="E264" t="s">
        <v>9</v>
      </c>
      <c r="F264" s="1">
        <v>44650</v>
      </c>
      <c r="G264" t="s">
        <v>539</v>
      </c>
    </row>
    <row r="265" spans="1:7" x14ac:dyDescent="0.25">
      <c r="A265">
        <v>264</v>
      </c>
      <c r="B265" t="s">
        <v>540</v>
      </c>
      <c r="C265" t="s">
        <v>21</v>
      </c>
      <c r="D265">
        <v>48</v>
      </c>
      <c r="E265" t="s">
        <v>13</v>
      </c>
      <c r="F265" s="1">
        <v>45010</v>
      </c>
      <c r="G265" t="s">
        <v>541</v>
      </c>
    </row>
    <row r="266" spans="1:7" x14ac:dyDescent="0.25">
      <c r="A266">
        <v>265</v>
      </c>
      <c r="B266" t="s">
        <v>542</v>
      </c>
      <c r="C266" t="s">
        <v>8</v>
      </c>
      <c r="D266">
        <v>21</v>
      </c>
      <c r="E266" t="s">
        <v>9</v>
      </c>
      <c r="F266" s="1">
        <v>44229</v>
      </c>
      <c r="G266" t="s">
        <v>543</v>
      </c>
    </row>
    <row r="267" spans="1:7" x14ac:dyDescent="0.25">
      <c r="A267">
        <v>266</v>
      </c>
      <c r="B267" t="s">
        <v>544</v>
      </c>
      <c r="C267" t="s">
        <v>12</v>
      </c>
      <c r="D267">
        <v>62</v>
      </c>
      <c r="E267" t="s">
        <v>9</v>
      </c>
      <c r="F267" s="1">
        <v>45435</v>
      </c>
      <c r="G267" t="s">
        <v>545</v>
      </c>
    </row>
    <row r="268" spans="1:7" x14ac:dyDescent="0.25">
      <c r="A268">
        <v>267</v>
      </c>
      <c r="B268" t="s">
        <v>546</v>
      </c>
      <c r="C268" t="s">
        <v>12</v>
      </c>
      <c r="D268">
        <v>57</v>
      </c>
      <c r="E268" t="s">
        <v>13</v>
      </c>
      <c r="F268" s="1">
        <v>45514</v>
      </c>
      <c r="G268" t="s">
        <v>547</v>
      </c>
    </row>
    <row r="269" spans="1:7" x14ac:dyDescent="0.25">
      <c r="A269">
        <v>268</v>
      </c>
      <c r="B269" t="s">
        <v>548</v>
      </c>
      <c r="C269" t="s">
        <v>18</v>
      </c>
      <c r="D269">
        <v>30</v>
      </c>
      <c r="E269" t="s">
        <v>13</v>
      </c>
      <c r="F269" s="1">
        <v>44863</v>
      </c>
      <c r="G269" t="s">
        <v>549</v>
      </c>
    </row>
    <row r="270" spans="1:7" x14ac:dyDescent="0.25">
      <c r="A270">
        <v>269</v>
      </c>
      <c r="B270" t="s">
        <v>550</v>
      </c>
      <c r="C270" t="s">
        <v>28</v>
      </c>
      <c r="D270">
        <v>19</v>
      </c>
      <c r="E270" t="s">
        <v>9</v>
      </c>
      <c r="F270" s="1">
        <v>45042</v>
      </c>
      <c r="G270" t="s">
        <v>551</v>
      </c>
    </row>
    <row r="271" spans="1:7" x14ac:dyDescent="0.25">
      <c r="A271">
        <v>270</v>
      </c>
      <c r="B271" t="s">
        <v>552</v>
      </c>
      <c r="C271" t="s">
        <v>28</v>
      </c>
      <c r="D271">
        <v>18</v>
      </c>
      <c r="E271" t="s">
        <v>13</v>
      </c>
      <c r="F271" s="1">
        <v>45152</v>
      </c>
      <c r="G271" t="s">
        <v>553</v>
      </c>
    </row>
    <row r="272" spans="1:7" x14ac:dyDescent="0.25">
      <c r="A272">
        <v>271</v>
      </c>
      <c r="B272" t="s">
        <v>554</v>
      </c>
      <c r="C272" t="s">
        <v>8</v>
      </c>
      <c r="D272">
        <v>37</v>
      </c>
      <c r="E272" t="s">
        <v>13</v>
      </c>
      <c r="F272" s="1">
        <v>44064</v>
      </c>
      <c r="G272" t="s">
        <v>555</v>
      </c>
    </row>
    <row r="273" spans="1:7" x14ac:dyDescent="0.25">
      <c r="A273">
        <v>272</v>
      </c>
      <c r="B273" t="s">
        <v>556</v>
      </c>
      <c r="C273" t="s">
        <v>8</v>
      </c>
      <c r="D273">
        <v>60</v>
      </c>
      <c r="E273" t="s">
        <v>13</v>
      </c>
      <c r="F273" s="1">
        <v>43996</v>
      </c>
      <c r="G273" t="s">
        <v>557</v>
      </c>
    </row>
    <row r="274" spans="1:7" x14ac:dyDescent="0.25">
      <c r="A274">
        <v>273</v>
      </c>
      <c r="B274" t="s">
        <v>558</v>
      </c>
      <c r="C274" t="s">
        <v>28</v>
      </c>
      <c r="D274">
        <v>69</v>
      </c>
      <c r="E274" t="s">
        <v>13</v>
      </c>
      <c r="F274" s="1">
        <v>43916</v>
      </c>
      <c r="G274" t="s">
        <v>559</v>
      </c>
    </row>
    <row r="275" spans="1:7" x14ac:dyDescent="0.25">
      <c r="A275">
        <v>274</v>
      </c>
      <c r="B275" t="s">
        <v>560</v>
      </c>
      <c r="C275" t="s">
        <v>8</v>
      </c>
      <c r="D275">
        <v>66</v>
      </c>
      <c r="E275" t="s">
        <v>9</v>
      </c>
      <c r="F275" s="1">
        <v>44944</v>
      </c>
      <c r="G275" t="s">
        <v>561</v>
      </c>
    </row>
    <row r="276" spans="1:7" x14ac:dyDescent="0.25">
      <c r="A276">
        <v>275</v>
      </c>
      <c r="B276" t="s">
        <v>562</v>
      </c>
      <c r="C276" t="s">
        <v>18</v>
      </c>
      <c r="D276">
        <v>56</v>
      </c>
      <c r="E276" t="s">
        <v>9</v>
      </c>
      <c r="F276" s="1">
        <v>44446</v>
      </c>
      <c r="G276" t="s">
        <v>563</v>
      </c>
    </row>
    <row r="277" spans="1:7" x14ac:dyDescent="0.25">
      <c r="A277">
        <v>276</v>
      </c>
      <c r="B277" t="s">
        <v>564</v>
      </c>
      <c r="C277" t="s">
        <v>12</v>
      </c>
      <c r="D277">
        <v>47</v>
      </c>
      <c r="E277" t="s">
        <v>9</v>
      </c>
      <c r="F277" s="1">
        <v>45208</v>
      </c>
      <c r="G277" t="s">
        <v>565</v>
      </c>
    </row>
    <row r="278" spans="1:7" x14ac:dyDescent="0.25">
      <c r="A278">
        <v>277</v>
      </c>
      <c r="B278" t="s">
        <v>566</v>
      </c>
      <c r="C278" t="s">
        <v>21</v>
      </c>
      <c r="D278">
        <v>65</v>
      </c>
      <c r="E278" t="s">
        <v>13</v>
      </c>
      <c r="F278" s="1">
        <v>44475</v>
      </c>
      <c r="G278" t="s">
        <v>567</v>
      </c>
    </row>
    <row r="279" spans="1:7" x14ac:dyDescent="0.25">
      <c r="A279">
        <v>278</v>
      </c>
      <c r="B279" t="s">
        <v>568</v>
      </c>
      <c r="C279" t="s">
        <v>12</v>
      </c>
      <c r="D279">
        <v>43</v>
      </c>
      <c r="E279" t="s">
        <v>13</v>
      </c>
      <c r="F279" s="1">
        <v>44682</v>
      </c>
      <c r="G279" t="s">
        <v>569</v>
      </c>
    </row>
    <row r="280" spans="1:7" x14ac:dyDescent="0.25">
      <c r="A280">
        <v>279</v>
      </c>
      <c r="B280" t="s">
        <v>570</v>
      </c>
      <c r="C280" t="s">
        <v>21</v>
      </c>
      <c r="D280">
        <v>56</v>
      </c>
      <c r="E280" t="s">
        <v>9</v>
      </c>
      <c r="F280" s="1">
        <v>45165</v>
      </c>
      <c r="G280" t="s">
        <v>571</v>
      </c>
    </row>
    <row r="281" spans="1:7" x14ac:dyDescent="0.25">
      <c r="A281">
        <v>280</v>
      </c>
      <c r="B281" t="s">
        <v>572</v>
      </c>
      <c r="C281" t="s">
        <v>8</v>
      </c>
      <c r="D281">
        <v>67</v>
      </c>
      <c r="E281" t="s">
        <v>9</v>
      </c>
      <c r="F281" s="1">
        <v>44647</v>
      </c>
      <c r="G281" t="s">
        <v>573</v>
      </c>
    </row>
    <row r="282" spans="1:7" x14ac:dyDescent="0.25">
      <c r="A282">
        <v>281</v>
      </c>
      <c r="B282" t="s">
        <v>574</v>
      </c>
      <c r="C282" t="s">
        <v>21</v>
      </c>
      <c r="D282">
        <v>43</v>
      </c>
      <c r="E282" t="s">
        <v>9</v>
      </c>
      <c r="F282" s="1">
        <v>45039</v>
      </c>
      <c r="G282" t="s">
        <v>575</v>
      </c>
    </row>
    <row r="283" spans="1:7" x14ac:dyDescent="0.25">
      <c r="A283">
        <v>282</v>
      </c>
      <c r="B283" t="s">
        <v>576</v>
      </c>
      <c r="C283" t="s">
        <v>18</v>
      </c>
      <c r="D283">
        <v>51</v>
      </c>
      <c r="E283" t="s">
        <v>9</v>
      </c>
      <c r="F283" s="1">
        <v>44694</v>
      </c>
      <c r="G283" t="s">
        <v>577</v>
      </c>
    </row>
    <row r="284" spans="1:7" x14ac:dyDescent="0.25">
      <c r="A284">
        <v>283</v>
      </c>
      <c r="B284" t="s">
        <v>578</v>
      </c>
      <c r="C284" t="s">
        <v>12</v>
      </c>
      <c r="D284">
        <v>25</v>
      </c>
      <c r="E284" t="s">
        <v>13</v>
      </c>
      <c r="F284" s="1">
        <v>44324</v>
      </c>
      <c r="G284" t="s">
        <v>579</v>
      </c>
    </row>
    <row r="285" spans="1:7" x14ac:dyDescent="0.25">
      <c r="A285">
        <v>284</v>
      </c>
      <c r="B285" t="s">
        <v>580</v>
      </c>
      <c r="C285" t="s">
        <v>18</v>
      </c>
      <c r="D285">
        <v>22</v>
      </c>
      <c r="E285" t="s">
        <v>9</v>
      </c>
      <c r="F285" s="1">
        <v>45347</v>
      </c>
      <c r="G285" t="s">
        <v>581</v>
      </c>
    </row>
    <row r="286" spans="1:7" x14ac:dyDescent="0.25">
      <c r="A286">
        <v>285</v>
      </c>
      <c r="B286" t="s">
        <v>582</v>
      </c>
      <c r="C286" t="s">
        <v>12</v>
      </c>
      <c r="D286">
        <v>50</v>
      </c>
      <c r="E286" t="s">
        <v>9</v>
      </c>
      <c r="F286" s="1">
        <v>45490</v>
      </c>
      <c r="G286" t="s">
        <v>583</v>
      </c>
    </row>
    <row r="287" spans="1:7" x14ac:dyDescent="0.25">
      <c r="A287">
        <v>286</v>
      </c>
      <c r="B287" t="s">
        <v>584</v>
      </c>
      <c r="C287" t="s">
        <v>12</v>
      </c>
      <c r="D287">
        <v>33</v>
      </c>
      <c r="E287" t="s">
        <v>9</v>
      </c>
      <c r="F287" s="1">
        <v>44861</v>
      </c>
      <c r="G287" t="s">
        <v>585</v>
      </c>
    </row>
    <row r="288" spans="1:7" x14ac:dyDescent="0.25">
      <c r="A288">
        <v>287</v>
      </c>
      <c r="B288" t="s">
        <v>586</v>
      </c>
      <c r="C288" t="s">
        <v>28</v>
      </c>
      <c r="D288">
        <v>53</v>
      </c>
      <c r="E288" t="s">
        <v>9</v>
      </c>
      <c r="F288" s="1">
        <v>44480</v>
      </c>
      <c r="G288" t="s">
        <v>587</v>
      </c>
    </row>
    <row r="289" spans="1:7" x14ac:dyDescent="0.25">
      <c r="A289">
        <v>288</v>
      </c>
      <c r="B289" t="s">
        <v>588</v>
      </c>
      <c r="C289" t="s">
        <v>8</v>
      </c>
      <c r="D289">
        <v>23</v>
      </c>
      <c r="E289" t="s">
        <v>13</v>
      </c>
      <c r="F289" s="1">
        <v>44625</v>
      </c>
      <c r="G289" t="s">
        <v>589</v>
      </c>
    </row>
    <row r="290" spans="1:7" x14ac:dyDescent="0.25">
      <c r="A290">
        <v>289</v>
      </c>
      <c r="B290" t="s">
        <v>590</v>
      </c>
      <c r="C290" t="s">
        <v>12</v>
      </c>
      <c r="D290">
        <v>31</v>
      </c>
      <c r="E290" t="s">
        <v>9</v>
      </c>
      <c r="F290" s="1">
        <v>45192</v>
      </c>
      <c r="G290" t="s">
        <v>591</v>
      </c>
    </row>
    <row r="291" spans="1:7" x14ac:dyDescent="0.25">
      <c r="A291">
        <v>290</v>
      </c>
      <c r="B291" t="s">
        <v>592</v>
      </c>
      <c r="C291" t="s">
        <v>8</v>
      </c>
      <c r="D291">
        <v>59</v>
      </c>
      <c r="E291" t="s">
        <v>13</v>
      </c>
      <c r="F291" s="1">
        <v>44505</v>
      </c>
      <c r="G291" t="s">
        <v>593</v>
      </c>
    </row>
    <row r="292" spans="1:7" x14ac:dyDescent="0.25">
      <c r="A292">
        <v>291</v>
      </c>
      <c r="B292" t="s">
        <v>594</v>
      </c>
      <c r="C292" t="s">
        <v>28</v>
      </c>
      <c r="D292">
        <v>21</v>
      </c>
      <c r="E292" t="s">
        <v>13</v>
      </c>
      <c r="F292" s="1">
        <v>44776</v>
      </c>
      <c r="G292" t="s">
        <v>595</v>
      </c>
    </row>
    <row r="293" spans="1:7" x14ac:dyDescent="0.25">
      <c r="A293">
        <v>292</v>
      </c>
      <c r="B293" t="s">
        <v>596</v>
      </c>
      <c r="C293" t="s">
        <v>18</v>
      </c>
      <c r="D293">
        <v>56</v>
      </c>
      <c r="E293" t="s">
        <v>9</v>
      </c>
      <c r="F293" s="1">
        <v>44729</v>
      </c>
      <c r="G293" t="s">
        <v>597</v>
      </c>
    </row>
    <row r="294" spans="1:7" x14ac:dyDescent="0.25">
      <c r="A294">
        <v>293</v>
      </c>
      <c r="B294" t="s">
        <v>598</v>
      </c>
      <c r="C294" t="s">
        <v>18</v>
      </c>
      <c r="D294">
        <v>44</v>
      </c>
      <c r="E294" t="s">
        <v>13</v>
      </c>
      <c r="F294" s="1">
        <v>44725</v>
      </c>
      <c r="G294" t="s">
        <v>599</v>
      </c>
    </row>
    <row r="295" spans="1:7" x14ac:dyDescent="0.25">
      <c r="A295">
        <v>294</v>
      </c>
      <c r="B295" t="s">
        <v>600</v>
      </c>
      <c r="C295" t="s">
        <v>18</v>
      </c>
      <c r="D295">
        <v>43</v>
      </c>
      <c r="E295" t="s">
        <v>13</v>
      </c>
      <c r="F295" s="1">
        <v>44258</v>
      </c>
      <c r="G295" t="s">
        <v>601</v>
      </c>
    </row>
    <row r="296" spans="1:7" x14ac:dyDescent="0.25">
      <c r="A296">
        <v>295</v>
      </c>
      <c r="B296" t="s">
        <v>602</v>
      </c>
      <c r="C296" t="s">
        <v>21</v>
      </c>
      <c r="D296">
        <v>38</v>
      </c>
      <c r="E296" t="s">
        <v>13</v>
      </c>
      <c r="F296" s="1">
        <v>45478</v>
      </c>
      <c r="G296" t="s">
        <v>603</v>
      </c>
    </row>
    <row r="297" spans="1:7" x14ac:dyDescent="0.25">
      <c r="A297">
        <v>296</v>
      </c>
      <c r="B297" t="s">
        <v>604</v>
      </c>
      <c r="C297" t="s">
        <v>8</v>
      </c>
      <c r="D297">
        <v>30</v>
      </c>
      <c r="E297" t="s">
        <v>9</v>
      </c>
      <c r="F297" s="1">
        <v>44243</v>
      </c>
      <c r="G297" t="s">
        <v>605</v>
      </c>
    </row>
    <row r="298" spans="1:7" x14ac:dyDescent="0.25">
      <c r="A298">
        <v>297</v>
      </c>
      <c r="B298" t="s">
        <v>606</v>
      </c>
      <c r="C298" t="s">
        <v>21</v>
      </c>
      <c r="D298">
        <v>27</v>
      </c>
      <c r="E298" t="s">
        <v>13</v>
      </c>
      <c r="F298" s="1">
        <v>44900</v>
      </c>
      <c r="G298" t="s">
        <v>607</v>
      </c>
    </row>
    <row r="299" spans="1:7" x14ac:dyDescent="0.25">
      <c r="A299">
        <v>298</v>
      </c>
      <c r="B299" t="s">
        <v>608</v>
      </c>
      <c r="C299" t="s">
        <v>18</v>
      </c>
      <c r="D299">
        <v>21</v>
      </c>
      <c r="E299" t="s">
        <v>13</v>
      </c>
      <c r="F299" s="1">
        <v>45315</v>
      </c>
      <c r="G299" t="s">
        <v>609</v>
      </c>
    </row>
    <row r="300" spans="1:7" x14ac:dyDescent="0.25">
      <c r="A300">
        <v>299</v>
      </c>
      <c r="B300" t="s">
        <v>610</v>
      </c>
      <c r="C300" t="s">
        <v>12</v>
      </c>
      <c r="D300">
        <v>69</v>
      </c>
      <c r="E300" t="s">
        <v>9</v>
      </c>
      <c r="F300" s="1">
        <v>44209</v>
      </c>
      <c r="G300" t="s">
        <v>611</v>
      </c>
    </row>
    <row r="301" spans="1:7" x14ac:dyDescent="0.25">
      <c r="A301">
        <v>300</v>
      </c>
      <c r="B301" t="s">
        <v>612</v>
      </c>
      <c r="C301" t="s">
        <v>28</v>
      </c>
      <c r="D301">
        <v>20</v>
      </c>
      <c r="E301" t="s">
        <v>9</v>
      </c>
      <c r="F301" s="1">
        <v>44712</v>
      </c>
      <c r="G301" t="s">
        <v>613</v>
      </c>
    </row>
    <row r="302" spans="1:7" x14ac:dyDescent="0.25">
      <c r="A302">
        <v>301</v>
      </c>
      <c r="B302" t="s">
        <v>614</v>
      </c>
      <c r="C302" t="s">
        <v>8</v>
      </c>
      <c r="D302">
        <v>28</v>
      </c>
      <c r="E302" t="s">
        <v>9</v>
      </c>
      <c r="F302" s="1">
        <v>44961</v>
      </c>
      <c r="G302" t="s">
        <v>615</v>
      </c>
    </row>
    <row r="303" spans="1:7" x14ac:dyDescent="0.25">
      <c r="A303">
        <v>302</v>
      </c>
      <c r="B303" t="s">
        <v>616</v>
      </c>
      <c r="C303" t="s">
        <v>28</v>
      </c>
      <c r="D303">
        <v>33</v>
      </c>
      <c r="E303" t="s">
        <v>13</v>
      </c>
      <c r="F303" s="1">
        <v>45450</v>
      </c>
      <c r="G303" t="s">
        <v>617</v>
      </c>
    </row>
    <row r="304" spans="1:7" x14ac:dyDescent="0.25">
      <c r="A304">
        <v>303</v>
      </c>
      <c r="B304" t="s">
        <v>618</v>
      </c>
      <c r="C304" t="s">
        <v>28</v>
      </c>
      <c r="D304">
        <v>52</v>
      </c>
      <c r="E304" t="s">
        <v>9</v>
      </c>
      <c r="F304" s="1">
        <v>44428</v>
      </c>
      <c r="G304" t="s">
        <v>619</v>
      </c>
    </row>
    <row r="305" spans="1:7" x14ac:dyDescent="0.25">
      <c r="A305">
        <v>304</v>
      </c>
      <c r="B305" t="s">
        <v>620</v>
      </c>
      <c r="C305" t="s">
        <v>28</v>
      </c>
      <c r="D305">
        <v>26</v>
      </c>
      <c r="E305" t="s">
        <v>9</v>
      </c>
      <c r="F305" s="1">
        <v>44383</v>
      </c>
      <c r="G305" t="s">
        <v>621</v>
      </c>
    </row>
    <row r="306" spans="1:7" x14ac:dyDescent="0.25">
      <c r="A306">
        <v>305</v>
      </c>
      <c r="B306" t="s">
        <v>622</v>
      </c>
      <c r="C306" t="s">
        <v>8</v>
      </c>
      <c r="D306">
        <v>37</v>
      </c>
      <c r="E306" t="s">
        <v>9</v>
      </c>
      <c r="F306" s="1">
        <v>44673</v>
      </c>
      <c r="G306" t="s">
        <v>623</v>
      </c>
    </row>
    <row r="307" spans="1:7" x14ac:dyDescent="0.25">
      <c r="A307">
        <v>306</v>
      </c>
      <c r="B307" t="s">
        <v>624</v>
      </c>
      <c r="C307" t="s">
        <v>28</v>
      </c>
      <c r="D307">
        <v>56</v>
      </c>
      <c r="E307" t="s">
        <v>9</v>
      </c>
      <c r="F307" s="1">
        <v>44350</v>
      </c>
      <c r="G307" t="s">
        <v>625</v>
      </c>
    </row>
    <row r="308" spans="1:7" x14ac:dyDescent="0.25">
      <c r="A308">
        <v>307</v>
      </c>
      <c r="B308" t="s">
        <v>626</v>
      </c>
      <c r="C308" t="s">
        <v>21</v>
      </c>
      <c r="D308">
        <v>20</v>
      </c>
      <c r="E308" t="s">
        <v>9</v>
      </c>
      <c r="F308" s="1">
        <v>44357</v>
      </c>
      <c r="G308" t="s">
        <v>627</v>
      </c>
    </row>
    <row r="309" spans="1:7" x14ac:dyDescent="0.25">
      <c r="A309">
        <v>308</v>
      </c>
      <c r="B309" t="s">
        <v>628</v>
      </c>
      <c r="C309" t="s">
        <v>8</v>
      </c>
      <c r="D309">
        <v>21</v>
      </c>
      <c r="E309" t="s">
        <v>9</v>
      </c>
      <c r="F309" s="1">
        <v>45449</v>
      </c>
      <c r="G309" t="s">
        <v>629</v>
      </c>
    </row>
    <row r="310" spans="1:7" x14ac:dyDescent="0.25">
      <c r="A310">
        <v>309</v>
      </c>
      <c r="B310" t="s">
        <v>630</v>
      </c>
      <c r="C310" t="s">
        <v>28</v>
      </c>
      <c r="D310">
        <v>35</v>
      </c>
      <c r="E310" t="s">
        <v>13</v>
      </c>
      <c r="F310" s="1">
        <v>43944</v>
      </c>
      <c r="G310" t="s">
        <v>631</v>
      </c>
    </row>
    <row r="311" spans="1:7" x14ac:dyDescent="0.25">
      <c r="A311">
        <v>310</v>
      </c>
      <c r="B311" t="s">
        <v>632</v>
      </c>
      <c r="C311" t="s">
        <v>8</v>
      </c>
      <c r="D311">
        <v>58</v>
      </c>
      <c r="E311" t="s">
        <v>13</v>
      </c>
      <c r="F311" s="1">
        <v>43882</v>
      </c>
      <c r="G311" t="s">
        <v>633</v>
      </c>
    </row>
    <row r="312" spans="1:7" x14ac:dyDescent="0.25">
      <c r="A312">
        <v>311</v>
      </c>
      <c r="B312" t="s">
        <v>634</v>
      </c>
      <c r="C312" t="s">
        <v>12</v>
      </c>
      <c r="D312">
        <v>36</v>
      </c>
      <c r="E312" t="s">
        <v>13</v>
      </c>
      <c r="F312" s="1">
        <v>45438</v>
      </c>
      <c r="G312" t="s">
        <v>635</v>
      </c>
    </row>
    <row r="313" spans="1:7" x14ac:dyDescent="0.25">
      <c r="A313">
        <v>312</v>
      </c>
      <c r="B313" t="s">
        <v>636</v>
      </c>
      <c r="C313" t="s">
        <v>18</v>
      </c>
      <c r="D313">
        <v>44</v>
      </c>
      <c r="E313" t="s">
        <v>13</v>
      </c>
      <c r="F313" s="1">
        <v>44698</v>
      </c>
      <c r="G313" t="s">
        <v>637</v>
      </c>
    </row>
    <row r="314" spans="1:7" x14ac:dyDescent="0.25">
      <c r="A314">
        <v>313</v>
      </c>
      <c r="B314" t="s">
        <v>638</v>
      </c>
      <c r="C314" t="s">
        <v>18</v>
      </c>
      <c r="D314">
        <v>18</v>
      </c>
      <c r="E314" t="s">
        <v>13</v>
      </c>
      <c r="F314" s="1">
        <v>43880</v>
      </c>
      <c r="G314" t="s">
        <v>639</v>
      </c>
    </row>
    <row r="315" spans="1:7" x14ac:dyDescent="0.25">
      <c r="A315">
        <v>314</v>
      </c>
      <c r="B315" t="s">
        <v>640</v>
      </c>
      <c r="C315" t="s">
        <v>28</v>
      </c>
      <c r="D315">
        <v>23</v>
      </c>
      <c r="E315" t="s">
        <v>9</v>
      </c>
      <c r="F315" s="1">
        <v>45407</v>
      </c>
      <c r="G315" t="s">
        <v>641</v>
      </c>
    </row>
    <row r="316" spans="1:7" x14ac:dyDescent="0.25">
      <c r="A316">
        <v>315</v>
      </c>
      <c r="B316" t="s">
        <v>642</v>
      </c>
      <c r="C316" t="s">
        <v>28</v>
      </c>
      <c r="D316">
        <v>58</v>
      </c>
      <c r="E316" t="s">
        <v>13</v>
      </c>
      <c r="F316" s="1">
        <v>45041</v>
      </c>
      <c r="G316" t="s">
        <v>643</v>
      </c>
    </row>
    <row r="317" spans="1:7" x14ac:dyDescent="0.25">
      <c r="A317">
        <v>316</v>
      </c>
      <c r="B317" t="s">
        <v>644</v>
      </c>
      <c r="C317" t="s">
        <v>21</v>
      </c>
      <c r="D317">
        <v>62</v>
      </c>
      <c r="E317" t="s">
        <v>13</v>
      </c>
      <c r="F317" s="1">
        <v>44743</v>
      </c>
      <c r="G317" t="s">
        <v>645</v>
      </c>
    </row>
    <row r="318" spans="1:7" x14ac:dyDescent="0.25">
      <c r="A318">
        <v>317</v>
      </c>
      <c r="B318" t="s">
        <v>646</v>
      </c>
      <c r="C318" t="s">
        <v>12</v>
      </c>
      <c r="D318">
        <v>30</v>
      </c>
      <c r="E318" t="s">
        <v>13</v>
      </c>
      <c r="F318" s="1">
        <v>44949</v>
      </c>
      <c r="G318" t="s">
        <v>647</v>
      </c>
    </row>
    <row r="319" spans="1:7" x14ac:dyDescent="0.25">
      <c r="A319">
        <v>318</v>
      </c>
      <c r="B319" t="s">
        <v>648</v>
      </c>
      <c r="C319" t="s">
        <v>28</v>
      </c>
      <c r="D319">
        <v>67</v>
      </c>
      <c r="E319" t="s">
        <v>9</v>
      </c>
      <c r="F319" s="1">
        <v>45327</v>
      </c>
      <c r="G319" t="s">
        <v>649</v>
      </c>
    </row>
    <row r="320" spans="1:7" x14ac:dyDescent="0.25">
      <c r="A320">
        <v>319</v>
      </c>
      <c r="B320" t="s">
        <v>650</v>
      </c>
      <c r="C320" t="s">
        <v>28</v>
      </c>
      <c r="D320">
        <v>54</v>
      </c>
      <c r="E320" t="s">
        <v>9</v>
      </c>
      <c r="F320" s="1">
        <v>43999</v>
      </c>
      <c r="G320" t="s">
        <v>651</v>
      </c>
    </row>
    <row r="321" spans="1:7" x14ac:dyDescent="0.25">
      <c r="A321">
        <v>320</v>
      </c>
      <c r="B321" t="s">
        <v>652</v>
      </c>
      <c r="C321" t="s">
        <v>18</v>
      </c>
      <c r="D321">
        <v>23</v>
      </c>
      <c r="E321" t="s">
        <v>13</v>
      </c>
      <c r="F321" s="1">
        <v>45110</v>
      </c>
      <c r="G321" t="s">
        <v>653</v>
      </c>
    </row>
    <row r="322" spans="1:7" x14ac:dyDescent="0.25">
      <c r="A322">
        <v>321</v>
      </c>
      <c r="B322" t="s">
        <v>654</v>
      </c>
      <c r="C322" t="s">
        <v>28</v>
      </c>
      <c r="D322">
        <v>45</v>
      </c>
      <c r="E322" t="s">
        <v>9</v>
      </c>
      <c r="F322" s="1">
        <v>44014</v>
      </c>
      <c r="G322" t="s">
        <v>655</v>
      </c>
    </row>
    <row r="323" spans="1:7" x14ac:dyDescent="0.25">
      <c r="A323">
        <v>322</v>
      </c>
      <c r="B323" t="s">
        <v>656</v>
      </c>
      <c r="C323" t="s">
        <v>21</v>
      </c>
      <c r="D323">
        <v>37</v>
      </c>
      <c r="E323" t="s">
        <v>9</v>
      </c>
      <c r="F323" s="1">
        <v>45562</v>
      </c>
      <c r="G323" t="s">
        <v>657</v>
      </c>
    </row>
    <row r="324" spans="1:7" x14ac:dyDescent="0.25">
      <c r="A324">
        <v>323</v>
      </c>
      <c r="B324" t="s">
        <v>658</v>
      </c>
      <c r="C324" t="s">
        <v>8</v>
      </c>
      <c r="D324">
        <v>40</v>
      </c>
      <c r="E324" t="s">
        <v>13</v>
      </c>
      <c r="F324" s="1">
        <v>44720</v>
      </c>
      <c r="G324" t="s">
        <v>659</v>
      </c>
    </row>
    <row r="325" spans="1:7" x14ac:dyDescent="0.25">
      <c r="A325">
        <v>324</v>
      </c>
      <c r="B325" t="s">
        <v>660</v>
      </c>
      <c r="C325" t="s">
        <v>12</v>
      </c>
      <c r="D325">
        <v>32</v>
      </c>
      <c r="E325" t="s">
        <v>9</v>
      </c>
      <c r="F325" s="1">
        <v>45301</v>
      </c>
      <c r="G325" t="s">
        <v>661</v>
      </c>
    </row>
    <row r="326" spans="1:7" x14ac:dyDescent="0.25">
      <c r="A326">
        <v>325</v>
      </c>
      <c r="B326" t="s">
        <v>662</v>
      </c>
      <c r="C326" t="s">
        <v>12</v>
      </c>
      <c r="D326">
        <v>50</v>
      </c>
      <c r="E326" t="s">
        <v>13</v>
      </c>
      <c r="F326" s="1">
        <v>45474</v>
      </c>
      <c r="G326" t="s">
        <v>663</v>
      </c>
    </row>
    <row r="327" spans="1:7" x14ac:dyDescent="0.25">
      <c r="A327">
        <v>326</v>
      </c>
      <c r="B327" t="s">
        <v>664</v>
      </c>
      <c r="C327" t="s">
        <v>12</v>
      </c>
      <c r="D327">
        <v>35</v>
      </c>
      <c r="E327" t="s">
        <v>9</v>
      </c>
      <c r="F327" s="1">
        <v>43834</v>
      </c>
      <c r="G327" t="s">
        <v>665</v>
      </c>
    </row>
    <row r="328" spans="1:7" x14ac:dyDescent="0.25">
      <c r="A328">
        <v>327</v>
      </c>
      <c r="B328" t="s">
        <v>666</v>
      </c>
      <c r="C328" t="s">
        <v>21</v>
      </c>
      <c r="D328">
        <v>58</v>
      </c>
      <c r="E328" t="s">
        <v>9</v>
      </c>
      <c r="F328" s="1">
        <v>44755</v>
      </c>
      <c r="G328" t="s">
        <v>667</v>
      </c>
    </row>
    <row r="329" spans="1:7" x14ac:dyDescent="0.25">
      <c r="A329">
        <v>328</v>
      </c>
      <c r="B329" t="s">
        <v>668</v>
      </c>
      <c r="C329" t="s">
        <v>28</v>
      </c>
      <c r="D329">
        <v>43</v>
      </c>
      <c r="E329" t="s">
        <v>13</v>
      </c>
      <c r="F329" s="1">
        <v>44276</v>
      </c>
      <c r="G329" t="s">
        <v>669</v>
      </c>
    </row>
    <row r="330" spans="1:7" x14ac:dyDescent="0.25">
      <c r="A330">
        <v>329</v>
      </c>
      <c r="B330" t="s">
        <v>670</v>
      </c>
      <c r="C330" t="s">
        <v>12</v>
      </c>
      <c r="D330">
        <v>59</v>
      </c>
      <c r="E330" t="s">
        <v>13</v>
      </c>
      <c r="F330" s="1">
        <v>44004</v>
      </c>
      <c r="G330" t="s">
        <v>671</v>
      </c>
    </row>
    <row r="331" spans="1:7" x14ac:dyDescent="0.25">
      <c r="A331">
        <v>330</v>
      </c>
      <c r="B331" t="s">
        <v>672</v>
      </c>
      <c r="C331" t="s">
        <v>21</v>
      </c>
      <c r="D331">
        <v>29</v>
      </c>
      <c r="E331" t="s">
        <v>9</v>
      </c>
      <c r="F331" s="1">
        <v>43855</v>
      </c>
      <c r="G331" t="s">
        <v>673</v>
      </c>
    </row>
    <row r="332" spans="1:7" x14ac:dyDescent="0.25">
      <c r="A332">
        <v>331</v>
      </c>
      <c r="B332" t="s">
        <v>674</v>
      </c>
      <c r="C332" t="s">
        <v>12</v>
      </c>
      <c r="D332">
        <v>47</v>
      </c>
      <c r="E332" t="s">
        <v>13</v>
      </c>
      <c r="F332" s="1">
        <v>44097</v>
      </c>
      <c r="G332" t="s">
        <v>675</v>
      </c>
    </row>
    <row r="333" spans="1:7" x14ac:dyDescent="0.25">
      <c r="A333">
        <v>332</v>
      </c>
      <c r="B333" t="s">
        <v>676</v>
      </c>
      <c r="C333" t="s">
        <v>12</v>
      </c>
      <c r="D333">
        <v>26</v>
      </c>
      <c r="E333" t="s">
        <v>9</v>
      </c>
      <c r="F333" s="1">
        <v>45245</v>
      </c>
      <c r="G333" t="s">
        <v>677</v>
      </c>
    </row>
    <row r="334" spans="1:7" x14ac:dyDescent="0.25">
      <c r="A334">
        <v>333</v>
      </c>
      <c r="B334" t="s">
        <v>678</v>
      </c>
      <c r="C334" t="s">
        <v>18</v>
      </c>
      <c r="D334">
        <v>37</v>
      </c>
      <c r="E334" t="s">
        <v>9</v>
      </c>
      <c r="F334" s="1">
        <v>44504</v>
      </c>
      <c r="G334" t="s">
        <v>679</v>
      </c>
    </row>
    <row r="335" spans="1:7" x14ac:dyDescent="0.25">
      <c r="A335">
        <v>334</v>
      </c>
      <c r="B335" t="s">
        <v>680</v>
      </c>
      <c r="C335" t="s">
        <v>21</v>
      </c>
      <c r="D335">
        <v>64</v>
      </c>
      <c r="E335" t="s">
        <v>9</v>
      </c>
      <c r="F335" s="1">
        <v>45070</v>
      </c>
      <c r="G335" t="s">
        <v>681</v>
      </c>
    </row>
    <row r="336" spans="1:7" x14ac:dyDescent="0.25">
      <c r="A336">
        <v>335</v>
      </c>
      <c r="B336" t="s">
        <v>682</v>
      </c>
      <c r="C336" t="s">
        <v>28</v>
      </c>
      <c r="D336">
        <v>39</v>
      </c>
      <c r="E336" t="s">
        <v>9</v>
      </c>
      <c r="F336" s="1">
        <v>44678</v>
      </c>
      <c r="G336" t="s">
        <v>683</v>
      </c>
    </row>
    <row r="337" spans="1:7" x14ac:dyDescent="0.25">
      <c r="A337">
        <v>336</v>
      </c>
      <c r="B337" t="s">
        <v>684</v>
      </c>
      <c r="C337" t="s">
        <v>8</v>
      </c>
      <c r="D337">
        <v>63</v>
      </c>
      <c r="E337" t="s">
        <v>13</v>
      </c>
      <c r="F337" s="1">
        <v>44807</v>
      </c>
      <c r="G337" t="s">
        <v>685</v>
      </c>
    </row>
    <row r="338" spans="1:7" x14ac:dyDescent="0.25">
      <c r="A338">
        <v>337</v>
      </c>
      <c r="B338" t="s">
        <v>686</v>
      </c>
      <c r="C338" t="s">
        <v>28</v>
      </c>
      <c r="D338">
        <v>20</v>
      </c>
      <c r="E338" t="s">
        <v>9</v>
      </c>
      <c r="F338" s="1">
        <v>44311</v>
      </c>
      <c r="G338" t="s">
        <v>687</v>
      </c>
    </row>
    <row r="339" spans="1:7" x14ac:dyDescent="0.25">
      <c r="A339">
        <v>338</v>
      </c>
      <c r="B339" t="s">
        <v>688</v>
      </c>
      <c r="C339" t="s">
        <v>28</v>
      </c>
      <c r="D339">
        <v>49</v>
      </c>
      <c r="E339" t="s">
        <v>9</v>
      </c>
      <c r="F339" s="1">
        <v>45307</v>
      </c>
      <c r="G339" t="s">
        <v>689</v>
      </c>
    </row>
    <row r="340" spans="1:7" x14ac:dyDescent="0.25">
      <c r="A340">
        <v>339</v>
      </c>
      <c r="B340" t="s">
        <v>690</v>
      </c>
      <c r="C340" t="s">
        <v>28</v>
      </c>
      <c r="D340">
        <v>18</v>
      </c>
      <c r="E340" t="s">
        <v>13</v>
      </c>
      <c r="F340" s="1">
        <v>45049</v>
      </c>
      <c r="G340" t="s">
        <v>691</v>
      </c>
    </row>
    <row r="341" spans="1:7" x14ac:dyDescent="0.25">
      <c r="A341">
        <v>340</v>
      </c>
      <c r="B341" t="s">
        <v>692</v>
      </c>
      <c r="C341" t="s">
        <v>28</v>
      </c>
      <c r="D341">
        <v>59</v>
      </c>
      <c r="E341" t="s">
        <v>9</v>
      </c>
      <c r="F341" s="1">
        <v>44952</v>
      </c>
      <c r="G341" t="s">
        <v>693</v>
      </c>
    </row>
    <row r="342" spans="1:7" x14ac:dyDescent="0.25">
      <c r="A342">
        <v>341</v>
      </c>
      <c r="B342" t="s">
        <v>694</v>
      </c>
      <c r="C342" t="s">
        <v>12</v>
      </c>
      <c r="D342">
        <v>49</v>
      </c>
      <c r="E342" t="s">
        <v>9</v>
      </c>
      <c r="F342" s="1">
        <v>45402</v>
      </c>
      <c r="G342" t="s">
        <v>695</v>
      </c>
    </row>
    <row r="343" spans="1:7" x14ac:dyDescent="0.25">
      <c r="A343">
        <v>342</v>
      </c>
      <c r="B343" t="s">
        <v>696</v>
      </c>
      <c r="C343" t="s">
        <v>28</v>
      </c>
      <c r="D343">
        <v>64</v>
      </c>
      <c r="E343" t="s">
        <v>13</v>
      </c>
      <c r="F343" s="1">
        <v>45393</v>
      </c>
      <c r="G343" t="s">
        <v>697</v>
      </c>
    </row>
    <row r="344" spans="1:7" x14ac:dyDescent="0.25">
      <c r="A344">
        <v>343</v>
      </c>
      <c r="B344" t="s">
        <v>698</v>
      </c>
      <c r="C344" t="s">
        <v>21</v>
      </c>
      <c r="D344">
        <v>64</v>
      </c>
      <c r="E344" t="s">
        <v>9</v>
      </c>
      <c r="F344" s="1">
        <v>45040</v>
      </c>
      <c r="G344" t="s">
        <v>699</v>
      </c>
    </row>
    <row r="345" spans="1:7" x14ac:dyDescent="0.25">
      <c r="A345">
        <v>344</v>
      </c>
      <c r="B345" t="s">
        <v>700</v>
      </c>
      <c r="C345" t="s">
        <v>8</v>
      </c>
      <c r="D345">
        <v>27</v>
      </c>
      <c r="E345" t="s">
        <v>13</v>
      </c>
      <c r="F345" s="1">
        <v>45067</v>
      </c>
      <c r="G345" t="s">
        <v>701</v>
      </c>
    </row>
    <row r="346" spans="1:7" x14ac:dyDescent="0.25">
      <c r="A346">
        <v>345</v>
      </c>
      <c r="B346" t="s">
        <v>702</v>
      </c>
      <c r="C346" t="s">
        <v>8</v>
      </c>
      <c r="D346">
        <v>27</v>
      </c>
      <c r="E346" t="s">
        <v>9</v>
      </c>
      <c r="F346" s="1">
        <v>45435</v>
      </c>
      <c r="G346" t="s">
        <v>703</v>
      </c>
    </row>
    <row r="347" spans="1:7" x14ac:dyDescent="0.25">
      <c r="A347">
        <v>346</v>
      </c>
      <c r="B347" t="s">
        <v>704</v>
      </c>
      <c r="C347" t="s">
        <v>18</v>
      </c>
      <c r="D347">
        <v>58</v>
      </c>
      <c r="E347" t="s">
        <v>13</v>
      </c>
      <c r="F347" s="1">
        <v>44659</v>
      </c>
      <c r="G347" t="s">
        <v>705</v>
      </c>
    </row>
    <row r="348" spans="1:7" x14ac:dyDescent="0.25">
      <c r="A348">
        <v>347</v>
      </c>
      <c r="B348" t="s">
        <v>706</v>
      </c>
      <c r="C348" t="s">
        <v>8</v>
      </c>
      <c r="D348">
        <v>44</v>
      </c>
      <c r="E348" t="s">
        <v>13</v>
      </c>
      <c r="F348" s="1">
        <v>44108</v>
      </c>
      <c r="G348" t="s">
        <v>707</v>
      </c>
    </row>
    <row r="349" spans="1:7" x14ac:dyDescent="0.25">
      <c r="A349">
        <v>348</v>
      </c>
      <c r="B349" t="s">
        <v>708</v>
      </c>
      <c r="C349" t="s">
        <v>12</v>
      </c>
      <c r="D349">
        <v>22</v>
      </c>
      <c r="E349" t="s">
        <v>13</v>
      </c>
      <c r="F349" s="1">
        <v>45401</v>
      </c>
      <c r="G349" t="s">
        <v>709</v>
      </c>
    </row>
    <row r="350" spans="1:7" x14ac:dyDescent="0.25">
      <c r="A350">
        <v>349</v>
      </c>
      <c r="B350" t="s">
        <v>710</v>
      </c>
      <c r="C350" t="s">
        <v>12</v>
      </c>
      <c r="D350">
        <v>30</v>
      </c>
      <c r="E350" t="s">
        <v>13</v>
      </c>
      <c r="F350" s="1">
        <v>44353</v>
      </c>
      <c r="G350" t="s">
        <v>711</v>
      </c>
    </row>
    <row r="351" spans="1:7" x14ac:dyDescent="0.25">
      <c r="A351">
        <v>350</v>
      </c>
      <c r="B351" t="s">
        <v>712</v>
      </c>
      <c r="C351" t="s">
        <v>18</v>
      </c>
      <c r="D351">
        <v>28</v>
      </c>
      <c r="E351" t="s">
        <v>13</v>
      </c>
      <c r="F351" s="1">
        <v>45257</v>
      </c>
      <c r="G351" t="s">
        <v>713</v>
      </c>
    </row>
    <row r="352" spans="1:7" x14ac:dyDescent="0.25">
      <c r="A352">
        <v>351</v>
      </c>
      <c r="B352" t="s">
        <v>714</v>
      </c>
      <c r="C352" t="s">
        <v>12</v>
      </c>
      <c r="D352">
        <v>64</v>
      </c>
      <c r="E352" t="s">
        <v>13</v>
      </c>
      <c r="F352" s="1">
        <v>44915</v>
      </c>
      <c r="G352" t="s">
        <v>715</v>
      </c>
    </row>
    <row r="353" spans="1:7" x14ac:dyDescent="0.25">
      <c r="A353">
        <v>352</v>
      </c>
      <c r="B353" t="s">
        <v>716</v>
      </c>
      <c r="C353" t="s">
        <v>12</v>
      </c>
      <c r="D353">
        <v>52</v>
      </c>
      <c r="E353" t="s">
        <v>13</v>
      </c>
      <c r="F353" s="1">
        <v>45389</v>
      </c>
      <c r="G353" t="s">
        <v>717</v>
      </c>
    </row>
    <row r="354" spans="1:7" x14ac:dyDescent="0.25">
      <c r="A354">
        <v>353</v>
      </c>
      <c r="B354" t="s">
        <v>718</v>
      </c>
      <c r="C354" t="s">
        <v>8</v>
      </c>
      <c r="D354">
        <v>67</v>
      </c>
      <c r="E354" t="s">
        <v>9</v>
      </c>
      <c r="F354" s="1">
        <v>44091</v>
      </c>
      <c r="G354" t="s">
        <v>719</v>
      </c>
    </row>
    <row r="355" spans="1:7" x14ac:dyDescent="0.25">
      <c r="A355">
        <v>354</v>
      </c>
      <c r="B355" t="s">
        <v>720</v>
      </c>
      <c r="C355" t="s">
        <v>12</v>
      </c>
      <c r="D355">
        <v>52</v>
      </c>
      <c r="E355" t="s">
        <v>13</v>
      </c>
      <c r="F355" s="1">
        <v>43968</v>
      </c>
      <c r="G355" t="s">
        <v>721</v>
      </c>
    </row>
    <row r="356" spans="1:7" x14ac:dyDescent="0.25">
      <c r="A356">
        <v>355</v>
      </c>
      <c r="B356" t="s">
        <v>722</v>
      </c>
      <c r="C356" t="s">
        <v>18</v>
      </c>
      <c r="D356">
        <v>36</v>
      </c>
      <c r="E356" t="s">
        <v>13</v>
      </c>
      <c r="F356" s="1">
        <v>43870</v>
      </c>
      <c r="G356" t="s">
        <v>723</v>
      </c>
    </row>
    <row r="357" spans="1:7" x14ac:dyDescent="0.25">
      <c r="A357">
        <v>356</v>
      </c>
      <c r="B357" t="s">
        <v>724</v>
      </c>
      <c r="C357" t="s">
        <v>12</v>
      </c>
      <c r="D357">
        <v>35</v>
      </c>
      <c r="E357" t="s">
        <v>13</v>
      </c>
      <c r="F357" s="1">
        <v>44863</v>
      </c>
      <c r="G357" t="s">
        <v>725</v>
      </c>
    </row>
    <row r="358" spans="1:7" x14ac:dyDescent="0.25">
      <c r="A358">
        <v>357</v>
      </c>
      <c r="B358" t="s">
        <v>726</v>
      </c>
      <c r="C358" t="s">
        <v>18</v>
      </c>
      <c r="D358">
        <v>35</v>
      </c>
      <c r="E358" t="s">
        <v>13</v>
      </c>
      <c r="F358" s="1">
        <v>44700</v>
      </c>
      <c r="G358" t="s">
        <v>727</v>
      </c>
    </row>
    <row r="359" spans="1:7" x14ac:dyDescent="0.25">
      <c r="A359">
        <v>358</v>
      </c>
      <c r="B359" t="s">
        <v>728</v>
      </c>
      <c r="C359" t="s">
        <v>18</v>
      </c>
      <c r="D359">
        <v>54</v>
      </c>
      <c r="E359" t="s">
        <v>9</v>
      </c>
      <c r="F359" s="1">
        <v>44546</v>
      </c>
      <c r="G359" t="s">
        <v>729</v>
      </c>
    </row>
    <row r="360" spans="1:7" x14ac:dyDescent="0.25">
      <c r="A360">
        <v>359</v>
      </c>
      <c r="B360" t="s">
        <v>730</v>
      </c>
      <c r="C360" t="s">
        <v>21</v>
      </c>
      <c r="D360">
        <v>53</v>
      </c>
      <c r="E360" t="s">
        <v>13</v>
      </c>
      <c r="F360" s="1">
        <v>44236</v>
      </c>
      <c r="G360" t="s">
        <v>731</v>
      </c>
    </row>
    <row r="361" spans="1:7" x14ac:dyDescent="0.25">
      <c r="A361">
        <v>360</v>
      </c>
      <c r="B361" t="s">
        <v>732</v>
      </c>
      <c r="C361" t="s">
        <v>21</v>
      </c>
      <c r="D361">
        <v>20</v>
      </c>
      <c r="E361" t="s">
        <v>9</v>
      </c>
      <c r="F361" s="1">
        <v>44572</v>
      </c>
      <c r="G361" t="s">
        <v>733</v>
      </c>
    </row>
    <row r="362" spans="1:7" x14ac:dyDescent="0.25">
      <c r="A362">
        <v>361</v>
      </c>
      <c r="B362" t="s">
        <v>734</v>
      </c>
      <c r="C362" t="s">
        <v>12</v>
      </c>
      <c r="D362">
        <v>52</v>
      </c>
      <c r="E362" t="s">
        <v>13</v>
      </c>
      <c r="F362" s="1">
        <v>45330</v>
      </c>
      <c r="G362" t="s">
        <v>735</v>
      </c>
    </row>
    <row r="363" spans="1:7" x14ac:dyDescent="0.25">
      <c r="A363">
        <v>362</v>
      </c>
      <c r="B363" t="s">
        <v>736</v>
      </c>
      <c r="C363" t="s">
        <v>18</v>
      </c>
      <c r="D363">
        <v>68</v>
      </c>
      <c r="E363" t="s">
        <v>13</v>
      </c>
      <c r="F363" s="1">
        <v>44250</v>
      </c>
      <c r="G363" t="s">
        <v>737</v>
      </c>
    </row>
    <row r="364" spans="1:7" x14ac:dyDescent="0.25">
      <c r="A364">
        <v>363</v>
      </c>
      <c r="B364" t="s">
        <v>738</v>
      </c>
      <c r="C364" t="s">
        <v>18</v>
      </c>
      <c r="D364">
        <v>33</v>
      </c>
      <c r="E364" t="s">
        <v>13</v>
      </c>
      <c r="F364" s="1">
        <v>44508</v>
      </c>
      <c r="G364" t="s">
        <v>739</v>
      </c>
    </row>
    <row r="365" spans="1:7" x14ac:dyDescent="0.25">
      <c r="A365">
        <v>364</v>
      </c>
      <c r="B365" t="s">
        <v>740</v>
      </c>
      <c r="C365" t="s">
        <v>21</v>
      </c>
      <c r="D365">
        <v>67</v>
      </c>
      <c r="E365" t="s">
        <v>9</v>
      </c>
      <c r="F365" s="1">
        <v>45600</v>
      </c>
      <c r="G365" t="s">
        <v>741</v>
      </c>
    </row>
    <row r="366" spans="1:7" x14ac:dyDescent="0.25">
      <c r="A366">
        <v>365</v>
      </c>
      <c r="B366" t="s">
        <v>742</v>
      </c>
      <c r="C366" t="s">
        <v>12</v>
      </c>
      <c r="D366">
        <v>38</v>
      </c>
      <c r="E366" t="s">
        <v>13</v>
      </c>
      <c r="F366" s="1">
        <v>45295</v>
      </c>
      <c r="G366" t="s">
        <v>743</v>
      </c>
    </row>
    <row r="367" spans="1:7" x14ac:dyDescent="0.25">
      <c r="A367">
        <v>366</v>
      </c>
      <c r="B367" t="s">
        <v>744</v>
      </c>
      <c r="C367" t="s">
        <v>8</v>
      </c>
      <c r="D367">
        <v>64</v>
      </c>
      <c r="E367" t="s">
        <v>13</v>
      </c>
      <c r="F367" s="1">
        <v>44127</v>
      </c>
      <c r="G367" t="s">
        <v>745</v>
      </c>
    </row>
    <row r="368" spans="1:7" x14ac:dyDescent="0.25">
      <c r="A368">
        <v>367</v>
      </c>
      <c r="B368" t="s">
        <v>746</v>
      </c>
      <c r="C368" t="s">
        <v>12</v>
      </c>
      <c r="D368">
        <v>32</v>
      </c>
      <c r="E368" t="s">
        <v>9</v>
      </c>
      <c r="F368" s="1">
        <v>44217</v>
      </c>
      <c r="G368" t="s">
        <v>747</v>
      </c>
    </row>
    <row r="369" spans="1:7" x14ac:dyDescent="0.25">
      <c r="A369">
        <v>368</v>
      </c>
      <c r="B369" t="s">
        <v>748</v>
      </c>
      <c r="C369" t="s">
        <v>18</v>
      </c>
      <c r="D369">
        <v>58</v>
      </c>
      <c r="E369" t="s">
        <v>9</v>
      </c>
      <c r="F369" s="1">
        <v>45294</v>
      </c>
      <c r="G369" t="s">
        <v>749</v>
      </c>
    </row>
    <row r="370" spans="1:7" x14ac:dyDescent="0.25">
      <c r="A370">
        <v>369</v>
      </c>
      <c r="B370" t="s">
        <v>750</v>
      </c>
      <c r="C370" t="s">
        <v>18</v>
      </c>
      <c r="D370">
        <v>35</v>
      </c>
      <c r="E370" t="s">
        <v>9</v>
      </c>
      <c r="F370" s="1">
        <v>44841</v>
      </c>
      <c r="G370" t="s">
        <v>751</v>
      </c>
    </row>
    <row r="371" spans="1:7" x14ac:dyDescent="0.25">
      <c r="A371">
        <v>370</v>
      </c>
      <c r="B371" t="s">
        <v>752</v>
      </c>
      <c r="C371" t="s">
        <v>12</v>
      </c>
      <c r="D371">
        <v>53</v>
      </c>
      <c r="E371" t="s">
        <v>13</v>
      </c>
      <c r="F371" s="1">
        <v>45306</v>
      </c>
      <c r="G371" t="s">
        <v>753</v>
      </c>
    </row>
    <row r="372" spans="1:7" x14ac:dyDescent="0.25">
      <c r="A372">
        <v>371</v>
      </c>
      <c r="B372" t="s">
        <v>754</v>
      </c>
      <c r="C372" t="s">
        <v>8</v>
      </c>
      <c r="D372">
        <v>49</v>
      </c>
      <c r="E372" t="s">
        <v>9</v>
      </c>
      <c r="F372" s="1">
        <v>44136</v>
      </c>
      <c r="G372" t="s">
        <v>755</v>
      </c>
    </row>
    <row r="373" spans="1:7" x14ac:dyDescent="0.25">
      <c r="A373">
        <v>372</v>
      </c>
      <c r="B373" t="s">
        <v>756</v>
      </c>
      <c r="C373" t="s">
        <v>18</v>
      </c>
      <c r="D373">
        <v>50</v>
      </c>
      <c r="E373" t="s">
        <v>13</v>
      </c>
      <c r="F373" s="1">
        <v>45501</v>
      </c>
      <c r="G373" t="s">
        <v>757</v>
      </c>
    </row>
    <row r="374" spans="1:7" x14ac:dyDescent="0.25">
      <c r="A374">
        <v>373</v>
      </c>
      <c r="B374" t="s">
        <v>758</v>
      </c>
      <c r="C374" t="s">
        <v>18</v>
      </c>
      <c r="D374">
        <v>27</v>
      </c>
      <c r="E374" t="s">
        <v>13</v>
      </c>
      <c r="F374" s="1">
        <v>44259</v>
      </c>
      <c r="G374" t="s">
        <v>759</v>
      </c>
    </row>
    <row r="375" spans="1:7" x14ac:dyDescent="0.25">
      <c r="A375">
        <v>374</v>
      </c>
      <c r="B375" t="s">
        <v>760</v>
      </c>
      <c r="C375" t="s">
        <v>12</v>
      </c>
      <c r="D375">
        <v>46</v>
      </c>
      <c r="E375" t="s">
        <v>13</v>
      </c>
      <c r="F375" s="1">
        <v>44665</v>
      </c>
      <c r="G375" t="s">
        <v>761</v>
      </c>
    </row>
    <row r="376" spans="1:7" x14ac:dyDescent="0.25">
      <c r="A376">
        <v>375</v>
      </c>
      <c r="B376" t="s">
        <v>762</v>
      </c>
      <c r="C376" t="s">
        <v>21</v>
      </c>
      <c r="D376">
        <v>23</v>
      </c>
      <c r="E376" t="s">
        <v>13</v>
      </c>
      <c r="F376" s="1">
        <v>45576</v>
      </c>
      <c r="G376" t="s">
        <v>763</v>
      </c>
    </row>
    <row r="377" spans="1:7" x14ac:dyDescent="0.25">
      <c r="A377">
        <v>376</v>
      </c>
      <c r="B377" t="s">
        <v>764</v>
      </c>
      <c r="C377" t="s">
        <v>21</v>
      </c>
      <c r="D377">
        <v>31</v>
      </c>
      <c r="E377" t="s">
        <v>13</v>
      </c>
      <c r="F377" s="1">
        <v>45281</v>
      </c>
      <c r="G377" t="s">
        <v>765</v>
      </c>
    </row>
    <row r="378" spans="1:7" x14ac:dyDescent="0.25">
      <c r="A378">
        <v>377</v>
      </c>
      <c r="B378" t="s">
        <v>766</v>
      </c>
      <c r="C378" t="s">
        <v>8</v>
      </c>
      <c r="D378">
        <v>66</v>
      </c>
      <c r="E378" t="s">
        <v>13</v>
      </c>
      <c r="F378" s="1">
        <v>44974</v>
      </c>
      <c r="G378" t="s">
        <v>767</v>
      </c>
    </row>
    <row r="379" spans="1:7" x14ac:dyDescent="0.25">
      <c r="A379">
        <v>378</v>
      </c>
      <c r="B379" t="s">
        <v>768</v>
      </c>
      <c r="C379" t="s">
        <v>28</v>
      </c>
      <c r="D379">
        <v>31</v>
      </c>
      <c r="E379" t="s">
        <v>13</v>
      </c>
      <c r="F379" s="1">
        <v>44434</v>
      </c>
      <c r="G379" t="s">
        <v>769</v>
      </c>
    </row>
    <row r="380" spans="1:7" x14ac:dyDescent="0.25">
      <c r="A380">
        <v>379</v>
      </c>
      <c r="B380" t="s">
        <v>770</v>
      </c>
      <c r="C380" t="s">
        <v>28</v>
      </c>
      <c r="D380">
        <v>44</v>
      </c>
      <c r="E380" t="s">
        <v>13</v>
      </c>
      <c r="F380" s="1">
        <v>44515</v>
      </c>
      <c r="G380" t="s">
        <v>771</v>
      </c>
    </row>
    <row r="381" spans="1:7" x14ac:dyDescent="0.25">
      <c r="A381">
        <v>380</v>
      </c>
      <c r="B381" t="s">
        <v>772</v>
      </c>
      <c r="C381" t="s">
        <v>12</v>
      </c>
      <c r="D381">
        <v>26</v>
      </c>
      <c r="E381" t="s">
        <v>9</v>
      </c>
      <c r="F381" s="1">
        <v>45426</v>
      </c>
      <c r="G381" t="s">
        <v>773</v>
      </c>
    </row>
    <row r="382" spans="1:7" x14ac:dyDescent="0.25">
      <c r="A382">
        <v>381</v>
      </c>
      <c r="B382" t="s">
        <v>774</v>
      </c>
      <c r="C382" t="s">
        <v>18</v>
      </c>
      <c r="D382">
        <v>26</v>
      </c>
      <c r="E382" t="s">
        <v>13</v>
      </c>
      <c r="F382" s="1">
        <v>43996</v>
      </c>
      <c r="G382" t="s">
        <v>775</v>
      </c>
    </row>
    <row r="383" spans="1:7" x14ac:dyDescent="0.25">
      <c r="A383">
        <v>382</v>
      </c>
      <c r="B383" t="s">
        <v>776</v>
      </c>
      <c r="C383" t="s">
        <v>28</v>
      </c>
      <c r="D383">
        <v>32</v>
      </c>
      <c r="E383" t="s">
        <v>13</v>
      </c>
      <c r="F383" s="1">
        <v>45542</v>
      </c>
      <c r="G383" t="s">
        <v>777</v>
      </c>
    </row>
    <row r="384" spans="1:7" x14ac:dyDescent="0.25">
      <c r="A384">
        <v>383</v>
      </c>
      <c r="B384" t="s">
        <v>778</v>
      </c>
      <c r="C384" t="s">
        <v>28</v>
      </c>
      <c r="D384">
        <v>18</v>
      </c>
      <c r="E384" t="s">
        <v>9</v>
      </c>
      <c r="F384" s="1">
        <v>44193</v>
      </c>
      <c r="G384" t="s">
        <v>779</v>
      </c>
    </row>
    <row r="385" spans="1:7" x14ac:dyDescent="0.25">
      <c r="A385">
        <v>384</v>
      </c>
      <c r="B385" t="s">
        <v>780</v>
      </c>
      <c r="C385" t="s">
        <v>28</v>
      </c>
      <c r="D385">
        <v>39</v>
      </c>
      <c r="E385" t="s">
        <v>9</v>
      </c>
      <c r="F385" s="1">
        <v>44611</v>
      </c>
      <c r="G385" t="s">
        <v>781</v>
      </c>
    </row>
    <row r="386" spans="1:7" x14ac:dyDescent="0.25">
      <c r="A386">
        <v>385</v>
      </c>
      <c r="B386" t="s">
        <v>782</v>
      </c>
      <c r="C386" t="s">
        <v>18</v>
      </c>
      <c r="D386">
        <v>45</v>
      </c>
      <c r="E386" t="s">
        <v>9</v>
      </c>
      <c r="F386" s="1">
        <v>45413</v>
      </c>
      <c r="G386" t="s">
        <v>783</v>
      </c>
    </row>
    <row r="387" spans="1:7" x14ac:dyDescent="0.25">
      <c r="A387">
        <v>386</v>
      </c>
      <c r="B387" t="s">
        <v>784</v>
      </c>
      <c r="C387" t="s">
        <v>12</v>
      </c>
      <c r="D387">
        <v>61</v>
      </c>
      <c r="E387" t="s">
        <v>9</v>
      </c>
      <c r="F387" s="1">
        <v>44680</v>
      </c>
      <c r="G387" t="s">
        <v>785</v>
      </c>
    </row>
    <row r="388" spans="1:7" x14ac:dyDescent="0.25">
      <c r="A388">
        <v>387</v>
      </c>
      <c r="B388" t="s">
        <v>786</v>
      </c>
      <c r="C388" t="s">
        <v>21</v>
      </c>
      <c r="D388">
        <v>26</v>
      </c>
      <c r="E388" t="s">
        <v>9</v>
      </c>
      <c r="F388" s="1">
        <v>44316</v>
      </c>
      <c r="G388" t="s">
        <v>787</v>
      </c>
    </row>
    <row r="389" spans="1:7" x14ac:dyDescent="0.25">
      <c r="A389">
        <v>388</v>
      </c>
      <c r="B389" t="s">
        <v>788</v>
      </c>
      <c r="C389" t="s">
        <v>21</v>
      </c>
      <c r="D389">
        <v>29</v>
      </c>
      <c r="E389" t="s">
        <v>9</v>
      </c>
      <c r="F389" s="1">
        <v>44950</v>
      </c>
      <c r="G389" t="s">
        <v>789</v>
      </c>
    </row>
    <row r="390" spans="1:7" x14ac:dyDescent="0.25">
      <c r="A390">
        <v>389</v>
      </c>
      <c r="B390" t="s">
        <v>790</v>
      </c>
      <c r="C390" t="s">
        <v>18</v>
      </c>
      <c r="D390">
        <v>52</v>
      </c>
      <c r="E390" t="s">
        <v>9</v>
      </c>
      <c r="F390" s="1">
        <v>45207</v>
      </c>
      <c r="G390" t="s">
        <v>791</v>
      </c>
    </row>
    <row r="391" spans="1:7" x14ac:dyDescent="0.25">
      <c r="A391">
        <v>390</v>
      </c>
      <c r="B391" t="s">
        <v>792</v>
      </c>
      <c r="C391" t="s">
        <v>18</v>
      </c>
      <c r="D391">
        <v>31</v>
      </c>
      <c r="E391" t="s">
        <v>9</v>
      </c>
      <c r="F391" s="1">
        <v>44457</v>
      </c>
      <c r="G391" t="s">
        <v>793</v>
      </c>
    </row>
    <row r="392" spans="1:7" x14ac:dyDescent="0.25">
      <c r="A392">
        <v>391</v>
      </c>
      <c r="B392" t="s">
        <v>794</v>
      </c>
      <c r="C392" t="s">
        <v>21</v>
      </c>
      <c r="D392">
        <v>61</v>
      </c>
      <c r="E392" t="s">
        <v>13</v>
      </c>
      <c r="F392" s="1">
        <v>44456</v>
      </c>
      <c r="G392" t="s">
        <v>795</v>
      </c>
    </row>
    <row r="393" spans="1:7" x14ac:dyDescent="0.25">
      <c r="A393">
        <v>392</v>
      </c>
      <c r="B393" t="s">
        <v>796</v>
      </c>
      <c r="C393" t="s">
        <v>12</v>
      </c>
      <c r="D393">
        <v>29</v>
      </c>
      <c r="E393" t="s">
        <v>13</v>
      </c>
      <c r="F393" s="1">
        <v>44258</v>
      </c>
      <c r="G393" t="s">
        <v>797</v>
      </c>
    </row>
    <row r="394" spans="1:7" x14ac:dyDescent="0.25">
      <c r="A394">
        <v>393</v>
      </c>
      <c r="B394" t="s">
        <v>798</v>
      </c>
      <c r="C394" t="s">
        <v>21</v>
      </c>
      <c r="D394">
        <v>20</v>
      </c>
      <c r="E394" t="s">
        <v>13</v>
      </c>
      <c r="F394" s="1">
        <v>44671</v>
      </c>
      <c r="G394" t="s">
        <v>799</v>
      </c>
    </row>
    <row r="395" spans="1:7" x14ac:dyDescent="0.25">
      <c r="A395">
        <v>394</v>
      </c>
      <c r="B395" t="s">
        <v>800</v>
      </c>
      <c r="C395" t="s">
        <v>12</v>
      </c>
      <c r="D395">
        <v>35</v>
      </c>
      <c r="E395" t="s">
        <v>13</v>
      </c>
      <c r="F395" s="1">
        <v>43839</v>
      </c>
      <c r="G395" t="s">
        <v>801</v>
      </c>
    </row>
    <row r="396" spans="1:7" x14ac:dyDescent="0.25">
      <c r="A396">
        <v>395</v>
      </c>
      <c r="B396" t="s">
        <v>802</v>
      </c>
      <c r="C396" t="s">
        <v>8</v>
      </c>
      <c r="D396">
        <v>61</v>
      </c>
      <c r="E396" t="s">
        <v>9</v>
      </c>
      <c r="F396" s="1">
        <v>44255</v>
      </c>
      <c r="G396" t="s">
        <v>803</v>
      </c>
    </row>
    <row r="397" spans="1:7" x14ac:dyDescent="0.25">
      <c r="A397">
        <v>396</v>
      </c>
      <c r="B397" t="s">
        <v>804</v>
      </c>
      <c r="C397" t="s">
        <v>18</v>
      </c>
      <c r="D397">
        <v>20</v>
      </c>
      <c r="E397" t="s">
        <v>13</v>
      </c>
      <c r="F397" s="1">
        <v>45512</v>
      </c>
      <c r="G397" t="s">
        <v>805</v>
      </c>
    </row>
    <row r="398" spans="1:7" x14ac:dyDescent="0.25">
      <c r="A398">
        <v>397</v>
      </c>
      <c r="B398" t="s">
        <v>806</v>
      </c>
      <c r="C398" t="s">
        <v>12</v>
      </c>
      <c r="D398">
        <v>31</v>
      </c>
      <c r="E398" t="s">
        <v>13</v>
      </c>
      <c r="F398" s="1">
        <v>45320</v>
      </c>
      <c r="G398" t="s">
        <v>807</v>
      </c>
    </row>
    <row r="399" spans="1:7" x14ac:dyDescent="0.25">
      <c r="A399">
        <v>398</v>
      </c>
      <c r="B399" t="s">
        <v>808</v>
      </c>
      <c r="C399" t="s">
        <v>28</v>
      </c>
      <c r="D399">
        <v>36</v>
      </c>
      <c r="E399" t="s">
        <v>13</v>
      </c>
      <c r="F399" s="1">
        <v>44052</v>
      </c>
      <c r="G399" t="s">
        <v>809</v>
      </c>
    </row>
    <row r="400" spans="1:7" x14ac:dyDescent="0.25">
      <c r="A400">
        <v>399</v>
      </c>
      <c r="B400" t="s">
        <v>810</v>
      </c>
      <c r="C400" t="s">
        <v>28</v>
      </c>
      <c r="D400">
        <v>53</v>
      </c>
      <c r="E400" t="s">
        <v>13</v>
      </c>
      <c r="F400" s="1">
        <v>44013</v>
      </c>
      <c r="G400" t="s">
        <v>811</v>
      </c>
    </row>
    <row r="401" spans="1:7" x14ac:dyDescent="0.25">
      <c r="A401">
        <v>400</v>
      </c>
      <c r="B401" t="s">
        <v>812</v>
      </c>
      <c r="C401" t="s">
        <v>18</v>
      </c>
      <c r="D401">
        <v>66</v>
      </c>
      <c r="E401" t="s">
        <v>9</v>
      </c>
      <c r="F401" s="1">
        <v>44231</v>
      </c>
      <c r="G401" t="s">
        <v>813</v>
      </c>
    </row>
    <row r="402" spans="1:7" x14ac:dyDescent="0.25">
      <c r="A402">
        <v>401</v>
      </c>
      <c r="B402" t="s">
        <v>814</v>
      </c>
      <c r="C402" t="s">
        <v>18</v>
      </c>
      <c r="D402">
        <v>28</v>
      </c>
      <c r="E402" t="s">
        <v>9</v>
      </c>
      <c r="F402" s="1">
        <v>44055</v>
      </c>
      <c r="G402" t="s">
        <v>815</v>
      </c>
    </row>
    <row r="403" spans="1:7" x14ac:dyDescent="0.25">
      <c r="A403">
        <v>402</v>
      </c>
      <c r="B403" t="s">
        <v>816</v>
      </c>
      <c r="C403" t="s">
        <v>8</v>
      </c>
      <c r="D403">
        <v>46</v>
      </c>
      <c r="E403" t="s">
        <v>9</v>
      </c>
      <c r="F403" s="1">
        <v>44682</v>
      </c>
      <c r="G403" t="s">
        <v>817</v>
      </c>
    </row>
    <row r="404" spans="1:7" x14ac:dyDescent="0.25">
      <c r="A404">
        <v>403</v>
      </c>
      <c r="B404" t="s">
        <v>818</v>
      </c>
      <c r="C404" t="s">
        <v>12</v>
      </c>
      <c r="D404">
        <v>24</v>
      </c>
      <c r="E404" t="s">
        <v>13</v>
      </c>
      <c r="F404" s="1">
        <v>45363</v>
      </c>
      <c r="G404" t="s">
        <v>819</v>
      </c>
    </row>
    <row r="405" spans="1:7" x14ac:dyDescent="0.25">
      <c r="A405">
        <v>404</v>
      </c>
      <c r="B405" t="s">
        <v>820</v>
      </c>
      <c r="C405" t="s">
        <v>21</v>
      </c>
      <c r="D405">
        <v>45</v>
      </c>
      <c r="E405" t="s">
        <v>13</v>
      </c>
      <c r="F405" s="1">
        <v>44792</v>
      </c>
      <c r="G405" t="s">
        <v>821</v>
      </c>
    </row>
    <row r="406" spans="1:7" x14ac:dyDescent="0.25">
      <c r="A406">
        <v>405</v>
      </c>
      <c r="B406" t="s">
        <v>822</v>
      </c>
      <c r="C406" t="s">
        <v>18</v>
      </c>
      <c r="D406">
        <v>65</v>
      </c>
      <c r="E406" t="s">
        <v>9</v>
      </c>
      <c r="F406" s="1">
        <v>44108</v>
      </c>
      <c r="G406" t="s">
        <v>823</v>
      </c>
    </row>
    <row r="407" spans="1:7" x14ac:dyDescent="0.25">
      <c r="A407">
        <v>406</v>
      </c>
      <c r="B407" t="s">
        <v>824</v>
      </c>
      <c r="C407" t="s">
        <v>21</v>
      </c>
      <c r="D407">
        <v>30</v>
      </c>
      <c r="E407" t="s">
        <v>13</v>
      </c>
      <c r="F407" s="1">
        <v>45348</v>
      </c>
      <c r="G407" t="s">
        <v>825</v>
      </c>
    </row>
    <row r="408" spans="1:7" x14ac:dyDescent="0.25">
      <c r="A408">
        <v>407</v>
      </c>
      <c r="B408" t="s">
        <v>826</v>
      </c>
      <c r="C408" t="s">
        <v>12</v>
      </c>
      <c r="D408">
        <v>32</v>
      </c>
      <c r="E408" t="s">
        <v>9</v>
      </c>
      <c r="F408" s="1">
        <v>44934</v>
      </c>
      <c r="G408" t="s">
        <v>827</v>
      </c>
    </row>
    <row r="409" spans="1:7" x14ac:dyDescent="0.25">
      <c r="A409">
        <v>408</v>
      </c>
      <c r="B409" t="s">
        <v>828</v>
      </c>
      <c r="C409" t="s">
        <v>18</v>
      </c>
      <c r="D409">
        <v>66</v>
      </c>
      <c r="E409" t="s">
        <v>13</v>
      </c>
      <c r="F409" s="1">
        <v>44751</v>
      </c>
      <c r="G409" t="s">
        <v>829</v>
      </c>
    </row>
    <row r="410" spans="1:7" x14ac:dyDescent="0.25">
      <c r="A410">
        <v>409</v>
      </c>
      <c r="B410" t="s">
        <v>830</v>
      </c>
      <c r="C410" t="s">
        <v>21</v>
      </c>
      <c r="D410">
        <v>48</v>
      </c>
      <c r="E410" t="s">
        <v>9</v>
      </c>
      <c r="F410" s="1">
        <v>44677</v>
      </c>
      <c r="G410" t="s">
        <v>831</v>
      </c>
    </row>
    <row r="411" spans="1:7" x14ac:dyDescent="0.25">
      <c r="A411">
        <v>410</v>
      </c>
      <c r="B411" t="s">
        <v>832</v>
      </c>
      <c r="C411" t="s">
        <v>28</v>
      </c>
      <c r="D411">
        <v>28</v>
      </c>
      <c r="E411" t="s">
        <v>9</v>
      </c>
      <c r="F411" s="1">
        <v>45194</v>
      </c>
      <c r="G411" t="s">
        <v>833</v>
      </c>
    </row>
    <row r="412" spans="1:7" x14ac:dyDescent="0.25">
      <c r="A412">
        <v>411</v>
      </c>
      <c r="B412" t="s">
        <v>834</v>
      </c>
      <c r="C412" t="s">
        <v>28</v>
      </c>
      <c r="D412">
        <v>52</v>
      </c>
      <c r="E412" t="s">
        <v>9</v>
      </c>
      <c r="F412" s="1">
        <v>44296</v>
      </c>
      <c r="G412" t="s">
        <v>835</v>
      </c>
    </row>
    <row r="413" spans="1:7" x14ac:dyDescent="0.25">
      <c r="A413">
        <v>412</v>
      </c>
      <c r="B413" t="s">
        <v>836</v>
      </c>
      <c r="C413" t="s">
        <v>21</v>
      </c>
      <c r="D413">
        <v>30</v>
      </c>
      <c r="E413" t="s">
        <v>13</v>
      </c>
      <c r="F413" s="1">
        <v>44171</v>
      </c>
      <c r="G413" t="s">
        <v>837</v>
      </c>
    </row>
    <row r="414" spans="1:7" x14ac:dyDescent="0.25">
      <c r="A414">
        <v>413</v>
      </c>
      <c r="B414" t="s">
        <v>838</v>
      </c>
      <c r="C414" t="s">
        <v>12</v>
      </c>
      <c r="D414">
        <v>29</v>
      </c>
      <c r="E414" t="s">
        <v>9</v>
      </c>
      <c r="F414" s="1">
        <v>44114</v>
      </c>
      <c r="G414" t="s">
        <v>839</v>
      </c>
    </row>
    <row r="415" spans="1:7" x14ac:dyDescent="0.25">
      <c r="A415">
        <v>414</v>
      </c>
      <c r="B415" t="s">
        <v>840</v>
      </c>
      <c r="C415" t="s">
        <v>8</v>
      </c>
      <c r="D415">
        <v>59</v>
      </c>
      <c r="E415" t="s">
        <v>13</v>
      </c>
      <c r="F415" s="1">
        <v>45388</v>
      </c>
      <c r="G415" t="s">
        <v>841</v>
      </c>
    </row>
    <row r="416" spans="1:7" x14ac:dyDescent="0.25">
      <c r="A416">
        <v>415</v>
      </c>
      <c r="B416" t="s">
        <v>842</v>
      </c>
      <c r="C416" t="s">
        <v>21</v>
      </c>
      <c r="D416">
        <v>55</v>
      </c>
      <c r="E416" t="s">
        <v>13</v>
      </c>
      <c r="F416" s="1">
        <v>45184</v>
      </c>
      <c r="G416" t="s">
        <v>843</v>
      </c>
    </row>
    <row r="417" spans="1:7" x14ac:dyDescent="0.25">
      <c r="A417">
        <v>416</v>
      </c>
      <c r="B417" t="s">
        <v>844</v>
      </c>
      <c r="C417" t="s">
        <v>18</v>
      </c>
      <c r="D417">
        <v>24</v>
      </c>
      <c r="E417" t="s">
        <v>13</v>
      </c>
      <c r="F417" s="1">
        <v>45052</v>
      </c>
      <c r="G417" t="s">
        <v>845</v>
      </c>
    </row>
    <row r="418" spans="1:7" x14ac:dyDescent="0.25">
      <c r="A418">
        <v>417</v>
      </c>
      <c r="B418" t="s">
        <v>846</v>
      </c>
      <c r="C418" t="s">
        <v>28</v>
      </c>
      <c r="D418">
        <v>26</v>
      </c>
      <c r="E418" t="s">
        <v>9</v>
      </c>
      <c r="F418" s="1">
        <v>44934</v>
      </c>
      <c r="G418" t="s">
        <v>847</v>
      </c>
    </row>
    <row r="419" spans="1:7" x14ac:dyDescent="0.25">
      <c r="A419">
        <v>418</v>
      </c>
      <c r="B419" t="s">
        <v>848</v>
      </c>
      <c r="C419" t="s">
        <v>8</v>
      </c>
      <c r="D419">
        <v>32</v>
      </c>
      <c r="E419" t="s">
        <v>13</v>
      </c>
      <c r="F419" s="1">
        <v>44101</v>
      </c>
      <c r="G419" t="s">
        <v>849</v>
      </c>
    </row>
    <row r="420" spans="1:7" x14ac:dyDescent="0.25">
      <c r="A420">
        <v>419</v>
      </c>
      <c r="B420" t="s">
        <v>850</v>
      </c>
      <c r="C420" t="s">
        <v>18</v>
      </c>
      <c r="D420">
        <v>65</v>
      </c>
      <c r="E420" t="s">
        <v>13</v>
      </c>
      <c r="F420" s="1">
        <v>44970</v>
      </c>
      <c r="G420" t="s">
        <v>851</v>
      </c>
    </row>
    <row r="421" spans="1:7" x14ac:dyDescent="0.25">
      <c r="A421">
        <v>420</v>
      </c>
      <c r="B421" t="s">
        <v>852</v>
      </c>
      <c r="C421" t="s">
        <v>12</v>
      </c>
      <c r="D421">
        <v>35</v>
      </c>
      <c r="E421" t="s">
        <v>9</v>
      </c>
      <c r="F421" s="1">
        <v>45468</v>
      </c>
      <c r="G421" t="s">
        <v>853</v>
      </c>
    </row>
    <row r="422" spans="1:7" x14ac:dyDescent="0.25">
      <c r="A422">
        <v>421</v>
      </c>
      <c r="B422" t="s">
        <v>854</v>
      </c>
      <c r="C422" t="s">
        <v>18</v>
      </c>
      <c r="D422">
        <v>31</v>
      </c>
      <c r="E422" t="s">
        <v>9</v>
      </c>
      <c r="F422" s="1">
        <v>44962</v>
      </c>
      <c r="G422" t="s">
        <v>855</v>
      </c>
    </row>
    <row r="423" spans="1:7" x14ac:dyDescent="0.25">
      <c r="A423">
        <v>422</v>
      </c>
      <c r="B423" t="s">
        <v>856</v>
      </c>
      <c r="C423" t="s">
        <v>8</v>
      </c>
      <c r="D423">
        <v>64</v>
      </c>
      <c r="E423" t="s">
        <v>13</v>
      </c>
      <c r="F423" s="1">
        <v>44334</v>
      </c>
      <c r="G423" t="s">
        <v>857</v>
      </c>
    </row>
    <row r="424" spans="1:7" x14ac:dyDescent="0.25">
      <c r="A424">
        <v>423</v>
      </c>
      <c r="B424" t="s">
        <v>858</v>
      </c>
      <c r="C424" t="s">
        <v>28</v>
      </c>
      <c r="D424">
        <v>50</v>
      </c>
      <c r="E424" t="s">
        <v>9</v>
      </c>
      <c r="F424" s="1">
        <v>44817</v>
      </c>
      <c r="G424" t="s">
        <v>859</v>
      </c>
    </row>
    <row r="425" spans="1:7" x14ac:dyDescent="0.25">
      <c r="A425">
        <v>424</v>
      </c>
      <c r="B425" t="s">
        <v>860</v>
      </c>
      <c r="C425" t="s">
        <v>21</v>
      </c>
      <c r="D425">
        <v>27</v>
      </c>
      <c r="E425" t="s">
        <v>9</v>
      </c>
      <c r="F425" s="1">
        <v>44836</v>
      </c>
      <c r="G425" t="s">
        <v>861</v>
      </c>
    </row>
    <row r="426" spans="1:7" x14ac:dyDescent="0.25">
      <c r="A426">
        <v>425</v>
      </c>
      <c r="B426" t="s">
        <v>862</v>
      </c>
      <c r="C426" t="s">
        <v>28</v>
      </c>
      <c r="D426">
        <v>62</v>
      </c>
      <c r="E426" t="s">
        <v>13</v>
      </c>
      <c r="F426" s="1">
        <v>45351</v>
      </c>
      <c r="G426" t="s">
        <v>863</v>
      </c>
    </row>
    <row r="427" spans="1:7" x14ac:dyDescent="0.25">
      <c r="A427">
        <v>426</v>
      </c>
      <c r="B427" t="s">
        <v>864</v>
      </c>
      <c r="C427" t="s">
        <v>21</v>
      </c>
      <c r="D427">
        <v>53</v>
      </c>
      <c r="E427" t="s">
        <v>9</v>
      </c>
      <c r="F427" s="1">
        <v>45230</v>
      </c>
      <c r="G427" t="s">
        <v>865</v>
      </c>
    </row>
    <row r="428" spans="1:7" x14ac:dyDescent="0.25">
      <c r="A428">
        <v>427</v>
      </c>
      <c r="B428" t="s">
        <v>866</v>
      </c>
      <c r="C428" t="s">
        <v>8</v>
      </c>
      <c r="D428">
        <v>69</v>
      </c>
      <c r="E428" t="s">
        <v>9</v>
      </c>
      <c r="F428" s="1">
        <v>44070</v>
      </c>
      <c r="G428" t="s">
        <v>867</v>
      </c>
    </row>
    <row r="429" spans="1:7" x14ac:dyDescent="0.25">
      <c r="A429">
        <v>428</v>
      </c>
      <c r="B429" t="s">
        <v>868</v>
      </c>
      <c r="C429" t="s">
        <v>28</v>
      </c>
      <c r="D429">
        <v>37</v>
      </c>
      <c r="E429" t="s">
        <v>9</v>
      </c>
      <c r="F429" s="1">
        <v>44979</v>
      </c>
      <c r="G429" t="s">
        <v>869</v>
      </c>
    </row>
    <row r="430" spans="1:7" x14ac:dyDescent="0.25">
      <c r="A430">
        <v>429</v>
      </c>
      <c r="B430" t="s">
        <v>870</v>
      </c>
      <c r="C430" t="s">
        <v>21</v>
      </c>
      <c r="D430">
        <v>39</v>
      </c>
      <c r="E430" t="s">
        <v>9</v>
      </c>
      <c r="F430" s="1">
        <v>44382</v>
      </c>
      <c r="G430" t="s">
        <v>871</v>
      </c>
    </row>
    <row r="431" spans="1:7" x14ac:dyDescent="0.25">
      <c r="A431">
        <v>430</v>
      </c>
      <c r="B431" t="s">
        <v>872</v>
      </c>
      <c r="C431" t="s">
        <v>8</v>
      </c>
      <c r="D431">
        <v>51</v>
      </c>
      <c r="E431" t="s">
        <v>9</v>
      </c>
      <c r="F431" s="1">
        <v>45217</v>
      </c>
      <c r="G431" t="s">
        <v>873</v>
      </c>
    </row>
    <row r="432" spans="1:7" x14ac:dyDescent="0.25">
      <c r="A432">
        <v>431</v>
      </c>
      <c r="B432" t="s">
        <v>874</v>
      </c>
      <c r="C432" t="s">
        <v>28</v>
      </c>
      <c r="D432">
        <v>20</v>
      </c>
      <c r="E432" t="s">
        <v>13</v>
      </c>
      <c r="F432" s="1">
        <v>44731</v>
      </c>
      <c r="G432" t="s">
        <v>875</v>
      </c>
    </row>
    <row r="433" spans="1:7" x14ac:dyDescent="0.25">
      <c r="A433">
        <v>432</v>
      </c>
      <c r="B433" t="s">
        <v>876</v>
      </c>
      <c r="C433" t="s">
        <v>12</v>
      </c>
      <c r="D433">
        <v>28</v>
      </c>
      <c r="E433" t="s">
        <v>13</v>
      </c>
      <c r="F433" s="1">
        <v>44937</v>
      </c>
      <c r="G433" t="s">
        <v>877</v>
      </c>
    </row>
    <row r="434" spans="1:7" x14ac:dyDescent="0.25">
      <c r="A434">
        <v>433</v>
      </c>
      <c r="B434" t="s">
        <v>878</v>
      </c>
      <c r="C434" t="s">
        <v>21</v>
      </c>
      <c r="D434">
        <v>61</v>
      </c>
      <c r="E434" t="s">
        <v>13</v>
      </c>
      <c r="F434" s="1">
        <v>45520</v>
      </c>
      <c r="G434" t="s">
        <v>879</v>
      </c>
    </row>
    <row r="435" spans="1:7" x14ac:dyDescent="0.25">
      <c r="A435">
        <v>434</v>
      </c>
      <c r="B435" t="s">
        <v>880</v>
      </c>
      <c r="C435" t="s">
        <v>21</v>
      </c>
      <c r="D435">
        <v>36</v>
      </c>
      <c r="E435" t="s">
        <v>13</v>
      </c>
      <c r="F435" s="1">
        <v>44819</v>
      </c>
      <c r="G435" t="s">
        <v>881</v>
      </c>
    </row>
    <row r="436" spans="1:7" x14ac:dyDescent="0.25">
      <c r="A436">
        <v>435</v>
      </c>
      <c r="B436" t="s">
        <v>882</v>
      </c>
      <c r="C436" t="s">
        <v>28</v>
      </c>
      <c r="D436">
        <v>62</v>
      </c>
      <c r="E436" t="s">
        <v>13</v>
      </c>
      <c r="F436" s="1">
        <v>43914</v>
      </c>
      <c r="G436" t="s">
        <v>883</v>
      </c>
    </row>
    <row r="437" spans="1:7" x14ac:dyDescent="0.25">
      <c r="A437">
        <v>436</v>
      </c>
      <c r="B437" t="s">
        <v>884</v>
      </c>
      <c r="C437" t="s">
        <v>12</v>
      </c>
      <c r="D437">
        <v>59</v>
      </c>
      <c r="E437" t="s">
        <v>13</v>
      </c>
      <c r="F437" s="1">
        <v>44511</v>
      </c>
      <c r="G437" t="s">
        <v>885</v>
      </c>
    </row>
    <row r="438" spans="1:7" x14ac:dyDescent="0.25">
      <c r="A438">
        <v>437</v>
      </c>
      <c r="B438" t="s">
        <v>886</v>
      </c>
      <c r="C438" t="s">
        <v>21</v>
      </c>
      <c r="D438">
        <v>49</v>
      </c>
      <c r="E438" t="s">
        <v>13</v>
      </c>
      <c r="F438" s="1">
        <v>44582</v>
      </c>
      <c r="G438" t="s">
        <v>887</v>
      </c>
    </row>
    <row r="439" spans="1:7" x14ac:dyDescent="0.25">
      <c r="A439">
        <v>438</v>
      </c>
      <c r="B439" t="s">
        <v>888</v>
      </c>
      <c r="C439" t="s">
        <v>28</v>
      </c>
      <c r="D439">
        <v>43</v>
      </c>
      <c r="E439" t="s">
        <v>13</v>
      </c>
      <c r="F439" s="1">
        <v>44971</v>
      </c>
      <c r="G439" t="s">
        <v>889</v>
      </c>
    </row>
    <row r="440" spans="1:7" x14ac:dyDescent="0.25">
      <c r="A440">
        <v>439</v>
      </c>
      <c r="B440" t="s">
        <v>890</v>
      </c>
      <c r="C440" t="s">
        <v>28</v>
      </c>
      <c r="D440">
        <v>67</v>
      </c>
      <c r="E440" t="s">
        <v>9</v>
      </c>
      <c r="F440" s="1">
        <v>43864</v>
      </c>
      <c r="G440" t="s">
        <v>891</v>
      </c>
    </row>
    <row r="441" spans="1:7" x14ac:dyDescent="0.25">
      <c r="A441">
        <v>440</v>
      </c>
      <c r="B441" t="s">
        <v>892</v>
      </c>
      <c r="C441" t="s">
        <v>28</v>
      </c>
      <c r="D441">
        <v>47</v>
      </c>
      <c r="E441" t="s">
        <v>13</v>
      </c>
      <c r="F441" s="1">
        <v>44239</v>
      </c>
      <c r="G441" t="s">
        <v>893</v>
      </c>
    </row>
    <row r="442" spans="1:7" x14ac:dyDescent="0.25">
      <c r="A442">
        <v>441</v>
      </c>
      <c r="B442" t="s">
        <v>894</v>
      </c>
      <c r="C442" t="s">
        <v>21</v>
      </c>
      <c r="D442">
        <v>29</v>
      </c>
      <c r="E442" t="s">
        <v>13</v>
      </c>
      <c r="F442" s="1">
        <v>44551</v>
      </c>
      <c r="G442" t="s">
        <v>895</v>
      </c>
    </row>
    <row r="443" spans="1:7" x14ac:dyDescent="0.25">
      <c r="A443">
        <v>442</v>
      </c>
      <c r="B443" t="s">
        <v>896</v>
      </c>
      <c r="C443" t="s">
        <v>28</v>
      </c>
      <c r="D443">
        <v>37</v>
      </c>
      <c r="E443" t="s">
        <v>13</v>
      </c>
      <c r="F443" s="1">
        <v>45568</v>
      </c>
      <c r="G443" t="s">
        <v>897</v>
      </c>
    </row>
    <row r="444" spans="1:7" x14ac:dyDescent="0.25">
      <c r="A444">
        <v>443</v>
      </c>
      <c r="B444" t="s">
        <v>898</v>
      </c>
      <c r="C444" t="s">
        <v>21</v>
      </c>
      <c r="D444">
        <v>23</v>
      </c>
      <c r="E444" t="s">
        <v>13</v>
      </c>
      <c r="F444" s="1">
        <v>44996</v>
      </c>
      <c r="G444" t="s">
        <v>899</v>
      </c>
    </row>
    <row r="445" spans="1:7" x14ac:dyDescent="0.25">
      <c r="A445">
        <v>444</v>
      </c>
      <c r="B445" t="s">
        <v>900</v>
      </c>
      <c r="C445" t="s">
        <v>8</v>
      </c>
      <c r="D445">
        <v>33</v>
      </c>
      <c r="E445" t="s">
        <v>13</v>
      </c>
      <c r="F445" s="1">
        <v>43870</v>
      </c>
      <c r="G445" t="s">
        <v>901</v>
      </c>
    </row>
    <row r="446" spans="1:7" x14ac:dyDescent="0.25">
      <c r="A446">
        <v>445</v>
      </c>
      <c r="B446" t="s">
        <v>902</v>
      </c>
      <c r="C446" t="s">
        <v>28</v>
      </c>
      <c r="D446">
        <v>62</v>
      </c>
      <c r="E446" t="s">
        <v>9</v>
      </c>
      <c r="F446" s="1">
        <v>44293</v>
      </c>
      <c r="G446" t="s">
        <v>903</v>
      </c>
    </row>
    <row r="447" spans="1:7" x14ac:dyDescent="0.25">
      <c r="A447">
        <v>446</v>
      </c>
      <c r="B447" t="s">
        <v>904</v>
      </c>
      <c r="C447" t="s">
        <v>28</v>
      </c>
      <c r="D447">
        <v>24</v>
      </c>
      <c r="E447" t="s">
        <v>13</v>
      </c>
      <c r="F447" s="1">
        <v>44229</v>
      </c>
      <c r="G447" t="s">
        <v>905</v>
      </c>
    </row>
    <row r="448" spans="1:7" x14ac:dyDescent="0.25">
      <c r="A448">
        <v>447</v>
      </c>
      <c r="B448" t="s">
        <v>906</v>
      </c>
      <c r="C448" t="s">
        <v>8</v>
      </c>
      <c r="D448">
        <v>19</v>
      </c>
      <c r="E448" t="s">
        <v>13</v>
      </c>
      <c r="F448" s="1">
        <v>44635</v>
      </c>
      <c r="G448" t="s">
        <v>907</v>
      </c>
    </row>
    <row r="449" spans="1:7" x14ac:dyDescent="0.25">
      <c r="A449">
        <v>448</v>
      </c>
      <c r="B449" t="s">
        <v>908</v>
      </c>
      <c r="C449" t="s">
        <v>8</v>
      </c>
      <c r="D449">
        <v>63</v>
      </c>
      <c r="E449" t="s">
        <v>9</v>
      </c>
      <c r="F449" s="1">
        <v>45198</v>
      </c>
      <c r="G449" t="s">
        <v>909</v>
      </c>
    </row>
    <row r="450" spans="1:7" x14ac:dyDescent="0.25">
      <c r="A450">
        <v>449</v>
      </c>
      <c r="B450" t="s">
        <v>910</v>
      </c>
      <c r="C450" t="s">
        <v>28</v>
      </c>
      <c r="D450">
        <v>68</v>
      </c>
      <c r="E450" t="s">
        <v>13</v>
      </c>
      <c r="F450" s="1">
        <v>44932</v>
      </c>
      <c r="G450" t="s">
        <v>911</v>
      </c>
    </row>
    <row r="451" spans="1:7" x14ac:dyDescent="0.25">
      <c r="A451">
        <v>450</v>
      </c>
      <c r="B451" t="s">
        <v>912</v>
      </c>
      <c r="C451" t="s">
        <v>28</v>
      </c>
      <c r="D451">
        <v>19</v>
      </c>
      <c r="E451" t="s">
        <v>13</v>
      </c>
      <c r="F451" s="1">
        <v>44768</v>
      </c>
      <c r="G451" t="s">
        <v>913</v>
      </c>
    </row>
    <row r="452" spans="1:7" x14ac:dyDescent="0.25">
      <c r="A452">
        <v>451</v>
      </c>
      <c r="B452" t="s">
        <v>914</v>
      </c>
      <c r="C452" t="s">
        <v>18</v>
      </c>
      <c r="D452">
        <v>46</v>
      </c>
      <c r="E452" t="s">
        <v>9</v>
      </c>
      <c r="F452" s="1">
        <v>44038</v>
      </c>
      <c r="G452" t="s">
        <v>915</v>
      </c>
    </row>
    <row r="453" spans="1:7" x14ac:dyDescent="0.25">
      <c r="A453">
        <v>452</v>
      </c>
      <c r="B453" t="s">
        <v>916</v>
      </c>
      <c r="C453" t="s">
        <v>12</v>
      </c>
      <c r="D453">
        <v>69</v>
      </c>
      <c r="E453" t="s">
        <v>9</v>
      </c>
      <c r="F453" s="1">
        <v>44709</v>
      </c>
      <c r="G453" t="s">
        <v>917</v>
      </c>
    </row>
    <row r="454" spans="1:7" x14ac:dyDescent="0.25">
      <c r="A454">
        <v>453</v>
      </c>
      <c r="B454" t="s">
        <v>918</v>
      </c>
      <c r="C454" t="s">
        <v>18</v>
      </c>
      <c r="D454">
        <v>64</v>
      </c>
      <c r="E454" t="s">
        <v>13</v>
      </c>
      <c r="F454" s="1">
        <v>44212</v>
      </c>
      <c r="G454" t="s">
        <v>919</v>
      </c>
    </row>
    <row r="455" spans="1:7" x14ac:dyDescent="0.25">
      <c r="A455">
        <v>454</v>
      </c>
      <c r="B455" t="s">
        <v>920</v>
      </c>
      <c r="C455" t="s">
        <v>18</v>
      </c>
      <c r="D455">
        <v>67</v>
      </c>
      <c r="E455" t="s">
        <v>9</v>
      </c>
      <c r="F455" s="1">
        <v>45237</v>
      </c>
      <c r="G455" t="s">
        <v>921</v>
      </c>
    </row>
    <row r="456" spans="1:7" x14ac:dyDescent="0.25">
      <c r="A456">
        <v>455</v>
      </c>
      <c r="B456" t="s">
        <v>922</v>
      </c>
      <c r="C456" t="s">
        <v>18</v>
      </c>
      <c r="D456">
        <v>31</v>
      </c>
      <c r="E456" t="s">
        <v>9</v>
      </c>
      <c r="F456" s="1">
        <v>45250</v>
      </c>
      <c r="G456" t="s">
        <v>923</v>
      </c>
    </row>
    <row r="457" spans="1:7" x14ac:dyDescent="0.25">
      <c r="A457">
        <v>456</v>
      </c>
      <c r="B457" t="s">
        <v>924</v>
      </c>
      <c r="C457" t="s">
        <v>28</v>
      </c>
      <c r="D457">
        <v>50</v>
      </c>
      <c r="E457" t="s">
        <v>9</v>
      </c>
      <c r="F457" s="1">
        <v>43927</v>
      </c>
      <c r="G457" t="s">
        <v>925</v>
      </c>
    </row>
    <row r="458" spans="1:7" x14ac:dyDescent="0.25">
      <c r="A458">
        <v>457</v>
      </c>
      <c r="B458" t="s">
        <v>926</v>
      </c>
      <c r="C458" t="s">
        <v>18</v>
      </c>
      <c r="D458">
        <v>26</v>
      </c>
      <c r="E458" t="s">
        <v>9</v>
      </c>
      <c r="F458" s="1">
        <v>44007</v>
      </c>
      <c r="G458" t="s">
        <v>927</v>
      </c>
    </row>
    <row r="459" spans="1:7" x14ac:dyDescent="0.25">
      <c r="A459">
        <v>458</v>
      </c>
      <c r="B459" t="s">
        <v>928</v>
      </c>
      <c r="C459" t="s">
        <v>28</v>
      </c>
      <c r="D459">
        <v>35</v>
      </c>
      <c r="E459" t="s">
        <v>13</v>
      </c>
      <c r="F459" s="1">
        <v>44113</v>
      </c>
      <c r="G459" t="s">
        <v>929</v>
      </c>
    </row>
    <row r="460" spans="1:7" x14ac:dyDescent="0.25">
      <c r="A460">
        <v>459</v>
      </c>
      <c r="B460" t="s">
        <v>930</v>
      </c>
      <c r="C460" t="s">
        <v>8</v>
      </c>
      <c r="D460">
        <v>56</v>
      </c>
      <c r="E460" t="s">
        <v>9</v>
      </c>
      <c r="F460" s="1">
        <v>44683</v>
      </c>
      <c r="G460" t="s">
        <v>931</v>
      </c>
    </row>
    <row r="461" spans="1:7" x14ac:dyDescent="0.25">
      <c r="A461">
        <v>460</v>
      </c>
      <c r="B461" t="s">
        <v>932</v>
      </c>
      <c r="C461" t="s">
        <v>8</v>
      </c>
      <c r="D461">
        <v>56</v>
      </c>
      <c r="E461" t="s">
        <v>9</v>
      </c>
      <c r="F461" s="1">
        <v>44554</v>
      </c>
      <c r="G461" t="s">
        <v>933</v>
      </c>
    </row>
    <row r="462" spans="1:7" x14ac:dyDescent="0.25">
      <c r="A462">
        <v>461</v>
      </c>
      <c r="B462" t="s">
        <v>934</v>
      </c>
      <c r="C462" t="s">
        <v>8</v>
      </c>
      <c r="D462">
        <v>40</v>
      </c>
      <c r="E462" t="s">
        <v>13</v>
      </c>
      <c r="F462" s="1">
        <v>45559</v>
      </c>
      <c r="G462" t="s">
        <v>935</v>
      </c>
    </row>
    <row r="463" spans="1:7" x14ac:dyDescent="0.25">
      <c r="A463">
        <v>462</v>
      </c>
      <c r="B463" t="s">
        <v>936</v>
      </c>
      <c r="C463" t="s">
        <v>8</v>
      </c>
      <c r="D463">
        <v>52</v>
      </c>
      <c r="E463" t="s">
        <v>9</v>
      </c>
      <c r="F463" s="1">
        <v>44878</v>
      </c>
      <c r="G463" t="s">
        <v>937</v>
      </c>
    </row>
    <row r="464" spans="1:7" x14ac:dyDescent="0.25">
      <c r="A464">
        <v>463</v>
      </c>
      <c r="B464" t="s">
        <v>938</v>
      </c>
      <c r="C464" t="s">
        <v>12</v>
      </c>
      <c r="D464">
        <v>43</v>
      </c>
      <c r="E464" t="s">
        <v>9</v>
      </c>
      <c r="F464" s="1">
        <v>44727</v>
      </c>
      <c r="G464" t="s">
        <v>939</v>
      </c>
    </row>
    <row r="465" spans="1:7" x14ac:dyDescent="0.25">
      <c r="A465">
        <v>464</v>
      </c>
      <c r="B465" t="s">
        <v>940</v>
      </c>
      <c r="C465" t="s">
        <v>18</v>
      </c>
      <c r="D465">
        <v>39</v>
      </c>
      <c r="E465" t="s">
        <v>13</v>
      </c>
      <c r="F465" s="1">
        <v>44846</v>
      </c>
      <c r="G465" t="s">
        <v>941</v>
      </c>
    </row>
    <row r="466" spans="1:7" x14ac:dyDescent="0.25">
      <c r="A466">
        <v>465</v>
      </c>
      <c r="B466" t="s">
        <v>942</v>
      </c>
      <c r="C466" t="s">
        <v>28</v>
      </c>
      <c r="D466">
        <v>69</v>
      </c>
      <c r="E466" t="s">
        <v>13</v>
      </c>
      <c r="F466" s="1">
        <v>45267</v>
      </c>
      <c r="G466" t="s">
        <v>943</v>
      </c>
    </row>
    <row r="467" spans="1:7" x14ac:dyDescent="0.25">
      <c r="A467">
        <v>466</v>
      </c>
      <c r="B467" t="s">
        <v>944</v>
      </c>
      <c r="C467" t="s">
        <v>21</v>
      </c>
      <c r="D467">
        <v>30</v>
      </c>
      <c r="E467" t="s">
        <v>9</v>
      </c>
      <c r="F467" s="1">
        <v>44596</v>
      </c>
      <c r="G467" t="s">
        <v>945</v>
      </c>
    </row>
    <row r="468" spans="1:7" x14ac:dyDescent="0.25">
      <c r="A468">
        <v>467</v>
      </c>
      <c r="B468" t="s">
        <v>946</v>
      </c>
      <c r="C468" t="s">
        <v>21</v>
      </c>
      <c r="D468">
        <v>55</v>
      </c>
      <c r="E468" t="s">
        <v>13</v>
      </c>
      <c r="F468" s="1">
        <v>44302</v>
      </c>
      <c r="G468" t="s">
        <v>947</v>
      </c>
    </row>
    <row r="469" spans="1:7" x14ac:dyDescent="0.25">
      <c r="A469">
        <v>468</v>
      </c>
      <c r="B469" t="s">
        <v>948</v>
      </c>
      <c r="C469" t="s">
        <v>12</v>
      </c>
      <c r="D469">
        <v>24</v>
      </c>
      <c r="E469" t="s">
        <v>9</v>
      </c>
      <c r="F469" s="1">
        <v>45120</v>
      </c>
      <c r="G469" t="s">
        <v>949</v>
      </c>
    </row>
    <row r="470" spans="1:7" x14ac:dyDescent="0.25">
      <c r="A470">
        <v>469</v>
      </c>
      <c r="B470" t="s">
        <v>950</v>
      </c>
      <c r="C470" t="s">
        <v>18</v>
      </c>
      <c r="D470">
        <v>21</v>
      </c>
      <c r="E470" t="s">
        <v>9</v>
      </c>
      <c r="F470" s="1">
        <v>43902</v>
      </c>
      <c r="G470" t="s">
        <v>951</v>
      </c>
    </row>
    <row r="471" spans="1:7" x14ac:dyDescent="0.25">
      <c r="A471">
        <v>470</v>
      </c>
      <c r="B471" t="s">
        <v>276</v>
      </c>
      <c r="C471" t="s">
        <v>18</v>
      </c>
      <c r="D471">
        <v>48</v>
      </c>
      <c r="E471" t="s">
        <v>13</v>
      </c>
      <c r="F471" s="1">
        <v>45158</v>
      </c>
      <c r="G471" t="s">
        <v>952</v>
      </c>
    </row>
    <row r="472" spans="1:7" x14ac:dyDescent="0.25">
      <c r="A472">
        <v>471</v>
      </c>
      <c r="B472" t="s">
        <v>953</v>
      </c>
      <c r="C472" t="s">
        <v>12</v>
      </c>
      <c r="D472">
        <v>23</v>
      </c>
      <c r="E472" t="s">
        <v>13</v>
      </c>
      <c r="F472" s="1">
        <v>44856</v>
      </c>
      <c r="G472" t="s">
        <v>954</v>
      </c>
    </row>
    <row r="473" spans="1:7" x14ac:dyDescent="0.25">
      <c r="A473">
        <v>472</v>
      </c>
      <c r="B473" t="s">
        <v>955</v>
      </c>
      <c r="C473" t="s">
        <v>12</v>
      </c>
      <c r="D473">
        <v>49</v>
      </c>
      <c r="E473" t="s">
        <v>13</v>
      </c>
      <c r="F473" s="1">
        <v>44511</v>
      </c>
      <c r="G473" t="s">
        <v>956</v>
      </c>
    </row>
    <row r="474" spans="1:7" x14ac:dyDescent="0.25">
      <c r="A474">
        <v>473</v>
      </c>
      <c r="B474" t="s">
        <v>957</v>
      </c>
      <c r="C474" t="s">
        <v>21</v>
      </c>
      <c r="D474">
        <v>59</v>
      </c>
      <c r="E474" t="s">
        <v>13</v>
      </c>
      <c r="F474" s="1">
        <v>43916</v>
      </c>
      <c r="G474" t="s">
        <v>958</v>
      </c>
    </row>
    <row r="475" spans="1:7" x14ac:dyDescent="0.25">
      <c r="A475">
        <v>474</v>
      </c>
      <c r="B475" t="s">
        <v>959</v>
      </c>
      <c r="C475" t="s">
        <v>18</v>
      </c>
      <c r="D475">
        <v>56</v>
      </c>
      <c r="E475" t="s">
        <v>13</v>
      </c>
      <c r="F475" s="1">
        <v>45323</v>
      </c>
      <c r="G475" t="s">
        <v>960</v>
      </c>
    </row>
    <row r="476" spans="1:7" x14ac:dyDescent="0.25">
      <c r="A476">
        <v>475</v>
      </c>
      <c r="B476" t="s">
        <v>961</v>
      </c>
      <c r="C476" t="s">
        <v>21</v>
      </c>
      <c r="D476">
        <v>38</v>
      </c>
      <c r="E476" t="s">
        <v>9</v>
      </c>
      <c r="F476" s="1">
        <v>43863</v>
      </c>
      <c r="G476" t="s">
        <v>962</v>
      </c>
    </row>
    <row r="477" spans="1:7" x14ac:dyDescent="0.25">
      <c r="A477">
        <v>476</v>
      </c>
      <c r="B477" t="s">
        <v>963</v>
      </c>
      <c r="C477" t="s">
        <v>12</v>
      </c>
      <c r="D477">
        <v>59</v>
      </c>
      <c r="E477" t="s">
        <v>9</v>
      </c>
      <c r="F477" s="1">
        <v>44503</v>
      </c>
      <c r="G477" t="s">
        <v>964</v>
      </c>
    </row>
    <row r="478" spans="1:7" x14ac:dyDescent="0.25">
      <c r="A478">
        <v>477</v>
      </c>
      <c r="B478" t="s">
        <v>965</v>
      </c>
      <c r="C478" t="s">
        <v>21</v>
      </c>
      <c r="D478">
        <v>29</v>
      </c>
      <c r="E478" t="s">
        <v>9</v>
      </c>
      <c r="F478" s="1">
        <v>44836</v>
      </c>
      <c r="G478" t="s">
        <v>966</v>
      </c>
    </row>
    <row r="479" spans="1:7" x14ac:dyDescent="0.25">
      <c r="A479">
        <v>478</v>
      </c>
      <c r="B479" t="s">
        <v>967</v>
      </c>
      <c r="C479" t="s">
        <v>12</v>
      </c>
      <c r="D479">
        <v>64</v>
      </c>
      <c r="E479" t="s">
        <v>9</v>
      </c>
      <c r="F479" s="1">
        <v>45399</v>
      </c>
      <c r="G479" t="s">
        <v>968</v>
      </c>
    </row>
    <row r="480" spans="1:7" x14ac:dyDescent="0.25">
      <c r="A480">
        <v>479</v>
      </c>
      <c r="B480" t="s">
        <v>969</v>
      </c>
      <c r="C480" t="s">
        <v>18</v>
      </c>
      <c r="D480">
        <v>46</v>
      </c>
      <c r="E480" t="s">
        <v>13</v>
      </c>
      <c r="F480" s="1">
        <v>44939</v>
      </c>
      <c r="G480" t="s">
        <v>970</v>
      </c>
    </row>
    <row r="481" spans="1:7" x14ac:dyDescent="0.25">
      <c r="A481">
        <v>480</v>
      </c>
      <c r="B481" t="s">
        <v>971</v>
      </c>
      <c r="C481" t="s">
        <v>21</v>
      </c>
      <c r="D481">
        <v>22</v>
      </c>
      <c r="E481" t="s">
        <v>9</v>
      </c>
      <c r="F481" s="1">
        <v>44106</v>
      </c>
      <c r="G481" t="s">
        <v>972</v>
      </c>
    </row>
    <row r="482" spans="1:7" x14ac:dyDescent="0.25">
      <c r="A482">
        <v>481</v>
      </c>
      <c r="B482" t="s">
        <v>973</v>
      </c>
      <c r="C482" t="s">
        <v>18</v>
      </c>
      <c r="D482">
        <v>20</v>
      </c>
      <c r="E482" t="s">
        <v>9</v>
      </c>
      <c r="F482" s="1">
        <v>44655</v>
      </c>
      <c r="G482" t="s">
        <v>974</v>
      </c>
    </row>
    <row r="483" spans="1:7" x14ac:dyDescent="0.25">
      <c r="A483">
        <v>482</v>
      </c>
      <c r="B483" t="s">
        <v>975</v>
      </c>
      <c r="C483" t="s">
        <v>28</v>
      </c>
      <c r="D483">
        <v>64</v>
      </c>
      <c r="E483" t="s">
        <v>9</v>
      </c>
      <c r="F483" s="1">
        <v>44221</v>
      </c>
      <c r="G483" t="s">
        <v>976</v>
      </c>
    </row>
    <row r="484" spans="1:7" x14ac:dyDescent="0.25">
      <c r="A484">
        <v>483</v>
      </c>
      <c r="B484" t="s">
        <v>977</v>
      </c>
      <c r="C484" t="s">
        <v>8</v>
      </c>
      <c r="D484">
        <v>54</v>
      </c>
      <c r="E484" t="s">
        <v>13</v>
      </c>
      <c r="F484" s="1">
        <v>43963</v>
      </c>
      <c r="G484" t="s">
        <v>978</v>
      </c>
    </row>
    <row r="485" spans="1:7" x14ac:dyDescent="0.25">
      <c r="A485">
        <v>484</v>
      </c>
      <c r="B485" t="s">
        <v>979</v>
      </c>
      <c r="C485" t="s">
        <v>12</v>
      </c>
      <c r="D485">
        <v>52</v>
      </c>
      <c r="E485" t="s">
        <v>13</v>
      </c>
      <c r="F485" s="1">
        <v>44393</v>
      </c>
      <c r="G485" t="s">
        <v>980</v>
      </c>
    </row>
    <row r="486" spans="1:7" x14ac:dyDescent="0.25">
      <c r="A486">
        <v>485</v>
      </c>
      <c r="B486" t="s">
        <v>981</v>
      </c>
      <c r="C486" t="s">
        <v>18</v>
      </c>
      <c r="D486">
        <v>51</v>
      </c>
      <c r="E486" t="s">
        <v>13</v>
      </c>
      <c r="F486" s="1">
        <v>45358</v>
      </c>
      <c r="G486" t="s">
        <v>982</v>
      </c>
    </row>
    <row r="487" spans="1:7" x14ac:dyDescent="0.25">
      <c r="A487">
        <v>486</v>
      </c>
      <c r="B487" t="s">
        <v>983</v>
      </c>
      <c r="C487" t="s">
        <v>8</v>
      </c>
      <c r="D487">
        <v>22</v>
      </c>
      <c r="E487" t="s">
        <v>9</v>
      </c>
      <c r="F487" s="1">
        <v>44838</v>
      </c>
      <c r="G487" t="s">
        <v>984</v>
      </c>
    </row>
    <row r="488" spans="1:7" x14ac:dyDescent="0.25">
      <c r="A488">
        <v>487</v>
      </c>
      <c r="B488" t="s">
        <v>985</v>
      </c>
      <c r="C488" t="s">
        <v>21</v>
      </c>
      <c r="D488">
        <v>47</v>
      </c>
      <c r="E488" t="s">
        <v>9</v>
      </c>
      <c r="F488" s="1">
        <v>44768</v>
      </c>
      <c r="G488" t="s">
        <v>986</v>
      </c>
    </row>
    <row r="489" spans="1:7" x14ac:dyDescent="0.25">
      <c r="A489">
        <v>488</v>
      </c>
      <c r="B489" t="s">
        <v>987</v>
      </c>
      <c r="C489" t="s">
        <v>8</v>
      </c>
      <c r="D489">
        <v>55</v>
      </c>
      <c r="E489" t="s">
        <v>9</v>
      </c>
      <c r="F489" s="1">
        <v>44792</v>
      </c>
      <c r="G489" t="s">
        <v>988</v>
      </c>
    </row>
    <row r="490" spans="1:7" x14ac:dyDescent="0.25">
      <c r="A490">
        <v>489</v>
      </c>
      <c r="B490" t="s">
        <v>989</v>
      </c>
      <c r="C490" t="s">
        <v>12</v>
      </c>
      <c r="D490">
        <v>33</v>
      </c>
      <c r="E490" t="s">
        <v>13</v>
      </c>
      <c r="F490" s="1">
        <v>45099</v>
      </c>
      <c r="G490" t="s">
        <v>990</v>
      </c>
    </row>
    <row r="491" spans="1:7" x14ac:dyDescent="0.25">
      <c r="A491">
        <v>490</v>
      </c>
      <c r="B491" t="s">
        <v>991</v>
      </c>
      <c r="C491" t="s">
        <v>12</v>
      </c>
      <c r="D491">
        <v>64</v>
      </c>
      <c r="E491" t="s">
        <v>9</v>
      </c>
      <c r="F491" s="1">
        <v>45562</v>
      </c>
      <c r="G491" t="s">
        <v>992</v>
      </c>
    </row>
    <row r="492" spans="1:7" x14ac:dyDescent="0.25">
      <c r="A492">
        <v>491</v>
      </c>
      <c r="B492" t="s">
        <v>993</v>
      </c>
      <c r="C492" t="s">
        <v>8</v>
      </c>
      <c r="D492">
        <v>33</v>
      </c>
      <c r="E492" t="s">
        <v>13</v>
      </c>
      <c r="F492" s="1">
        <v>44785</v>
      </c>
      <c r="G492" t="s">
        <v>994</v>
      </c>
    </row>
    <row r="493" spans="1:7" x14ac:dyDescent="0.25">
      <c r="A493">
        <v>492</v>
      </c>
      <c r="B493" t="s">
        <v>995</v>
      </c>
      <c r="C493" t="s">
        <v>28</v>
      </c>
      <c r="D493">
        <v>21</v>
      </c>
      <c r="E493" t="s">
        <v>9</v>
      </c>
      <c r="F493" s="1">
        <v>44368</v>
      </c>
      <c r="G493" t="s">
        <v>996</v>
      </c>
    </row>
    <row r="494" spans="1:7" x14ac:dyDescent="0.25">
      <c r="A494">
        <v>493</v>
      </c>
      <c r="B494" t="s">
        <v>997</v>
      </c>
      <c r="C494" t="s">
        <v>8</v>
      </c>
      <c r="D494">
        <v>24</v>
      </c>
      <c r="E494" t="s">
        <v>13</v>
      </c>
      <c r="F494" s="1">
        <v>45338</v>
      </c>
      <c r="G494" t="s">
        <v>998</v>
      </c>
    </row>
    <row r="495" spans="1:7" x14ac:dyDescent="0.25">
      <c r="A495">
        <v>494</v>
      </c>
      <c r="B495" t="s">
        <v>999</v>
      </c>
      <c r="C495" t="s">
        <v>8</v>
      </c>
      <c r="D495">
        <v>68</v>
      </c>
      <c r="E495" t="s">
        <v>13</v>
      </c>
      <c r="F495" s="1">
        <v>45020</v>
      </c>
      <c r="G495" t="s">
        <v>1000</v>
      </c>
    </row>
    <row r="496" spans="1:7" x14ac:dyDescent="0.25">
      <c r="A496">
        <v>495</v>
      </c>
      <c r="B496" t="s">
        <v>1001</v>
      </c>
      <c r="C496" t="s">
        <v>12</v>
      </c>
      <c r="D496">
        <v>19</v>
      </c>
      <c r="E496" t="s">
        <v>9</v>
      </c>
      <c r="F496" s="1">
        <v>44713</v>
      </c>
      <c r="G496" t="s">
        <v>1002</v>
      </c>
    </row>
    <row r="497" spans="1:7" x14ac:dyDescent="0.25">
      <c r="A497">
        <v>496</v>
      </c>
      <c r="B497" t="s">
        <v>1003</v>
      </c>
      <c r="C497" t="s">
        <v>12</v>
      </c>
      <c r="D497">
        <v>68</v>
      </c>
      <c r="E497" t="s">
        <v>9</v>
      </c>
      <c r="F497" s="1">
        <v>45215</v>
      </c>
      <c r="G497" t="s">
        <v>1004</v>
      </c>
    </row>
    <row r="498" spans="1:7" x14ac:dyDescent="0.25">
      <c r="A498">
        <v>497</v>
      </c>
      <c r="B498" t="s">
        <v>1005</v>
      </c>
      <c r="C498" t="s">
        <v>28</v>
      </c>
      <c r="D498">
        <v>33</v>
      </c>
      <c r="E498" t="s">
        <v>13</v>
      </c>
      <c r="F498" s="1">
        <v>44988</v>
      </c>
      <c r="G498" t="s">
        <v>1006</v>
      </c>
    </row>
    <row r="499" spans="1:7" x14ac:dyDescent="0.25">
      <c r="A499">
        <v>498</v>
      </c>
      <c r="B499" t="s">
        <v>1007</v>
      </c>
      <c r="C499" t="s">
        <v>21</v>
      </c>
      <c r="D499">
        <v>61</v>
      </c>
      <c r="E499" t="s">
        <v>9</v>
      </c>
      <c r="F499" s="1">
        <v>45345</v>
      </c>
      <c r="G499" t="s">
        <v>1008</v>
      </c>
    </row>
    <row r="500" spans="1:7" x14ac:dyDescent="0.25">
      <c r="A500">
        <v>499</v>
      </c>
      <c r="B500" t="s">
        <v>1009</v>
      </c>
      <c r="C500" t="s">
        <v>18</v>
      </c>
      <c r="D500">
        <v>22</v>
      </c>
      <c r="E500" t="s">
        <v>13</v>
      </c>
      <c r="F500" s="1">
        <v>44979</v>
      </c>
      <c r="G500" t="s">
        <v>1010</v>
      </c>
    </row>
    <row r="501" spans="1:7" x14ac:dyDescent="0.25">
      <c r="A501">
        <v>500</v>
      </c>
      <c r="B501" t="s">
        <v>1011</v>
      </c>
      <c r="C501" t="s">
        <v>21</v>
      </c>
      <c r="D501">
        <v>39</v>
      </c>
      <c r="E501" t="s">
        <v>13</v>
      </c>
      <c r="F501" s="1">
        <v>45196</v>
      </c>
      <c r="G501" t="s">
        <v>1012</v>
      </c>
    </row>
    <row r="502" spans="1:7" x14ac:dyDescent="0.25">
      <c r="A502">
        <v>501</v>
      </c>
      <c r="B502" t="s">
        <v>1013</v>
      </c>
      <c r="C502" t="s">
        <v>12</v>
      </c>
      <c r="D502">
        <v>49</v>
      </c>
      <c r="E502" t="s">
        <v>13</v>
      </c>
      <c r="F502" s="1">
        <v>45037</v>
      </c>
      <c r="G502" t="s">
        <v>1014</v>
      </c>
    </row>
    <row r="503" spans="1:7" x14ac:dyDescent="0.25">
      <c r="A503">
        <v>502</v>
      </c>
      <c r="B503" t="s">
        <v>1015</v>
      </c>
      <c r="C503" t="s">
        <v>8</v>
      </c>
      <c r="D503">
        <v>24</v>
      </c>
      <c r="E503" t="s">
        <v>13</v>
      </c>
      <c r="F503" s="1">
        <v>44226</v>
      </c>
      <c r="G503" t="s">
        <v>1016</v>
      </c>
    </row>
    <row r="504" spans="1:7" x14ac:dyDescent="0.25">
      <c r="A504">
        <v>503</v>
      </c>
      <c r="B504" t="s">
        <v>1017</v>
      </c>
      <c r="C504" t="s">
        <v>28</v>
      </c>
      <c r="D504">
        <v>67</v>
      </c>
      <c r="E504" t="s">
        <v>9</v>
      </c>
      <c r="F504" s="1">
        <v>44814</v>
      </c>
      <c r="G504" t="s">
        <v>1018</v>
      </c>
    </row>
    <row r="505" spans="1:7" x14ac:dyDescent="0.25">
      <c r="A505">
        <v>504</v>
      </c>
      <c r="B505" t="s">
        <v>1019</v>
      </c>
      <c r="C505" t="s">
        <v>18</v>
      </c>
      <c r="D505">
        <v>35</v>
      </c>
      <c r="E505" t="s">
        <v>9</v>
      </c>
      <c r="F505" s="1">
        <v>44873</v>
      </c>
      <c r="G505" t="s">
        <v>1020</v>
      </c>
    </row>
    <row r="506" spans="1:7" x14ac:dyDescent="0.25">
      <c r="A506">
        <v>505</v>
      </c>
      <c r="B506" t="s">
        <v>1021</v>
      </c>
      <c r="C506" t="s">
        <v>18</v>
      </c>
      <c r="D506">
        <v>45</v>
      </c>
      <c r="E506" t="s">
        <v>13</v>
      </c>
      <c r="F506" s="1">
        <v>45144</v>
      </c>
      <c r="G506" t="s">
        <v>1022</v>
      </c>
    </row>
    <row r="507" spans="1:7" x14ac:dyDescent="0.25">
      <c r="A507">
        <v>506</v>
      </c>
      <c r="B507" t="s">
        <v>1023</v>
      </c>
      <c r="C507" t="s">
        <v>18</v>
      </c>
      <c r="D507">
        <v>42</v>
      </c>
      <c r="E507" t="s">
        <v>13</v>
      </c>
      <c r="F507" s="1">
        <v>44312</v>
      </c>
      <c r="G507" t="s">
        <v>1024</v>
      </c>
    </row>
    <row r="508" spans="1:7" x14ac:dyDescent="0.25">
      <c r="A508">
        <v>507</v>
      </c>
      <c r="B508" t="s">
        <v>1025</v>
      </c>
      <c r="C508" t="s">
        <v>21</v>
      </c>
      <c r="D508">
        <v>61</v>
      </c>
      <c r="E508" t="s">
        <v>13</v>
      </c>
      <c r="F508" s="1">
        <v>45163</v>
      </c>
      <c r="G508" t="s">
        <v>1026</v>
      </c>
    </row>
    <row r="509" spans="1:7" x14ac:dyDescent="0.25">
      <c r="A509">
        <v>508</v>
      </c>
      <c r="B509" t="s">
        <v>1027</v>
      </c>
      <c r="C509" t="s">
        <v>21</v>
      </c>
      <c r="D509">
        <v>58</v>
      </c>
      <c r="E509" t="s">
        <v>13</v>
      </c>
      <c r="F509" s="1">
        <v>44037</v>
      </c>
      <c r="G509" t="s">
        <v>1028</v>
      </c>
    </row>
    <row r="510" spans="1:7" x14ac:dyDescent="0.25">
      <c r="A510">
        <v>509</v>
      </c>
      <c r="B510" t="s">
        <v>1029</v>
      </c>
      <c r="C510" t="s">
        <v>12</v>
      </c>
      <c r="D510">
        <v>51</v>
      </c>
      <c r="E510" t="s">
        <v>13</v>
      </c>
      <c r="F510" s="1">
        <v>45061</v>
      </c>
      <c r="G510" t="s">
        <v>1030</v>
      </c>
    </row>
    <row r="511" spans="1:7" x14ac:dyDescent="0.25">
      <c r="A511">
        <v>510</v>
      </c>
      <c r="B511" t="s">
        <v>1031</v>
      </c>
      <c r="C511" t="s">
        <v>18</v>
      </c>
      <c r="D511">
        <v>24</v>
      </c>
      <c r="E511" t="s">
        <v>13</v>
      </c>
      <c r="F511" s="1">
        <v>43899</v>
      </c>
      <c r="G511" t="s">
        <v>1032</v>
      </c>
    </row>
    <row r="512" spans="1:7" x14ac:dyDescent="0.25">
      <c r="A512">
        <v>511</v>
      </c>
      <c r="B512" t="s">
        <v>1033</v>
      </c>
      <c r="C512" t="s">
        <v>21</v>
      </c>
      <c r="D512">
        <v>19</v>
      </c>
      <c r="E512" t="s">
        <v>9</v>
      </c>
      <c r="F512" s="1">
        <v>45332</v>
      </c>
      <c r="G512" t="s">
        <v>1034</v>
      </c>
    </row>
    <row r="513" spans="1:7" x14ac:dyDescent="0.25">
      <c r="A513">
        <v>512</v>
      </c>
      <c r="B513" t="s">
        <v>1035</v>
      </c>
      <c r="C513" t="s">
        <v>12</v>
      </c>
      <c r="D513">
        <v>45</v>
      </c>
      <c r="E513" t="s">
        <v>9</v>
      </c>
      <c r="F513" s="1">
        <v>45529</v>
      </c>
      <c r="G513" t="s">
        <v>1036</v>
      </c>
    </row>
    <row r="514" spans="1:7" x14ac:dyDescent="0.25">
      <c r="A514">
        <v>513</v>
      </c>
      <c r="B514" t="s">
        <v>1037</v>
      </c>
      <c r="C514" t="s">
        <v>8</v>
      </c>
      <c r="D514">
        <v>31</v>
      </c>
      <c r="E514" t="s">
        <v>9</v>
      </c>
      <c r="F514" s="1">
        <v>44866</v>
      </c>
      <c r="G514" t="s">
        <v>1038</v>
      </c>
    </row>
    <row r="515" spans="1:7" x14ac:dyDescent="0.25">
      <c r="A515">
        <v>514</v>
      </c>
      <c r="B515" t="s">
        <v>1039</v>
      </c>
      <c r="C515" t="s">
        <v>18</v>
      </c>
      <c r="D515">
        <v>66</v>
      </c>
      <c r="E515" t="s">
        <v>9</v>
      </c>
      <c r="F515" s="1">
        <v>45368</v>
      </c>
      <c r="G515" t="s">
        <v>1040</v>
      </c>
    </row>
    <row r="516" spans="1:7" x14ac:dyDescent="0.25">
      <c r="A516">
        <v>515</v>
      </c>
      <c r="B516" t="s">
        <v>1041</v>
      </c>
      <c r="C516" t="s">
        <v>28</v>
      </c>
      <c r="D516">
        <v>19</v>
      </c>
      <c r="E516" t="s">
        <v>13</v>
      </c>
      <c r="F516" s="1">
        <v>44560</v>
      </c>
      <c r="G516" t="s">
        <v>1042</v>
      </c>
    </row>
    <row r="517" spans="1:7" x14ac:dyDescent="0.25">
      <c r="A517">
        <v>516</v>
      </c>
      <c r="B517" t="s">
        <v>1043</v>
      </c>
      <c r="C517" t="s">
        <v>12</v>
      </c>
      <c r="D517">
        <v>36</v>
      </c>
      <c r="E517" t="s">
        <v>13</v>
      </c>
      <c r="F517" s="1">
        <v>44731</v>
      </c>
      <c r="G517" t="s">
        <v>1044</v>
      </c>
    </row>
    <row r="518" spans="1:7" x14ac:dyDescent="0.25">
      <c r="A518">
        <v>517</v>
      </c>
      <c r="B518" t="s">
        <v>1045</v>
      </c>
      <c r="C518" t="s">
        <v>18</v>
      </c>
      <c r="D518">
        <v>26</v>
      </c>
      <c r="E518" t="s">
        <v>9</v>
      </c>
      <c r="F518" s="1">
        <v>44076</v>
      </c>
      <c r="G518" t="s">
        <v>1046</v>
      </c>
    </row>
    <row r="519" spans="1:7" x14ac:dyDescent="0.25">
      <c r="A519">
        <v>518</v>
      </c>
      <c r="B519" t="s">
        <v>1047</v>
      </c>
      <c r="C519" t="s">
        <v>12</v>
      </c>
      <c r="D519">
        <v>30</v>
      </c>
      <c r="E519" t="s">
        <v>9</v>
      </c>
      <c r="F519" s="1">
        <v>43931</v>
      </c>
      <c r="G519" t="s">
        <v>1048</v>
      </c>
    </row>
    <row r="520" spans="1:7" x14ac:dyDescent="0.25">
      <c r="A520">
        <v>519</v>
      </c>
      <c r="B520" t="s">
        <v>1049</v>
      </c>
      <c r="C520" t="s">
        <v>21</v>
      </c>
      <c r="D520">
        <v>64</v>
      </c>
      <c r="E520" t="s">
        <v>9</v>
      </c>
      <c r="F520" s="1">
        <v>45051</v>
      </c>
      <c r="G520" t="s">
        <v>1050</v>
      </c>
    </row>
    <row r="521" spans="1:7" x14ac:dyDescent="0.25">
      <c r="A521">
        <v>520</v>
      </c>
      <c r="B521" t="s">
        <v>1051</v>
      </c>
      <c r="C521" t="s">
        <v>21</v>
      </c>
      <c r="D521">
        <v>47</v>
      </c>
      <c r="E521" t="s">
        <v>13</v>
      </c>
      <c r="F521" s="1">
        <v>45295</v>
      </c>
      <c r="G521" t="s">
        <v>1052</v>
      </c>
    </row>
    <row r="522" spans="1:7" x14ac:dyDescent="0.25">
      <c r="A522">
        <v>521</v>
      </c>
      <c r="B522" t="s">
        <v>1053</v>
      </c>
      <c r="C522" t="s">
        <v>28</v>
      </c>
      <c r="D522">
        <v>32</v>
      </c>
      <c r="E522" t="s">
        <v>9</v>
      </c>
      <c r="F522" s="1">
        <v>45532</v>
      </c>
      <c r="G522" t="s">
        <v>1054</v>
      </c>
    </row>
    <row r="523" spans="1:7" x14ac:dyDescent="0.25">
      <c r="A523">
        <v>522</v>
      </c>
      <c r="B523" t="s">
        <v>1055</v>
      </c>
      <c r="C523" t="s">
        <v>12</v>
      </c>
      <c r="D523">
        <v>36</v>
      </c>
      <c r="E523" t="s">
        <v>9</v>
      </c>
      <c r="F523" s="1">
        <v>44240</v>
      </c>
      <c r="G523" t="s">
        <v>1056</v>
      </c>
    </row>
    <row r="524" spans="1:7" x14ac:dyDescent="0.25">
      <c r="A524">
        <v>523</v>
      </c>
      <c r="B524" t="s">
        <v>1057</v>
      </c>
      <c r="C524" t="s">
        <v>28</v>
      </c>
      <c r="D524">
        <v>66</v>
      </c>
      <c r="E524" t="s">
        <v>9</v>
      </c>
      <c r="F524" s="1">
        <v>44523</v>
      </c>
      <c r="G524" t="s">
        <v>1058</v>
      </c>
    </row>
    <row r="525" spans="1:7" x14ac:dyDescent="0.25">
      <c r="A525">
        <v>524</v>
      </c>
      <c r="B525" t="s">
        <v>1059</v>
      </c>
      <c r="C525" t="s">
        <v>18</v>
      </c>
      <c r="D525">
        <v>42</v>
      </c>
      <c r="E525" t="s">
        <v>13</v>
      </c>
      <c r="F525" s="1">
        <v>45389</v>
      </c>
      <c r="G525" t="s">
        <v>1060</v>
      </c>
    </row>
    <row r="526" spans="1:7" x14ac:dyDescent="0.25">
      <c r="A526">
        <v>525</v>
      </c>
      <c r="B526" t="s">
        <v>1061</v>
      </c>
      <c r="C526" t="s">
        <v>18</v>
      </c>
      <c r="D526">
        <v>61</v>
      </c>
      <c r="E526" t="s">
        <v>9</v>
      </c>
      <c r="F526" s="1">
        <v>45563</v>
      </c>
      <c r="G526" t="s">
        <v>1062</v>
      </c>
    </row>
    <row r="527" spans="1:7" x14ac:dyDescent="0.25">
      <c r="A527">
        <v>526</v>
      </c>
      <c r="B527" t="s">
        <v>1063</v>
      </c>
      <c r="C527" t="s">
        <v>8</v>
      </c>
      <c r="D527">
        <v>38</v>
      </c>
      <c r="E527" t="s">
        <v>13</v>
      </c>
      <c r="F527" s="1">
        <v>45020</v>
      </c>
      <c r="G527" t="s">
        <v>1064</v>
      </c>
    </row>
    <row r="528" spans="1:7" x14ac:dyDescent="0.25">
      <c r="A528">
        <v>527</v>
      </c>
      <c r="B528" t="s">
        <v>1065</v>
      </c>
      <c r="C528" t="s">
        <v>28</v>
      </c>
      <c r="D528">
        <v>35</v>
      </c>
      <c r="E528" t="s">
        <v>9</v>
      </c>
      <c r="F528" s="1">
        <v>44448</v>
      </c>
      <c r="G528" t="s">
        <v>1066</v>
      </c>
    </row>
    <row r="529" spans="1:7" x14ac:dyDescent="0.25">
      <c r="A529">
        <v>528</v>
      </c>
      <c r="B529" t="s">
        <v>1067</v>
      </c>
      <c r="C529" t="s">
        <v>8</v>
      </c>
      <c r="D529">
        <v>66</v>
      </c>
      <c r="E529" t="s">
        <v>13</v>
      </c>
      <c r="F529" s="1">
        <v>45228</v>
      </c>
      <c r="G529" t="s">
        <v>1068</v>
      </c>
    </row>
    <row r="530" spans="1:7" x14ac:dyDescent="0.25">
      <c r="A530">
        <v>529</v>
      </c>
      <c r="B530" t="s">
        <v>1069</v>
      </c>
      <c r="C530" t="s">
        <v>18</v>
      </c>
      <c r="D530">
        <v>57</v>
      </c>
      <c r="E530" t="s">
        <v>13</v>
      </c>
      <c r="F530" s="1">
        <v>45240</v>
      </c>
      <c r="G530" t="s">
        <v>1070</v>
      </c>
    </row>
    <row r="531" spans="1:7" x14ac:dyDescent="0.25">
      <c r="A531">
        <v>530</v>
      </c>
      <c r="B531" t="s">
        <v>1071</v>
      </c>
      <c r="C531" t="s">
        <v>28</v>
      </c>
      <c r="D531">
        <v>62</v>
      </c>
      <c r="E531" t="s">
        <v>9</v>
      </c>
      <c r="F531" s="1">
        <v>45243</v>
      </c>
      <c r="G531" t="s">
        <v>1072</v>
      </c>
    </row>
    <row r="532" spans="1:7" x14ac:dyDescent="0.25">
      <c r="A532">
        <v>531</v>
      </c>
      <c r="B532" t="s">
        <v>1073</v>
      </c>
      <c r="C532" t="s">
        <v>8</v>
      </c>
      <c r="D532">
        <v>40</v>
      </c>
      <c r="E532" t="s">
        <v>13</v>
      </c>
      <c r="F532" s="1">
        <v>45015</v>
      </c>
      <c r="G532" t="s">
        <v>1074</v>
      </c>
    </row>
    <row r="533" spans="1:7" x14ac:dyDescent="0.25">
      <c r="A533">
        <v>532</v>
      </c>
      <c r="B533" t="s">
        <v>1075</v>
      </c>
      <c r="C533" t="s">
        <v>28</v>
      </c>
      <c r="D533">
        <v>47</v>
      </c>
      <c r="E533" t="s">
        <v>13</v>
      </c>
      <c r="F533" s="1">
        <v>45578</v>
      </c>
      <c r="G533" t="s">
        <v>1076</v>
      </c>
    </row>
    <row r="534" spans="1:7" x14ac:dyDescent="0.25">
      <c r="A534">
        <v>533</v>
      </c>
      <c r="B534" t="s">
        <v>1077</v>
      </c>
      <c r="C534" t="s">
        <v>18</v>
      </c>
      <c r="D534">
        <v>43</v>
      </c>
      <c r="E534" t="s">
        <v>13</v>
      </c>
      <c r="F534" s="1">
        <v>45278</v>
      </c>
      <c r="G534" t="s">
        <v>1078</v>
      </c>
    </row>
    <row r="535" spans="1:7" x14ac:dyDescent="0.25">
      <c r="A535">
        <v>534</v>
      </c>
      <c r="B535" t="s">
        <v>1079</v>
      </c>
      <c r="C535" t="s">
        <v>28</v>
      </c>
      <c r="D535">
        <v>33</v>
      </c>
      <c r="E535" t="s">
        <v>9</v>
      </c>
      <c r="F535" s="1">
        <v>44626</v>
      </c>
      <c r="G535" t="s">
        <v>1080</v>
      </c>
    </row>
    <row r="536" spans="1:7" x14ac:dyDescent="0.25">
      <c r="A536">
        <v>535</v>
      </c>
      <c r="B536" t="s">
        <v>1081</v>
      </c>
      <c r="C536" t="s">
        <v>28</v>
      </c>
      <c r="D536">
        <v>32</v>
      </c>
      <c r="E536" t="s">
        <v>13</v>
      </c>
      <c r="F536" s="1">
        <v>45332</v>
      </c>
      <c r="G536" t="s">
        <v>1082</v>
      </c>
    </row>
    <row r="537" spans="1:7" x14ac:dyDescent="0.25">
      <c r="A537">
        <v>536</v>
      </c>
      <c r="B537" t="s">
        <v>1083</v>
      </c>
      <c r="C537" t="s">
        <v>18</v>
      </c>
      <c r="D537">
        <v>39</v>
      </c>
      <c r="E537" t="s">
        <v>9</v>
      </c>
      <c r="F537" s="1">
        <v>44844</v>
      </c>
      <c r="G537" t="s">
        <v>1084</v>
      </c>
    </row>
    <row r="538" spans="1:7" x14ac:dyDescent="0.25">
      <c r="A538">
        <v>537</v>
      </c>
      <c r="B538" t="s">
        <v>1085</v>
      </c>
      <c r="C538" t="s">
        <v>21</v>
      </c>
      <c r="D538">
        <v>60</v>
      </c>
      <c r="E538" t="s">
        <v>9</v>
      </c>
      <c r="F538" s="1">
        <v>45399</v>
      </c>
      <c r="G538" t="s">
        <v>1086</v>
      </c>
    </row>
    <row r="539" spans="1:7" x14ac:dyDescent="0.25">
      <c r="A539">
        <v>538</v>
      </c>
      <c r="B539" t="s">
        <v>1087</v>
      </c>
      <c r="C539" t="s">
        <v>21</v>
      </c>
      <c r="D539">
        <v>57</v>
      </c>
      <c r="E539" t="s">
        <v>13</v>
      </c>
      <c r="F539" s="1">
        <v>45057</v>
      </c>
      <c r="G539" t="s">
        <v>1088</v>
      </c>
    </row>
    <row r="540" spans="1:7" x14ac:dyDescent="0.25">
      <c r="A540">
        <v>539</v>
      </c>
      <c r="B540" t="s">
        <v>1089</v>
      </c>
      <c r="C540" t="s">
        <v>8</v>
      </c>
      <c r="D540">
        <v>21</v>
      </c>
      <c r="E540" t="s">
        <v>13</v>
      </c>
      <c r="F540" s="1">
        <v>45571</v>
      </c>
      <c r="G540" t="s">
        <v>1090</v>
      </c>
    </row>
    <row r="541" spans="1:7" x14ac:dyDescent="0.25">
      <c r="A541">
        <v>540</v>
      </c>
      <c r="B541" t="s">
        <v>1091</v>
      </c>
      <c r="C541" t="s">
        <v>18</v>
      </c>
      <c r="D541">
        <v>68</v>
      </c>
      <c r="E541" t="s">
        <v>13</v>
      </c>
      <c r="F541" s="1">
        <v>43967</v>
      </c>
      <c r="G541" t="s">
        <v>1092</v>
      </c>
    </row>
    <row r="542" spans="1:7" x14ac:dyDescent="0.25">
      <c r="A542">
        <v>541</v>
      </c>
      <c r="B542" t="s">
        <v>1093</v>
      </c>
      <c r="C542" t="s">
        <v>12</v>
      </c>
      <c r="D542">
        <v>28</v>
      </c>
      <c r="E542" t="s">
        <v>13</v>
      </c>
      <c r="F542" s="1">
        <v>45048</v>
      </c>
      <c r="G542" t="s">
        <v>1094</v>
      </c>
    </row>
    <row r="543" spans="1:7" x14ac:dyDescent="0.25">
      <c r="A543">
        <v>542</v>
      </c>
      <c r="B543" t="s">
        <v>1095</v>
      </c>
      <c r="C543" t="s">
        <v>21</v>
      </c>
      <c r="D543">
        <v>69</v>
      </c>
      <c r="E543" t="s">
        <v>9</v>
      </c>
      <c r="F543" s="1">
        <v>45158</v>
      </c>
      <c r="G543" t="s">
        <v>1096</v>
      </c>
    </row>
    <row r="544" spans="1:7" x14ac:dyDescent="0.25">
      <c r="A544">
        <v>543</v>
      </c>
      <c r="B544" t="s">
        <v>1097</v>
      </c>
      <c r="C544" t="s">
        <v>21</v>
      </c>
      <c r="D544">
        <v>54</v>
      </c>
      <c r="E544" t="s">
        <v>13</v>
      </c>
      <c r="F544" s="1">
        <v>44227</v>
      </c>
      <c r="G544" t="s">
        <v>1098</v>
      </c>
    </row>
    <row r="545" spans="1:7" x14ac:dyDescent="0.25">
      <c r="A545">
        <v>544</v>
      </c>
      <c r="B545" t="s">
        <v>1099</v>
      </c>
      <c r="C545" t="s">
        <v>21</v>
      </c>
      <c r="D545">
        <v>36</v>
      </c>
      <c r="E545" t="s">
        <v>9</v>
      </c>
      <c r="F545" s="1">
        <v>44379</v>
      </c>
      <c r="G545" t="s">
        <v>1100</v>
      </c>
    </row>
    <row r="546" spans="1:7" x14ac:dyDescent="0.25">
      <c r="A546">
        <v>545</v>
      </c>
      <c r="B546" t="s">
        <v>1101</v>
      </c>
      <c r="C546" t="s">
        <v>28</v>
      </c>
      <c r="D546">
        <v>50</v>
      </c>
      <c r="E546" t="s">
        <v>13</v>
      </c>
      <c r="F546" s="1">
        <v>43843</v>
      </c>
      <c r="G546" t="s">
        <v>1102</v>
      </c>
    </row>
    <row r="547" spans="1:7" x14ac:dyDescent="0.25">
      <c r="A547">
        <v>546</v>
      </c>
      <c r="B547" t="s">
        <v>1103</v>
      </c>
      <c r="C547" t="s">
        <v>28</v>
      </c>
      <c r="D547">
        <v>44</v>
      </c>
      <c r="E547" t="s">
        <v>9</v>
      </c>
      <c r="F547" s="1">
        <v>44622</v>
      </c>
      <c r="G547" t="s">
        <v>1104</v>
      </c>
    </row>
    <row r="548" spans="1:7" x14ac:dyDescent="0.25">
      <c r="A548">
        <v>547</v>
      </c>
      <c r="B548" t="s">
        <v>1105</v>
      </c>
      <c r="C548" t="s">
        <v>8</v>
      </c>
      <c r="D548">
        <v>57</v>
      </c>
      <c r="E548" t="s">
        <v>9</v>
      </c>
      <c r="F548" s="1">
        <v>45332</v>
      </c>
      <c r="G548" t="s">
        <v>1106</v>
      </c>
    </row>
    <row r="549" spans="1:7" x14ac:dyDescent="0.25">
      <c r="A549">
        <v>548</v>
      </c>
      <c r="B549" t="s">
        <v>1107</v>
      </c>
      <c r="C549" t="s">
        <v>21</v>
      </c>
      <c r="D549">
        <v>48</v>
      </c>
      <c r="E549" t="s">
        <v>13</v>
      </c>
      <c r="F549" s="1">
        <v>44016</v>
      </c>
      <c r="G549" t="s">
        <v>1108</v>
      </c>
    </row>
    <row r="550" spans="1:7" x14ac:dyDescent="0.25">
      <c r="A550">
        <v>549</v>
      </c>
      <c r="B550" t="s">
        <v>1109</v>
      </c>
      <c r="C550" t="s">
        <v>18</v>
      </c>
      <c r="D550">
        <v>42</v>
      </c>
      <c r="E550" t="s">
        <v>9</v>
      </c>
      <c r="F550" s="1">
        <v>45180</v>
      </c>
      <c r="G550" t="s">
        <v>1110</v>
      </c>
    </row>
    <row r="551" spans="1:7" x14ac:dyDescent="0.25">
      <c r="A551">
        <v>550</v>
      </c>
      <c r="B551" t="s">
        <v>1111</v>
      </c>
      <c r="C551" t="s">
        <v>18</v>
      </c>
      <c r="D551">
        <v>28</v>
      </c>
      <c r="E551" t="s">
        <v>9</v>
      </c>
      <c r="F551" s="1">
        <v>45199</v>
      </c>
      <c r="G551" t="s">
        <v>1112</v>
      </c>
    </row>
    <row r="552" spans="1:7" x14ac:dyDescent="0.25">
      <c r="A552">
        <v>551</v>
      </c>
      <c r="B552" t="s">
        <v>1113</v>
      </c>
      <c r="C552" t="s">
        <v>28</v>
      </c>
      <c r="D552">
        <v>42</v>
      </c>
      <c r="E552" t="s">
        <v>9</v>
      </c>
      <c r="F552" s="1">
        <v>44426</v>
      </c>
      <c r="G552" t="s">
        <v>1114</v>
      </c>
    </row>
    <row r="553" spans="1:7" x14ac:dyDescent="0.25">
      <c r="A553">
        <v>552</v>
      </c>
      <c r="B553" t="s">
        <v>1115</v>
      </c>
      <c r="C553" t="s">
        <v>18</v>
      </c>
      <c r="D553">
        <v>32</v>
      </c>
      <c r="E553" t="s">
        <v>9</v>
      </c>
      <c r="F553" s="1">
        <v>45110</v>
      </c>
      <c r="G553" t="s">
        <v>1116</v>
      </c>
    </row>
    <row r="554" spans="1:7" x14ac:dyDescent="0.25">
      <c r="A554">
        <v>553</v>
      </c>
      <c r="B554" t="s">
        <v>1117</v>
      </c>
      <c r="C554" t="s">
        <v>8</v>
      </c>
      <c r="D554">
        <v>51</v>
      </c>
      <c r="E554" t="s">
        <v>9</v>
      </c>
      <c r="F554" s="1">
        <v>44717</v>
      </c>
      <c r="G554" t="s">
        <v>1118</v>
      </c>
    </row>
    <row r="555" spans="1:7" x14ac:dyDescent="0.25">
      <c r="A555">
        <v>554</v>
      </c>
      <c r="B555" t="s">
        <v>1119</v>
      </c>
      <c r="C555" t="s">
        <v>28</v>
      </c>
      <c r="D555">
        <v>33</v>
      </c>
      <c r="E555" t="s">
        <v>9</v>
      </c>
      <c r="F555" s="1">
        <v>44684</v>
      </c>
      <c r="G555" t="s">
        <v>1120</v>
      </c>
    </row>
    <row r="556" spans="1:7" x14ac:dyDescent="0.25">
      <c r="A556">
        <v>555</v>
      </c>
      <c r="B556" t="s">
        <v>1121</v>
      </c>
      <c r="C556" t="s">
        <v>28</v>
      </c>
      <c r="D556">
        <v>24</v>
      </c>
      <c r="E556" t="s">
        <v>13</v>
      </c>
      <c r="F556" s="1">
        <v>45176</v>
      </c>
      <c r="G556" t="s">
        <v>1122</v>
      </c>
    </row>
    <row r="557" spans="1:7" x14ac:dyDescent="0.25">
      <c r="A557">
        <v>556</v>
      </c>
      <c r="B557" t="s">
        <v>1123</v>
      </c>
      <c r="C557" t="s">
        <v>21</v>
      </c>
      <c r="D557">
        <v>28</v>
      </c>
      <c r="E557" t="s">
        <v>13</v>
      </c>
      <c r="F557" s="1">
        <v>44565</v>
      </c>
      <c r="G557" t="s">
        <v>1124</v>
      </c>
    </row>
    <row r="558" spans="1:7" x14ac:dyDescent="0.25">
      <c r="A558">
        <v>557</v>
      </c>
      <c r="B558" t="s">
        <v>1125</v>
      </c>
      <c r="C558" t="s">
        <v>21</v>
      </c>
      <c r="D558">
        <v>41</v>
      </c>
      <c r="E558" t="s">
        <v>13</v>
      </c>
      <c r="F558" s="1">
        <v>45207</v>
      </c>
      <c r="G558" t="s">
        <v>1126</v>
      </c>
    </row>
    <row r="559" spans="1:7" x14ac:dyDescent="0.25">
      <c r="A559">
        <v>558</v>
      </c>
      <c r="B559" t="s">
        <v>1127</v>
      </c>
      <c r="C559" t="s">
        <v>8</v>
      </c>
      <c r="D559">
        <v>52</v>
      </c>
      <c r="E559" t="s">
        <v>9</v>
      </c>
      <c r="F559" s="1">
        <v>45338</v>
      </c>
      <c r="G559" t="s">
        <v>1128</v>
      </c>
    </row>
    <row r="560" spans="1:7" x14ac:dyDescent="0.25">
      <c r="A560">
        <v>559</v>
      </c>
      <c r="B560" t="s">
        <v>1129</v>
      </c>
      <c r="C560" t="s">
        <v>18</v>
      </c>
      <c r="D560">
        <v>48</v>
      </c>
      <c r="E560" t="s">
        <v>13</v>
      </c>
      <c r="F560" s="1">
        <v>45133</v>
      </c>
      <c r="G560" t="s">
        <v>1130</v>
      </c>
    </row>
    <row r="561" spans="1:7" x14ac:dyDescent="0.25">
      <c r="A561">
        <v>560</v>
      </c>
      <c r="B561" t="s">
        <v>1131</v>
      </c>
      <c r="C561" t="s">
        <v>12</v>
      </c>
      <c r="D561">
        <v>21</v>
      </c>
      <c r="E561" t="s">
        <v>9</v>
      </c>
      <c r="F561" s="1">
        <v>45186</v>
      </c>
      <c r="G561" t="s">
        <v>1132</v>
      </c>
    </row>
    <row r="562" spans="1:7" x14ac:dyDescent="0.25">
      <c r="A562">
        <v>561</v>
      </c>
      <c r="B562" t="s">
        <v>1133</v>
      </c>
      <c r="C562" t="s">
        <v>8</v>
      </c>
      <c r="D562">
        <v>19</v>
      </c>
      <c r="E562" t="s">
        <v>9</v>
      </c>
      <c r="F562" s="1">
        <v>44351</v>
      </c>
      <c r="G562" t="s">
        <v>1134</v>
      </c>
    </row>
    <row r="563" spans="1:7" x14ac:dyDescent="0.25">
      <c r="A563">
        <v>562</v>
      </c>
      <c r="B563" t="s">
        <v>1135</v>
      </c>
      <c r="C563" t="s">
        <v>21</v>
      </c>
      <c r="D563">
        <v>65</v>
      </c>
      <c r="E563" t="s">
        <v>13</v>
      </c>
      <c r="F563" s="1">
        <v>44430</v>
      </c>
      <c r="G563" t="s">
        <v>1136</v>
      </c>
    </row>
    <row r="564" spans="1:7" x14ac:dyDescent="0.25">
      <c r="A564">
        <v>563</v>
      </c>
      <c r="B564" t="s">
        <v>1137</v>
      </c>
      <c r="C564" t="s">
        <v>8</v>
      </c>
      <c r="D564">
        <v>52</v>
      </c>
      <c r="E564" t="s">
        <v>9</v>
      </c>
      <c r="F564" s="1">
        <v>45219</v>
      </c>
      <c r="G564" t="s">
        <v>1138</v>
      </c>
    </row>
    <row r="565" spans="1:7" x14ac:dyDescent="0.25">
      <c r="A565">
        <v>564</v>
      </c>
      <c r="B565" t="s">
        <v>1139</v>
      </c>
      <c r="C565" t="s">
        <v>21</v>
      </c>
      <c r="D565">
        <v>53</v>
      </c>
      <c r="E565" t="s">
        <v>9</v>
      </c>
      <c r="F565" s="1">
        <v>44187</v>
      </c>
      <c r="G565" t="s">
        <v>1140</v>
      </c>
    </row>
    <row r="566" spans="1:7" x14ac:dyDescent="0.25">
      <c r="A566">
        <v>565</v>
      </c>
      <c r="B566" t="s">
        <v>1141</v>
      </c>
      <c r="C566" t="s">
        <v>8</v>
      </c>
      <c r="D566">
        <v>62</v>
      </c>
      <c r="E566" t="s">
        <v>13</v>
      </c>
      <c r="F566" s="1">
        <v>44428</v>
      </c>
      <c r="G566" t="s">
        <v>1142</v>
      </c>
    </row>
    <row r="567" spans="1:7" x14ac:dyDescent="0.25">
      <c r="A567">
        <v>566</v>
      </c>
      <c r="B567" t="s">
        <v>1143</v>
      </c>
      <c r="C567" t="s">
        <v>18</v>
      </c>
      <c r="D567">
        <v>20</v>
      </c>
      <c r="E567" t="s">
        <v>9</v>
      </c>
      <c r="F567" s="1">
        <v>45500</v>
      </c>
      <c r="G567" t="s">
        <v>1144</v>
      </c>
    </row>
    <row r="568" spans="1:7" x14ac:dyDescent="0.25">
      <c r="A568">
        <v>567</v>
      </c>
      <c r="B568" t="s">
        <v>1145</v>
      </c>
      <c r="C568" t="s">
        <v>12</v>
      </c>
      <c r="D568">
        <v>53</v>
      </c>
      <c r="E568" t="s">
        <v>13</v>
      </c>
      <c r="F568" s="1">
        <v>45283</v>
      </c>
      <c r="G568" t="s">
        <v>1146</v>
      </c>
    </row>
    <row r="569" spans="1:7" x14ac:dyDescent="0.25">
      <c r="A569">
        <v>568</v>
      </c>
      <c r="B569" t="s">
        <v>1147</v>
      </c>
      <c r="C569" t="s">
        <v>18</v>
      </c>
      <c r="D569">
        <v>31</v>
      </c>
      <c r="E569" t="s">
        <v>9</v>
      </c>
      <c r="F569" s="1">
        <v>44388</v>
      </c>
      <c r="G569" t="s">
        <v>1148</v>
      </c>
    </row>
    <row r="570" spans="1:7" x14ac:dyDescent="0.25">
      <c r="A570">
        <v>569</v>
      </c>
      <c r="B570" t="s">
        <v>1149</v>
      </c>
      <c r="C570" t="s">
        <v>28</v>
      </c>
      <c r="D570">
        <v>36</v>
      </c>
      <c r="E570" t="s">
        <v>13</v>
      </c>
      <c r="F570" s="1">
        <v>45317</v>
      </c>
      <c r="G570" t="s">
        <v>1150</v>
      </c>
    </row>
    <row r="571" spans="1:7" x14ac:dyDescent="0.25">
      <c r="A571">
        <v>570</v>
      </c>
      <c r="B571" t="s">
        <v>1151</v>
      </c>
      <c r="C571" t="s">
        <v>18</v>
      </c>
      <c r="D571">
        <v>20</v>
      </c>
      <c r="E571" t="s">
        <v>9</v>
      </c>
      <c r="F571" s="1">
        <v>45099</v>
      </c>
      <c r="G571" t="s">
        <v>1152</v>
      </c>
    </row>
    <row r="572" spans="1:7" x14ac:dyDescent="0.25">
      <c r="A572">
        <v>571</v>
      </c>
      <c r="B572" t="s">
        <v>1153</v>
      </c>
      <c r="C572" t="s">
        <v>21</v>
      </c>
      <c r="D572">
        <v>64</v>
      </c>
      <c r="E572" t="s">
        <v>9</v>
      </c>
      <c r="F572" s="1">
        <v>44468</v>
      </c>
      <c r="G572" t="s">
        <v>1154</v>
      </c>
    </row>
    <row r="573" spans="1:7" x14ac:dyDescent="0.25">
      <c r="A573">
        <v>572</v>
      </c>
      <c r="B573" t="s">
        <v>1155</v>
      </c>
      <c r="C573" t="s">
        <v>12</v>
      </c>
      <c r="D573">
        <v>53</v>
      </c>
      <c r="E573" t="s">
        <v>13</v>
      </c>
      <c r="F573" s="1">
        <v>45094</v>
      </c>
      <c r="G573" t="s">
        <v>1156</v>
      </c>
    </row>
    <row r="574" spans="1:7" x14ac:dyDescent="0.25">
      <c r="A574">
        <v>573</v>
      </c>
      <c r="B574" t="s">
        <v>1157</v>
      </c>
      <c r="C574" t="s">
        <v>8</v>
      </c>
      <c r="D574">
        <v>33</v>
      </c>
      <c r="E574" t="s">
        <v>9</v>
      </c>
      <c r="F574" s="1">
        <v>44553</v>
      </c>
      <c r="G574" t="s">
        <v>1158</v>
      </c>
    </row>
    <row r="575" spans="1:7" x14ac:dyDescent="0.25">
      <c r="A575">
        <v>574</v>
      </c>
      <c r="B575" t="s">
        <v>872</v>
      </c>
      <c r="C575" t="s">
        <v>12</v>
      </c>
      <c r="D575">
        <v>59</v>
      </c>
      <c r="E575" t="s">
        <v>9</v>
      </c>
      <c r="F575" s="1">
        <v>45223</v>
      </c>
      <c r="G575" t="s">
        <v>1159</v>
      </c>
    </row>
    <row r="576" spans="1:7" x14ac:dyDescent="0.25">
      <c r="A576">
        <v>575</v>
      </c>
      <c r="B576" t="s">
        <v>1160</v>
      </c>
      <c r="C576" t="s">
        <v>21</v>
      </c>
      <c r="D576">
        <v>34</v>
      </c>
      <c r="E576" t="s">
        <v>13</v>
      </c>
      <c r="F576" s="1">
        <v>44268</v>
      </c>
      <c r="G576" t="s">
        <v>1161</v>
      </c>
    </row>
    <row r="577" spans="1:7" x14ac:dyDescent="0.25">
      <c r="A577">
        <v>576</v>
      </c>
      <c r="B577" t="s">
        <v>1162</v>
      </c>
      <c r="C577" t="s">
        <v>18</v>
      </c>
      <c r="D577">
        <v>36</v>
      </c>
      <c r="E577" t="s">
        <v>9</v>
      </c>
      <c r="F577" s="1">
        <v>44179</v>
      </c>
      <c r="G577" t="s">
        <v>1163</v>
      </c>
    </row>
    <row r="578" spans="1:7" x14ac:dyDescent="0.25">
      <c r="A578">
        <v>577</v>
      </c>
      <c r="B578" t="s">
        <v>1164</v>
      </c>
      <c r="C578" t="s">
        <v>28</v>
      </c>
      <c r="D578">
        <v>69</v>
      </c>
      <c r="E578" t="s">
        <v>13</v>
      </c>
      <c r="F578" s="1">
        <v>44846</v>
      </c>
      <c r="G578" t="s">
        <v>1165</v>
      </c>
    </row>
    <row r="579" spans="1:7" x14ac:dyDescent="0.25">
      <c r="A579">
        <v>578</v>
      </c>
      <c r="B579" t="s">
        <v>1166</v>
      </c>
      <c r="C579" t="s">
        <v>21</v>
      </c>
      <c r="D579">
        <v>30</v>
      </c>
      <c r="E579" t="s">
        <v>13</v>
      </c>
      <c r="F579" s="1">
        <v>44750</v>
      </c>
      <c r="G579" t="s">
        <v>1167</v>
      </c>
    </row>
    <row r="580" spans="1:7" x14ac:dyDescent="0.25">
      <c r="A580">
        <v>579</v>
      </c>
      <c r="B580" t="s">
        <v>1168</v>
      </c>
      <c r="C580" t="s">
        <v>12</v>
      </c>
      <c r="D580">
        <v>44</v>
      </c>
      <c r="E580" t="s">
        <v>9</v>
      </c>
      <c r="F580" s="1">
        <v>43876</v>
      </c>
      <c r="G580" t="s">
        <v>1169</v>
      </c>
    </row>
    <row r="581" spans="1:7" x14ac:dyDescent="0.25">
      <c r="A581">
        <v>580</v>
      </c>
      <c r="B581" t="s">
        <v>1170</v>
      </c>
      <c r="C581" t="s">
        <v>18</v>
      </c>
      <c r="D581">
        <v>32</v>
      </c>
      <c r="E581" t="s">
        <v>13</v>
      </c>
      <c r="F581" s="1">
        <v>45035</v>
      </c>
      <c r="G581" t="s">
        <v>1171</v>
      </c>
    </row>
    <row r="582" spans="1:7" x14ac:dyDescent="0.25">
      <c r="A582">
        <v>581</v>
      </c>
      <c r="B582" t="s">
        <v>1172</v>
      </c>
      <c r="C582" t="s">
        <v>18</v>
      </c>
      <c r="D582">
        <v>52</v>
      </c>
      <c r="E582" t="s">
        <v>13</v>
      </c>
      <c r="F582" s="1">
        <v>45199</v>
      </c>
      <c r="G582" t="s">
        <v>1173</v>
      </c>
    </row>
    <row r="583" spans="1:7" x14ac:dyDescent="0.25">
      <c r="A583">
        <v>582</v>
      </c>
      <c r="B583" t="s">
        <v>1174</v>
      </c>
      <c r="C583" t="s">
        <v>12</v>
      </c>
      <c r="D583">
        <v>51</v>
      </c>
      <c r="E583" t="s">
        <v>9</v>
      </c>
      <c r="F583" s="1">
        <v>44507</v>
      </c>
      <c r="G583" t="s">
        <v>1175</v>
      </c>
    </row>
    <row r="584" spans="1:7" x14ac:dyDescent="0.25">
      <c r="A584">
        <v>583</v>
      </c>
      <c r="B584" t="s">
        <v>1176</v>
      </c>
      <c r="C584" t="s">
        <v>18</v>
      </c>
      <c r="D584">
        <v>22</v>
      </c>
      <c r="E584" t="s">
        <v>13</v>
      </c>
      <c r="F584" s="1">
        <v>45168</v>
      </c>
      <c r="G584" t="s">
        <v>1177</v>
      </c>
    </row>
    <row r="585" spans="1:7" x14ac:dyDescent="0.25">
      <c r="A585">
        <v>584</v>
      </c>
      <c r="B585" t="s">
        <v>1178</v>
      </c>
      <c r="C585" t="s">
        <v>12</v>
      </c>
      <c r="D585">
        <v>33</v>
      </c>
      <c r="E585" t="s">
        <v>9</v>
      </c>
      <c r="F585" s="1">
        <v>45207</v>
      </c>
      <c r="G585" t="s">
        <v>1179</v>
      </c>
    </row>
    <row r="586" spans="1:7" x14ac:dyDescent="0.25">
      <c r="A586">
        <v>585</v>
      </c>
      <c r="B586" t="s">
        <v>1180</v>
      </c>
      <c r="C586" t="s">
        <v>12</v>
      </c>
      <c r="D586">
        <v>19</v>
      </c>
      <c r="E586" t="s">
        <v>13</v>
      </c>
      <c r="F586" s="1">
        <v>45069</v>
      </c>
      <c r="G586" t="s">
        <v>1181</v>
      </c>
    </row>
    <row r="587" spans="1:7" x14ac:dyDescent="0.25">
      <c r="A587">
        <v>586</v>
      </c>
      <c r="B587" t="s">
        <v>1182</v>
      </c>
      <c r="C587" t="s">
        <v>8</v>
      </c>
      <c r="D587">
        <v>60</v>
      </c>
      <c r="E587" t="s">
        <v>13</v>
      </c>
      <c r="F587" s="1">
        <v>44746</v>
      </c>
      <c r="G587" t="s">
        <v>1183</v>
      </c>
    </row>
    <row r="588" spans="1:7" x14ac:dyDescent="0.25">
      <c r="A588">
        <v>587</v>
      </c>
      <c r="B588" t="s">
        <v>1184</v>
      </c>
      <c r="C588" t="s">
        <v>18</v>
      </c>
      <c r="D588">
        <v>61</v>
      </c>
      <c r="E588" t="s">
        <v>13</v>
      </c>
      <c r="F588" s="1">
        <v>44841</v>
      </c>
      <c r="G588" t="s">
        <v>1185</v>
      </c>
    </row>
    <row r="589" spans="1:7" x14ac:dyDescent="0.25">
      <c r="A589">
        <v>588</v>
      </c>
      <c r="B589" t="s">
        <v>1186</v>
      </c>
      <c r="C589" t="s">
        <v>28</v>
      </c>
      <c r="D589">
        <v>38</v>
      </c>
      <c r="E589" t="s">
        <v>9</v>
      </c>
      <c r="F589" s="1">
        <v>45072</v>
      </c>
      <c r="G589" t="s">
        <v>1187</v>
      </c>
    </row>
    <row r="590" spans="1:7" x14ac:dyDescent="0.25">
      <c r="A590">
        <v>589</v>
      </c>
      <c r="B590" t="s">
        <v>1188</v>
      </c>
      <c r="C590" t="s">
        <v>12</v>
      </c>
      <c r="D590">
        <v>59</v>
      </c>
      <c r="E590" t="s">
        <v>9</v>
      </c>
      <c r="F590" s="1">
        <v>44807</v>
      </c>
      <c r="G590" t="s">
        <v>1189</v>
      </c>
    </row>
    <row r="591" spans="1:7" x14ac:dyDescent="0.25">
      <c r="A591">
        <v>590</v>
      </c>
      <c r="B591" t="s">
        <v>1190</v>
      </c>
      <c r="C591" t="s">
        <v>21</v>
      </c>
      <c r="D591">
        <v>64</v>
      </c>
      <c r="E591" t="s">
        <v>9</v>
      </c>
      <c r="F591" s="1">
        <v>44514</v>
      </c>
      <c r="G591" t="s">
        <v>1191</v>
      </c>
    </row>
    <row r="592" spans="1:7" x14ac:dyDescent="0.25">
      <c r="A592">
        <v>591</v>
      </c>
      <c r="B592" t="s">
        <v>1192</v>
      </c>
      <c r="C592" t="s">
        <v>8</v>
      </c>
      <c r="D592">
        <v>52</v>
      </c>
      <c r="E592" t="s">
        <v>9</v>
      </c>
      <c r="F592" s="1">
        <v>44223</v>
      </c>
      <c r="G592" t="s">
        <v>1193</v>
      </c>
    </row>
    <row r="593" spans="1:7" x14ac:dyDescent="0.25">
      <c r="A593">
        <v>592</v>
      </c>
      <c r="B593" t="s">
        <v>1194</v>
      </c>
      <c r="C593" t="s">
        <v>8</v>
      </c>
      <c r="D593">
        <v>57</v>
      </c>
      <c r="E593" t="s">
        <v>9</v>
      </c>
      <c r="F593" s="1">
        <v>45237</v>
      </c>
      <c r="G593" t="s">
        <v>1195</v>
      </c>
    </row>
    <row r="594" spans="1:7" x14ac:dyDescent="0.25">
      <c r="A594">
        <v>593</v>
      </c>
      <c r="B594" t="s">
        <v>1196</v>
      </c>
      <c r="C594" t="s">
        <v>12</v>
      </c>
      <c r="D594">
        <v>66</v>
      </c>
      <c r="E594" t="s">
        <v>13</v>
      </c>
      <c r="F594" s="1">
        <v>45248</v>
      </c>
      <c r="G594" t="s">
        <v>1197</v>
      </c>
    </row>
    <row r="595" spans="1:7" x14ac:dyDescent="0.25">
      <c r="A595">
        <v>594</v>
      </c>
      <c r="B595" t="s">
        <v>1198</v>
      </c>
      <c r="C595" t="s">
        <v>18</v>
      </c>
      <c r="D595">
        <v>51</v>
      </c>
      <c r="E595" t="s">
        <v>9</v>
      </c>
      <c r="F595" s="1">
        <v>43847</v>
      </c>
      <c r="G595" t="s">
        <v>1199</v>
      </c>
    </row>
    <row r="596" spans="1:7" x14ac:dyDescent="0.25">
      <c r="A596">
        <v>595</v>
      </c>
      <c r="B596" t="s">
        <v>1200</v>
      </c>
      <c r="C596" t="s">
        <v>21</v>
      </c>
      <c r="D596">
        <v>32</v>
      </c>
      <c r="E596" t="s">
        <v>13</v>
      </c>
      <c r="F596" s="1">
        <v>44713</v>
      </c>
      <c r="G596" t="s">
        <v>1201</v>
      </c>
    </row>
    <row r="597" spans="1:7" x14ac:dyDescent="0.25">
      <c r="A597">
        <v>596</v>
      </c>
      <c r="B597" t="s">
        <v>1202</v>
      </c>
      <c r="C597" t="s">
        <v>21</v>
      </c>
      <c r="D597">
        <v>57</v>
      </c>
      <c r="E597" t="s">
        <v>9</v>
      </c>
      <c r="F597" s="1">
        <v>45272</v>
      </c>
      <c r="G597" t="s">
        <v>1203</v>
      </c>
    </row>
    <row r="598" spans="1:7" x14ac:dyDescent="0.25">
      <c r="A598">
        <v>597</v>
      </c>
      <c r="B598" t="s">
        <v>1204</v>
      </c>
      <c r="C598" t="s">
        <v>8</v>
      </c>
      <c r="D598">
        <v>67</v>
      </c>
      <c r="E598" t="s">
        <v>13</v>
      </c>
      <c r="F598" s="1">
        <v>44286</v>
      </c>
      <c r="G598" t="s">
        <v>1205</v>
      </c>
    </row>
    <row r="599" spans="1:7" x14ac:dyDescent="0.25">
      <c r="A599">
        <v>598</v>
      </c>
      <c r="B599" t="s">
        <v>1206</v>
      </c>
      <c r="C599" t="s">
        <v>12</v>
      </c>
      <c r="D599">
        <v>51</v>
      </c>
      <c r="E599" t="s">
        <v>13</v>
      </c>
      <c r="F599" s="1">
        <v>44349</v>
      </c>
      <c r="G599" t="s">
        <v>1207</v>
      </c>
    </row>
    <row r="600" spans="1:7" x14ac:dyDescent="0.25">
      <c r="A600">
        <v>599</v>
      </c>
      <c r="B600" t="s">
        <v>1208</v>
      </c>
      <c r="C600" t="s">
        <v>8</v>
      </c>
      <c r="D600">
        <v>18</v>
      </c>
      <c r="E600" t="s">
        <v>13</v>
      </c>
      <c r="F600" s="1">
        <v>45036</v>
      </c>
      <c r="G600" t="s">
        <v>1209</v>
      </c>
    </row>
    <row r="601" spans="1:7" x14ac:dyDescent="0.25">
      <c r="A601">
        <v>600</v>
      </c>
      <c r="B601" t="s">
        <v>1210</v>
      </c>
      <c r="C601" t="s">
        <v>18</v>
      </c>
      <c r="D601">
        <v>36</v>
      </c>
      <c r="E601" t="s">
        <v>9</v>
      </c>
      <c r="F601" s="1">
        <v>45204</v>
      </c>
      <c r="G601" t="s">
        <v>1211</v>
      </c>
    </row>
    <row r="602" spans="1:7" x14ac:dyDescent="0.25">
      <c r="A602">
        <v>601</v>
      </c>
      <c r="B602" t="s">
        <v>1212</v>
      </c>
      <c r="C602" t="s">
        <v>12</v>
      </c>
      <c r="D602">
        <v>21</v>
      </c>
      <c r="E602" t="s">
        <v>13</v>
      </c>
      <c r="F602" s="1">
        <v>44530</v>
      </c>
      <c r="G602" t="s">
        <v>1213</v>
      </c>
    </row>
    <row r="603" spans="1:7" x14ac:dyDescent="0.25">
      <c r="A603">
        <v>602</v>
      </c>
      <c r="B603" t="s">
        <v>1214</v>
      </c>
      <c r="C603" t="s">
        <v>12</v>
      </c>
      <c r="D603">
        <v>19</v>
      </c>
      <c r="E603" t="s">
        <v>9</v>
      </c>
      <c r="F603" s="1">
        <v>45169</v>
      </c>
      <c r="G603" t="s">
        <v>1215</v>
      </c>
    </row>
    <row r="604" spans="1:7" x14ac:dyDescent="0.25">
      <c r="A604">
        <v>603</v>
      </c>
      <c r="B604" t="s">
        <v>1216</v>
      </c>
      <c r="C604" t="s">
        <v>18</v>
      </c>
      <c r="D604">
        <v>26</v>
      </c>
      <c r="E604" t="s">
        <v>13</v>
      </c>
      <c r="F604" s="1">
        <v>45361</v>
      </c>
      <c r="G604" t="s">
        <v>1217</v>
      </c>
    </row>
    <row r="605" spans="1:7" x14ac:dyDescent="0.25">
      <c r="A605">
        <v>604</v>
      </c>
      <c r="B605" t="s">
        <v>1218</v>
      </c>
      <c r="C605" t="s">
        <v>12</v>
      </c>
      <c r="D605">
        <v>35</v>
      </c>
      <c r="E605" t="s">
        <v>13</v>
      </c>
      <c r="F605" s="1">
        <v>44818</v>
      </c>
      <c r="G605" t="s">
        <v>1219</v>
      </c>
    </row>
    <row r="606" spans="1:7" x14ac:dyDescent="0.25">
      <c r="A606">
        <v>605</v>
      </c>
      <c r="B606" t="s">
        <v>1220</v>
      </c>
      <c r="C606" t="s">
        <v>21</v>
      </c>
      <c r="D606">
        <v>61</v>
      </c>
      <c r="E606" t="s">
        <v>9</v>
      </c>
      <c r="F606" s="1">
        <v>44822</v>
      </c>
      <c r="G606" t="s">
        <v>1221</v>
      </c>
    </row>
    <row r="607" spans="1:7" x14ac:dyDescent="0.25">
      <c r="A607">
        <v>606</v>
      </c>
      <c r="B607" t="s">
        <v>1222</v>
      </c>
      <c r="C607" t="s">
        <v>28</v>
      </c>
      <c r="D607">
        <v>53</v>
      </c>
      <c r="E607" t="s">
        <v>9</v>
      </c>
      <c r="F607" s="1">
        <v>44709</v>
      </c>
      <c r="G607" t="s">
        <v>1223</v>
      </c>
    </row>
    <row r="608" spans="1:7" x14ac:dyDescent="0.25">
      <c r="A608">
        <v>607</v>
      </c>
      <c r="B608" t="s">
        <v>1224</v>
      </c>
      <c r="C608" t="s">
        <v>12</v>
      </c>
      <c r="D608">
        <v>38</v>
      </c>
      <c r="E608" t="s">
        <v>9</v>
      </c>
      <c r="F608" s="1">
        <v>45598</v>
      </c>
      <c r="G608" t="s">
        <v>1225</v>
      </c>
    </row>
    <row r="609" spans="1:7" x14ac:dyDescent="0.25">
      <c r="A609">
        <v>608</v>
      </c>
      <c r="B609" t="s">
        <v>1226</v>
      </c>
      <c r="C609" t="s">
        <v>18</v>
      </c>
      <c r="D609">
        <v>59</v>
      </c>
      <c r="E609" t="s">
        <v>9</v>
      </c>
      <c r="F609" s="1">
        <v>45431</v>
      </c>
      <c r="G609" t="s">
        <v>1227</v>
      </c>
    </row>
    <row r="610" spans="1:7" x14ac:dyDescent="0.25">
      <c r="A610">
        <v>609</v>
      </c>
      <c r="B610" t="s">
        <v>1228</v>
      </c>
      <c r="C610" t="s">
        <v>12</v>
      </c>
      <c r="D610">
        <v>62</v>
      </c>
      <c r="E610" t="s">
        <v>9</v>
      </c>
      <c r="F610" s="1">
        <v>45341</v>
      </c>
      <c r="G610" t="s">
        <v>1229</v>
      </c>
    </row>
    <row r="611" spans="1:7" x14ac:dyDescent="0.25">
      <c r="A611">
        <v>610</v>
      </c>
      <c r="B611" t="s">
        <v>1230</v>
      </c>
      <c r="C611" t="s">
        <v>18</v>
      </c>
      <c r="D611">
        <v>67</v>
      </c>
      <c r="E611" t="s">
        <v>13</v>
      </c>
      <c r="F611" s="1">
        <v>44128</v>
      </c>
      <c r="G611" t="s">
        <v>1231</v>
      </c>
    </row>
    <row r="612" spans="1:7" x14ac:dyDescent="0.25">
      <c r="A612">
        <v>611</v>
      </c>
      <c r="B612" t="s">
        <v>1232</v>
      </c>
      <c r="C612" t="s">
        <v>18</v>
      </c>
      <c r="D612">
        <v>38</v>
      </c>
      <c r="E612" t="s">
        <v>13</v>
      </c>
      <c r="F612" s="1">
        <v>44325</v>
      </c>
      <c r="G612" t="s">
        <v>1233</v>
      </c>
    </row>
    <row r="613" spans="1:7" x14ac:dyDescent="0.25">
      <c r="A613">
        <v>612</v>
      </c>
      <c r="B613" t="s">
        <v>1234</v>
      </c>
      <c r="C613" t="s">
        <v>12</v>
      </c>
      <c r="D613">
        <v>69</v>
      </c>
      <c r="E613" t="s">
        <v>9</v>
      </c>
      <c r="F613" s="1">
        <v>44311</v>
      </c>
      <c r="G613" t="s">
        <v>1235</v>
      </c>
    </row>
    <row r="614" spans="1:7" x14ac:dyDescent="0.25">
      <c r="A614">
        <v>613</v>
      </c>
      <c r="B614" t="s">
        <v>1236</v>
      </c>
      <c r="C614" t="s">
        <v>21</v>
      </c>
      <c r="D614">
        <v>27</v>
      </c>
      <c r="E614" t="s">
        <v>13</v>
      </c>
      <c r="F614" s="1">
        <v>45178</v>
      </c>
      <c r="G614" t="s">
        <v>1237</v>
      </c>
    </row>
    <row r="615" spans="1:7" x14ac:dyDescent="0.25">
      <c r="A615">
        <v>614</v>
      </c>
      <c r="B615" t="s">
        <v>1238</v>
      </c>
      <c r="C615" t="s">
        <v>21</v>
      </c>
      <c r="D615">
        <v>37</v>
      </c>
      <c r="E615" t="s">
        <v>9</v>
      </c>
      <c r="F615" s="1">
        <v>44945</v>
      </c>
      <c r="G615" t="s">
        <v>1239</v>
      </c>
    </row>
    <row r="616" spans="1:7" x14ac:dyDescent="0.25">
      <c r="A616">
        <v>615</v>
      </c>
      <c r="B616" t="s">
        <v>1240</v>
      </c>
      <c r="C616" t="s">
        <v>12</v>
      </c>
      <c r="D616">
        <v>63</v>
      </c>
      <c r="E616" t="s">
        <v>13</v>
      </c>
      <c r="F616" s="1">
        <v>45312</v>
      </c>
      <c r="G616" t="s">
        <v>1241</v>
      </c>
    </row>
    <row r="617" spans="1:7" x14ac:dyDescent="0.25">
      <c r="A617">
        <v>616</v>
      </c>
      <c r="B617" t="s">
        <v>1242</v>
      </c>
      <c r="C617" t="s">
        <v>12</v>
      </c>
      <c r="D617">
        <v>67</v>
      </c>
      <c r="E617" t="s">
        <v>13</v>
      </c>
      <c r="F617" s="1">
        <v>43983</v>
      </c>
      <c r="G617" t="s">
        <v>1243</v>
      </c>
    </row>
    <row r="618" spans="1:7" x14ac:dyDescent="0.25">
      <c r="A618">
        <v>617</v>
      </c>
      <c r="B618" t="s">
        <v>1244</v>
      </c>
      <c r="C618" t="s">
        <v>21</v>
      </c>
      <c r="D618">
        <v>50</v>
      </c>
      <c r="E618" t="s">
        <v>13</v>
      </c>
      <c r="F618" s="1">
        <v>43985</v>
      </c>
      <c r="G618" t="s">
        <v>1245</v>
      </c>
    </row>
    <row r="619" spans="1:7" x14ac:dyDescent="0.25">
      <c r="A619">
        <v>618</v>
      </c>
      <c r="B619" t="s">
        <v>1246</v>
      </c>
      <c r="C619" t="s">
        <v>28</v>
      </c>
      <c r="D619">
        <v>35</v>
      </c>
      <c r="E619" t="s">
        <v>13</v>
      </c>
      <c r="F619" s="1">
        <v>44540</v>
      </c>
      <c r="G619" t="s">
        <v>1247</v>
      </c>
    </row>
    <row r="620" spans="1:7" x14ac:dyDescent="0.25">
      <c r="A620">
        <v>619</v>
      </c>
      <c r="B620" t="s">
        <v>1248</v>
      </c>
      <c r="C620" t="s">
        <v>21</v>
      </c>
      <c r="D620">
        <v>35</v>
      </c>
      <c r="E620" t="s">
        <v>9</v>
      </c>
      <c r="F620" s="1">
        <v>45551</v>
      </c>
      <c r="G620" t="s">
        <v>1249</v>
      </c>
    </row>
    <row r="621" spans="1:7" x14ac:dyDescent="0.25">
      <c r="A621">
        <v>620</v>
      </c>
      <c r="B621" t="s">
        <v>1250</v>
      </c>
      <c r="C621" t="s">
        <v>28</v>
      </c>
      <c r="D621">
        <v>28</v>
      </c>
      <c r="E621" t="s">
        <v>9</v>
      </c>
      <c r="F621" s="1">
        <v>45193</v>
      </c>
      <c r="G621" t="s">
        <v>1251</v>
      </c>
    </row>
    <row r="622" spans="1:7" x14ac:dyDescent="0.25">
      <c r="A622">
        <v>621</v>
      </c>
      <c r="B622" t="s">
        <v>1252</v>
      </c>
      <c r="C622" t="s">
        <v>8</v>
      </c>
      <c r="D622">
        <v>37</v>
      </c>
      <c r="E622" t="s">
        <v>13</v>
      </c>
      <c r="F622" s="1">
        <v>44615</v>
      </c>
      <c r="G622" t="s">
        <v>1253</v>
      </c>
    </row>
    <row r="623" spans="1:7" x14ac:dyDescent="0.25">
      <c r="A623">
        <v>622</v>
      </c>
      <c r="B623" t="s">
        <v>1254</v>
      </c>
      <c r="C623" t="s">
        <v>21</v>
      </c>
      <c r="D623">
        <v>53</v>
      </c>
      <c r="E623" t="s">
        <v>13</v>
      </c>
      <c r="F623" s="1">
        <v>44912</v>
      </c>
      <c r="G623" t="s">
        <v>1255</v>
      </c>
    </row>
    <row r="624" spans="1:7" x14ac:dyDescent="0.25">
      <c r="A624">
        <v>623</v>
      </c>
      <c r="B624" t="s">
        <v>1256</v>
      </c>
      <c r="C624" t="s">
        <v>8</v>
      </c>
      <c r="D624">
        <v>44</v>
      </c>
      <c r="E624" t="s">
        <v>13</v>
      </c>
      <c r="F624" s="1">
        <v>44420</v>
      </c>
      <c r="G624" t="s">
        <v>1257</v>
      </c>
    </row>
    <row r="625" spans="1:7" x14ac:dyDescent="0.25">
      <c r="A625">
        <v>624</v>
      </c>
      <c r="B625" t="s">
        <v>1258</v>
      </c>
      <c r="C625" t="s">
        <v>8</v>
      </c>
      <c r="D625">
        <v>29</v>
      </c>
      <c r="E625" t="s">
        <v>13</v>
      </c>
      <c r="F625" s="1">
        <v>45491</v>
      </c>
      <c r="G625" t="s">
        <v>1259</v>
      </c>
    </row>
    <row r="626" spans="1:7" x14ac:dyDescent="0.25">
      <c r="A626">
        <v>625</v>
      </c>
      <c r="B626" t="s">
        <v>1260</v>
      </c>
      <c r="C626" t="s">
        <v>8</v>
      </c>
      <c r="D626">
        <v>22</v>
      </c>
      <c r="E626" t="s">
        <v>9</v>
      </c>
      <c r="F626" s="1">
        <v>45313</v>
      </c>
      <c r="G626" t="s">
        <v>1261</v>
      </c>
    </row>
    <row r="627" spans="1:7" x14ac:dyDescent="0.25">
      <c r="A627">
        <v>626</v>
      </c>
      <c r="B627" t="s">
        <v>1262</v>
      </c>
      <c r="C627" t="s">
        <v>8</v>
      </c>
      <c r="D627">
        <v>25</v>
      </c>
      <c r="E627" t="s">
        <v>13</v>
      </c>
      <c r="F627" s="1">
        <v>45064</v>
      </c>
      <c r="G627" t="s">
        <v>1263</v>
      </c>
    </row>
    <row r="628" spans="1:7" x14ac:dyDescent="0.25">
      <c r="A628">
        <v>627</v>
      </c>
      <c r="B628" t="s">
        <v>1264</v>
      </c>
      <c r="C628" t="s">
        <v>28</v>
      </c>
      <c r="D628">
        <v>44</v>
      </c>
      <c r="E628" t="s">
        <v>9</v>
      </c>
      <c r="F628" s="1">
        <v>43981</v>
      </c>
      <c r="G628" t="s">
        <v>1265</v>
      </c>
    </row>
    <row r="629" spans="1:7" x14ac:dyDescent="0.25">
      <c r="A629">
        <v>628</v>
      </c>
      <c r="B629" t="s">
        <v>1266</v>
      </c>
      <c r="C629" t="s">
        <v>28</v>
      </c>
      <c r="D629">
        <v>44</v>
      </c>
      <c r="E629" t="s">
        <v>13</v>
      </c>
      <c r="F629" s="1">
        <v>44315</v>
      </c>
      <c r="G629" t="s">
        <v>1267</v>
      </c>
    </row>
    <row r="630" spans="1:7" x14ac:dyDescent="0.25">
      <c r="A630">
        <v>629</v>
      </c>
      <c r="B630" t="s">
        <v>1268</v>
      </c>
      <c r="C630" t="s">
        <v>8</v>
      </c>
      <c r="D630">
        <v>41</v>
      </c>
      <c r="E630" t="s">
        <v>13</v>
      </c>
      <c r="F630" s="1">
        <v>45018</v>
      </c>
      <c r="G630" t="s">
        <v>1269</v>
      </c>
    </row>
    <row r="631" spans="1:7" x14ac:dyDescent="0.25">
      <c r="A631">
        <v>630</v>
      </c>
      <c r="B631" t="s">
        <v>1270</v>
      </c>
      <c r="C631" t="s">
        <v>28</v>
      </c>
      <c r="D631">
        <v>39</v>
      </c>
      <c r="E631" t="s">
        <v>13</v>
      </c>
      <c r="F631" s="1">
        <v>45459</v>
      </c>
      <c r="G631" t="s">
        <v>1271</v>
      </c>
    </row>
    <row r="632" spans="1:7" x14ac:dyDescent="0.25">
      <c r="A632">
        <v>631</v>
      </c>
      <c r="B632" t="s">
        <v>1272</v>
      </c>
      <c r="C632" t="s">
        <v>8</v>
      </c>
      <c r="D632">
        <v>27</v>
      </c>
      <c r="E632" t="s">
        <v>13</v>
      </c>
      <c r="F632" s="1">
        <v>45209</v>
      </c>
      <c r="G632" t="s">
        <v>1273</v>
      </c>
    </row>
    <row r="633" spans="1:7" x14ac:dyDescent="0.25">
      <c r="A633">
        <v>632</v>
      </c>
      <c r="B633" t="s">
        <v>1274</v>
      </c>
      <c r="C633" t="s">
        <v>8</v>
      </c>
      <c r="D633">
        <v>18</v>
      </c>
      <c r="E633" t="s">
        <v>9</v>
      </c>
      <c r="F633" s="1">
        <v>44808</v>
      </c>
      <c r="G633" t="s">
        <v>1275</v>
      </c>
    </row>
    <row r="634" spans="1:7" x14ac:dyDescent="0.25">
      <c r="A634">
        <v>633</v>
      </c>
      <c r="B634" t="s">
        <v>1276</v>
      </c>
      <c r="C634" t="s">
        <v>28</v>
      </c>
      <c r="D634">
        <v>36</v>
      </c>
      <c r="E634" t="s">
        <v>13</v>
      </c>
      <c r="F634" s="1">
        <v>45400</v>
      </c>
      <c r="G634" t="s">
        <v>1277</v>
      </c>
    </row>
    <row r="635" spans="1:7" x14ac:dyDescent="0.25">
      <c r="A635">
        <v>634</v>
      </c>
      <c r="B635" t="s">
        <v>1278</v>
      </c>
      <c r="C635" t="s">
        <v>21</v>
      </c>
      <c r="D635">
        <v>26</v>
      </c>
      <c r="E635" t="s">
        <v>9</v>
      </c>
      <c r="F635" s="1">
        <v>44558</v>
      </c>
      <c r="G635" t="s">
        <v>1279</v>
      </c>
    </row>
    <row r="636" spans="1:7" x14ac:dyDescent="0.25">
      <c r="A636">
        <v>635</v>
      </c>
      <c r="B636" t="s">
        <v>1280</v>
      </c>
      <c r="C636" t="s">
        <v>18</v>
      </c>
      <c r="D636">
        <v>29</v>
      </c>
      <c r="E636" t="s">
        <v>9</v>
      </c>
      <c r="F636" s="1">
        <v>45019</v>
      </c>
      <c r="G636" t="s">
        <v>1281</v>
      </c>
    </row>
    <row r="637" spans="1:7" x14ac:dyDescent="0.25">
      <c r="A637">
        <v>636</v>
      </c>
      <c r="B637" t="s">
        <v>1282</v>
      </c>
      <c r="C637" t="s">
        <v>21</v>
      </c>
      <c r="D637">
        <v>69</v>
      </c>
      <c r="E637" t="s">
        <v>13</v>
      </c>
      <c r="F637" s="1">
        <v>45280</v>
      </c>
      <c r="G637" t="s">
        <v>1283</v>
      </c>
    </row>
    <row r="638" spans="1:7" x14ac:dyDescent="0.25">
      <c r="A638">
        <v>637</v>
      </c>
      <c r="B638" t="s">
        <v>1284</v>
      </c>
      <c r="C638" t="s">
        <v>8</v>
      </c>
      <c r="D638">
        <v>22</v>
      </c>
      <c r="E638" t="s">
        <v>13</v>
      </c>
      <c r="F638" s="1">
        <v>44107</v>
      </c>
      <c r="G638" t="s">
        <v>1285</v>
      </c>
    </row>
    <row r="639" spans="1:7" x14ac:dyDescent="0.25">
      <c r="A639">
        <v>638</v>
      </c>
      <c r="B639" t="s">
        <v>1286</v>
      </c>
      <c r="C639" t="s">
        <v>12</v>
      </c>
      <c r="D639">
        <v>62</v>
      </c>
      <c r="E639" t="s">
        <v>13</v>
      </c>
      <c r="F639" s="1">
        <v>44172</v>
      </c>
      <c r="G639" t="s">
        <v>1287</v>
      </c>
    </row>
    <row r="640" spans="1:7" x14ac:dyDescent="0.25">
      <c r="A640">
        <v>639</v>
      </c>
      <c r="B640" t="s">
        <v>1288</v>
      </c>
      <c r="C640" t="s">
        <v>21</v>
      </c>
      <c r="D640">
        <v>67</v>
      </c>
      <c r="E640" t="s">
        <v>13</v>
      </c>
      <c r="F640" s="1">
        <v>45043</v>
      </c>
      <c r="G640" t="s">
        <v>1289</v>
      </c>
    </row>
    <row r="641" spans="1:7" x14ac:dyDescent="0.25">
      <c r="A641">
        <v>640</v>
      </c>
      <c r="B641" t="s">
        <v>1290</v>
      </c>
      <c r="C641" t="s">
        <v>28</v>
      </c>
      <c r="D641">
        <v>29</v>
      </c>
      <c r="E641" t="s">
        <v>13</v>
      </c>
      <c r="F641" s="1">
        <v>44017</v>
      </c>
      <c r="G641" t="s">
        <v>1291</v>
      </c>
    </row>
    <row r="642" spans="1:7" x14ac:dyDescent="0.25">
      <c r="A642">
        <v>641</v>
      </c>
      <c r="B642" t="s">
        <v>1292</v>
      </c>
      <c r="C642" t="s">
        <v>12</v>
      </c>
      <c r="D642">
        <v>38</v>
      </c>
      <c r="E642" t="s">
        <v>13</v>
      </c>
      <c r="F642" s="1">
        <v>44813</v>
      </c>
      <c r="G642" t="s">
        <v>1293</v>
      </c>
    </row>
    <row r="643" spans="1:7" x14ac:dyDescent="0.25">
      <c r="A643">
        <v>642</v>
      </c>
      <c r="B643" t="s">
        <v>1294</v>
      </c>
      <c r="C643" t="s">
        <v>8</v>
      </c>
      <c r="D643">
        <v>48</v>
      </c>
      <c r="E643" t="s">
        <v>13</v>
      </c>
      <c r="F643" s="1">
        <v>44021</v>
      </c>
      <c r="G643" t="s">
        <v>1295</v>
      </c>
    </row>
    <row r="644" spans="1:7" x14ac:dyDescent="0.25">
      <c r="A644">
        <v>643</v>
      </c>
      <c r="B644" t="s">
        <v>1296</v>
      </c>
      <c r="C644" t="s">
        <v>21</v>
      </c>
      <c r="D644">
        <v>35</v>
      </c>
      <c r="E644" t="s">
        <v>13</v>
      </c>
      <c r="F644" s="1">
        <v>45447</v>
      </c>
      <c r="G644" t="s">
        <v>1297</v>
      </c>
    </row>
    <row r="645" spans="1:7" x14ac:dyDescent="0.25">
      <c r="A645">
        <v>644</v>
      </c>
      <c r="B645" t="s">
        <v>1298</v>
      </c>
      <c r="C645" t="s">
        <v>8</v>
      </c>
      <c r="D645">
        <v>31</v>
      </c>
      <c r="E645" t="s">
        <v>9</v>
      </c>
      <c r="F645" s="1">
        <v>43889</v>
      </c>
      <c r="G645" t="s">
        <v>1299</v>
      </c>
    </row>
    <row r="646" spans="1:7" x14ac:dyDescent="0.25">
      <c r="A646">
        <v>645</v>
      </c>
      <c r="B646" t="s">
        <v>1300</v>
      </c>
      <c r="C646" t="s">
        <v>18</v>
      </c>
      <c r="D646">
        <v>56</v>
      </c>
      <c r="E646" t="s">
        <v>13</v>
      </c>
      <c r="F646" s="1">
        <v>44215</v>
      </c>
      <c r="G646" t="s">
        <v>1301</v>
      </c>
    </row>
    <row r="647" spans="1:7" x14ac:dyDescent="0.25">
      <c r="A647">
        <v>646</v>
      </c>
      <c r="B647" t="s">
        <v>354</v>
      </c>
      <c r="C647" t="s">
        <v>12</v>
      </c>
      <c r="D647">
        <v>47</v>
      </c>
      <c r="E647" t="s">
        <v>13</v>
      </c>
      <c r="F647" s="1">
        <v>44033</v>
      </c>
      <c r="G647" t="s">
        <v>1302</v>
      </c>
    </row>
    <row r="648" spans="1:7" x14ac:dyDescent="0.25">
      <c r="A648">
        <v>647</v>
      </c>
      <c r="B648" t="s">
        <v>1303</v>
      </c>
      <c r="C648" t="s">
        <v>28</v>
      </c>
      <c r="D648">
        <v>58</v>
      </c>
      <c r="E648" t="s">
        <v>13</v>
      </c>
      <c r="F648" s="1">
        <v>44804</v>
      </c>
      <c r="G648" t="s">
        <v>1304</v>
      </c>
    </row>
    <row r="649" spans="1:7" x14ac:dyDescent="0.25">
      <c r="A649">
        <v>648</v>
      </c>
      <c r="B649" t="s">
        <v>1305</v>
      </c>
      <c r="C649" t="s">
        <v>21</v>
      </c>
      <c r="D649">
        <v>55</v>
      </c>
      <c r="E649" t="s">
        <v>9</v>
      </c>
      <c r="F649" s="1">
        <v>45321</v>
      </c>
      <c r="G649" t="s">
        <v>1306</v>
      </c>
    </row>
    <row r="650" spans="1:7" x14ac:dyDescent="0.25">
      <c r="A650">
        <v>649</v>
      </c>
      <c r="B650" t="s">
        <v>1307</v>
      </c>
      <c r="C650" t="s">
        <v>12</v>
      </c>
      <c r="D650">
        <v>29</v>
      </c>
      <c r="E650" t="s">
        <v>9</v>
      </c>
      <c r="F650" s="1">
        <v>44638</v>
      </c>
      <c r="G650" t="s">
        <v>1308</v>
      </c>
    </row>
    <row r="651" spans="1:7" x14ac:dyDescent="0.25">
      <c r="A651">
        <v>650</v>
      </c>
      <c r="B651" t="s">
        <v>1309</v>
      </c>
      <c r="C651" t="s">
        <v>8</v>
      </c>
      <c r="D651">
        <v>48</v>
      </c>
      <c r="E651" t="s">
        <v>13</v>
      </c>
      <c r="F651" s="1">
        <v>44787</v>
      </c>
      <c r="G651" t="s">
        <v>1310</v>
      </c>
    </row>
    <row r="652" spans="1:7" x14ac:dyDescent="0.25">
      <c r="A652">
        <v>651</v>
      </c>
      <c r="B652" t="s">
        <v>1311</v>
      </c>
      <c r="C652" t="s">
        <v>18</v>
      </c>
      <c r="D652">
        <v>26</v>
      </c>
      <c r="E652" t="s">
        <v>13</v>
      </c>
      <c r="F652" s="1">
        <v>44887</v>
      </c>
      <c r="G652" t="s">
        <v>1312</v>
      </c>
    </row>
    <row r="653" spans="1:7" x14ac:dyDescent="0.25">
      <c r="A653">
        <v>652</v>
      </c>
      <c r="B653" t="s">
        <v>1313</v>
      </c>
      <c r="C653" t="s">
        <v>18</v>
      </c>
      <c r="D653">
        <v>67</v>
      </c>
      <c r="E653" t="s">
        <v>13</v>
      </c>
      <c r="F653" s="1">
        <v>43875</v>
      </c>
      <c r="G653" t="s">
        <v>1314</v>
      </c>
    </row>
    <row r="654" spans="1:7" x14ac:dyDescent="0.25">
      <c r="A654">
        <v>653</v>
      </c>
      <c r="B654" t="s">
        <v>1315</v>
      </c>
      <c r="C654" t="s">
        <v>8</v>
      </c>
      <c r="D654">
        <v>35</v>
      </c>
      <c r="E654" t="s">
        <v>13</v>
      </c>
      <c r="F654" s="1">
        <v>45071</v>
      </c>
      <c r="G654" t="s">
        <v>1316</v>
      </c>
    </row>
    <row r="655" spans="1:7" x14ac:dyDescent="0.25">
      <c r="A655">
        <v>654</v>
      </c>
      <c r="B655" t="s">
        <v>1317</v>
      </c>
      <c r="C655" t="s">
        <v>18</v>
      </c>
      <c r="D655">
        <v>21</v>
      </c>
      <c r="E655" t="s">
        <v>9</v>
      </c>
      <c r="F655" s="1">
        <v>45406</v>
      </c>
      <c r="G655" t="s">
        <v>1318</v>
      </c>
    </row>
    <row r="656" spans="1:7" x14ac:dyDescent="0.25">
      <c r="A656">
        <v>655</v>
      </c>
      <c r="B656" t="s">
        <v>1319</v>
      </c>
      <c r="C656" t="s">
        <v>12</v>
      </c>
      <c r="D656">
        <v>42</v>
      </c>
      <c r="E656" t="s">
        <v>9</v>
      </c>
      <c r="F656" s="1">
        <v>44603</v>
      </c>
      <c r="G656" t="s">
        <v>1320</v>
      </c>
    </row>
    <row r="657" spans="1:7" x14ac:dyDescent="0.25">
      <c r="A657">
        <v>656</v>
      </c>
      <c r="B657" t="s">
        <v>1321</v>
      </c>
      <c r="C657" t="s">
        <v>8</v>
      </c>
      <c r="D657">
        <v>63</v>
      </c>
      <c r="E657" t="s">
        <v>13</v>
      </c>
      <c r="F657" s="1">
        <v>44110</v>
      </c>
      <c r="G657" t="s">
        <v>1322</v>
      </c>
    </row>
    <row r="658" spans="1:7" x14ac:dyDescent="0.25">
      <c r="A658">
        <v>657</v>
      </c>
      <c r="B658" t="s">
        <v>1323</v>
      </c>
      <c r="C658" t="s">
        <v>21</v>
      </c>
      <c r="D658">
        <v>36</v>
      </c>
      <c r="E658" t="s">
        <v>13</v>
      </c>
      <c r="F658" s="1">
        <v>44802</v>
      </c>
      <c r="G658" t="s">
        <v>1324</v>
      </c>
    </row>
    <row r="659" spans="1:7" x14ac:dyDescent="0.25">
      <c r="A659">
        <v>658</v>
      </c>
      <c r="B659" t="s">
        <v>1325</v>
      </c>
      <c r="C659" t="s">
        <v>18</v>
      </c>
      <c r="D659">
        <v>66</v>
      </c>
      <c r="E659" t="s">
        <v>13</v>
      </c>
      <c r="F659" s="1">
        <v>44530</v>
      </c>
      <c r="G659" t="s">
        <v>1326</v>
      </c>
    </row>
    <row r="660" spans="1:7" x14ac:dyDescent="0.25">
      <c r="A660">
        <v>659</v>
      </c>
      <c r="B660" t="s">
        <v>1327</v>
      </c>
      <c r="C660" t="s">
        <v>18</v>
      </c>
      <c r="D660">
        <v>28</v>
      </c>
      <c r="E660" t="s">
        <v>13</v>
      </c>
      <c r="F660" s="1">
        <v>45315</v>
      </c>
      <c r="G660" t="s">
        <v>1328</v>
      </c>
    </row>
    <row r="661" spans="1:7" x14ac:dyDescent="0.25">
      <c r="A661">
        <v>660</v>
      </c>
      <c r="B661" t="s">
        <v>1329</v>
      </c>
      <c r="C661" t="s">
        <v>8</v>
      </c>
      <c r="D661">
        <v>68</v>
      </c>
      <c r="E661" t="s">
        <v>13</v>
      </c>
      <c r="F661" s="1">
        <v>45375</v>
      </c>
      <c r="G661" t="s">
        <v>1330</v>
      </c>
    </row>
    <row r="662" spans="1:7" x14ac:dyDescent="0.25">
      <c r="A662">
        <v>661</v>
      </c>
      <c r="B662" t="s">
        <v>1331</v>
      </c>
      <c r="C662" t="s">
        <v>12</v>
      </c>
      <c r="D662">
        <v>24</v>
      </c>
      <c r="E662" t="s">
        <v>13</v>
      </c>
      <c r="F662" s="1">
        <v>44102</v>
      </c>
      <c r="G662" t="s">
        <v>1332</v>
      </c>
    </row>
    <row r="663" spans="1:7" x14ac:dyDescent="0.25">
      <c r="A663">
        <v>662</v>
      </c>
      <c r="B663" t="s">
        <v>1333</v>
      </c>
      <c r="C663" t="s">
        <v>18</v>
      </c>
      <c r="D663">
        <v>44</v>
      </c>
      <c r="E663" t="s">
        <v>13</v>
      </c>
      <c r="F663" s="1">
        <v>44436</v>
      </c>
      <c r="G663" t="s">
        <v>1334</v>
      </c>
    </row>
    <row r="664" spans="1:7" x14ac:dyDescent="0.25">
      <c r="A664">
        <v>663</v>
      </c>
      <c r="B664" t="s">
        <v>1335</v>
      </c>
      <c r="C664" t="s">
        <v>12</v>
      </c>
      <c r="D664">
        <v>53</v>
      </c>
      <c r="E664" t="s">
        <v>13</v>
      </c>
      <c r="F664" s="1">
        <v>43878</v>
      </c>
      <c r="G664" t="s">
        <v>1336</v>
      </c>
    </row>
    <row r="665" spans="1:7" x14ac:dyDescent="0.25">
      <c r="A665">
        <v>664</v>
      </c>
      <c r="B665" t="s">
        <v>1337</v>
      </c>
      <c r="C665" t="s">
        <v>18</v>
      </c>
      <c r="D665">
        <v>58</v>
      </c>
      <c r="E665" t="s">
        <v>13</v>
      </c>
      <c r="F665" s="1">
        <v>43938</v>
      </c>
      <c r="G665" t="s">
        <v>1338</v>
      </c>
    </row>
    <row r="666" spans="1:7" x14ac:dyDescent="0.25">
      <c r="A666">
        <v>665</v>
      </c>
      <c r="B666" t="s">
        <v>1339</v>
      </c>
      <c r="C666" t="s">
        <v>8</v>
      </c>
      <c r="D666">
        <v>38</v>
      </c>
      <c r="E666" t="s">
        <v>13</v>
      </c>
      <c r="F666" s="1">
        <v>44758</v>
      </c>
      <c r="G666" t="s">
        <v>1340</v>
      </c>
    </row>
    <row r="667" spans="1:7" x14ac:dyDescent="0.25">
      <c r="A667">
        <v>666</v>
      </c>
      <c r="B667" t="s">
        <v>1341</v>
      </c>
      <c r="C667" t="s">
        <v>8</v>
      </c>
      <c r="D667">
        <v>54</v>
      </c>
      <c r="E667" t="s">
        <v>13</v>
      </c>
      <c r="F667" s="1">
        <v>44066</v>
      </c>
      <c r="G667" t="s">
        <v>1342</v>
      </c>
    </row>
    <row r="668" spans="1:7" x14ac:dyDescent="0.25">
      <c r="A668">
        <v>667</v>
      </c>
      <c r="B668" t="s">
        <v>1343</v>
      </c>
      <c r="C668" t="s">
        <v>8</v>
      </c>
      <c r="D668">
        <v>42</v>
      </c>
      <c r="E668" t="s">
        <v>13</v>
      </c>
      <c r="F668" s="1">
        <v>45516</v>
      </c>
      <c r="G668" t="s">
        <v>1344</v>
      </c>
    </row>
    <row r="669" spans="1:7" x14ac:dyDescent="0.25">
      <c r="A669">
        <v>668</v>
      </c>
      <c r="B669" t="s">
        <v>1345</v>
      </c>
      <c r="C669" t="s">
        <v>28</v>
      </c>
      <c r="D669">
        <v>46</v>
      </c>
      <c r="E669" t="s">
        <v>13</v>
      </c>
      <c r="F669" s="1">
        <v>44903</v>
      </c>
      <c r="G669" t="s">
        <v>1346</v>
      </c>
    </row>
    <row r="670" spans="1:7" x14ac:dyDescent="0.25">
      <c r="A670">
        <v>669</v>
      </c>
      <c r="B670" t="s">
        <v>1347</v>
      </c>
      <c r="C670" t="s">
        <v>21</v>
      </c>
      <c r="D670">
        <v>35</v>
      </c>
      <c r="E670" t="s">
        <v>13</v>
      </c>
      <c r="F670" s="1">
        <v>45376</v>
      </c>
      <c r="G670" t="s">
        <v>1348</v>
      </c>
    </row>
    <row r="671" spans="1:7" x14ac:dyDescent="0.25">
      <c r="A671">
        <v>670</v>
      </c>
      <c r="B671" t="s">
        <v>1349</v>
      </c>
      <c r="C671" t="s">
        <v>28</v>
      </c>
      <c r="D671">
        <v>69</v>
      </c>
      <c r="E671" t="s">
        <v>9</v>
      </c>
      <c r="F671" s="1">
        <v>45194</v>
      </c>
      <c r="G671" t="s">
        <v>1350</v>
      </c>
    </row>
    <row r="672" spans="1:7" x14ac:dyDescent="0.25">
      <c r="A672">
        <v>671</v>
      </c>
      <c r="B672" t="s">
        <v>1351</v>
      </c>
      <c r="C672" t="s">
        <v>8</v>
      </c>
      <c r="D672">
        <v>69</v>
      </c>
      <c r="E672" t="s">
        <v>9</v>
      </c>
      <c r="F672" s="1">
        <v>45303</v>
      </c>
      <c r="G672" t="s">
        <v>1352</v>
      </c>
    </row>
    <row r="673" spans="1:7" x14ac:dyDescent="0.25">
      <c r="A673">
        <v>672</v>
      </c>
      <c r="B673" t="s">
        <v>1353</v>
      </c>
      <c r="C673" t="s">
        <v>12</v>
      </c>
      <c r="D673">
        <v>37</v>
      </c>
      <c r="E673" t="s">
        <v>9</v>
      </c>
      <c r="F673" s="1">
        <v>44344</v>
      </c>
      <c r="G673" t="s">
        <v>1354</v>
      </c>
    </row>
    <row r="674" spans="1:7" x14ac:dyDescent="0.25">
      <c r="A674">
        <v>673</v>
      </c>
      <c r="B674" t="s">
        <v>1355</v>
      </c>
      <c r="C674" t="s">
        <v>8</v>
      </c>
      <c r="D674">
        <v>65</v>
      </c>
      <c r="E674" t="s">
        <v>13</v>
      </c>
      <c r="F674" s="1">
        <v>44822</v>
      </c>
      <c r="G674" t="s">
        <v>1356</v>
      </c>
    </row>
    <row r="675" spans="1:7" x14ac:dyDescent="0.25">
      <c r="A675">
        <v>674</v>
      </c>
      <c r="B675" t="s">
        <v>1357</v>
      </c>
      <c r="C675" t="s">
        <v>18</v>
      </c>
      <c r="D675">
        <v>44</v>
      </c>
      <c r="E675" t="s">
        <v>13</v>
      </c>
      <c r="F675" s="1">
        <v>44237</v>
      </c>
      <c r="G675" t="s">
        <v>1358</v>
      </c>
    </row>
    <row r="676" spans="1:7" x14ac:dyDescent="0.25">
      <c r="A676">
        <v>675</v>
      </c>
      <c r="B676" t="s">
        <v>1359</v>
      </c>
      <c r="C676" t="s">
        <v>21</v>
      </c>
      <c r="D676">
        <v>48</v>
      </c>
      <c r="E676" t="s">
        <v>13</v>
      </c>
      <c r="F676" s="1">
        <v>44641</v>
      </c>
      <c r="G676" t="s">
        <v>1360</v>
      </c>
    </row>
    <row r="677" spans="1:7" x14ac:dyDescent="0.25">
      <c r="A677">
        <v>676</v>
      </c>
      <c r="B677" t="s">
        <v>1361</v>
      </c>
      <c r="C677" t="s">
        <v>18</v>
      </c>
      <c r="D677">
        <v>54</v>
      </c>
      <c r="E677" t="s">
        <v>13</v>
      </c>
      <c r="F677" s="1">
        <v>45315</v>
      </c>
      <c r="G677" t="s">
        <v>1362</v>
      </c>
    </row>
    <row r="678" spans="1:7" x14ac:dyDescent="0.25">
      <c r="A678">
        <v>677</v>
      </c>
      <c r="B678" t="s">
        <v>1198</v>
      </c>
      <c r="C678" t="s">
        <v>18</v>
      </c>
      <c r="D678">
        <v>55</v>
      </c>
      <c r="E678" t="s">
        <v>13</v>
      </c>
      <c r="F678" s="1">
        <v>44530</v>
      </c>
      <c r="G678" t="s">
        <v>1363</v>
      </c>
    </row>
    <row r="679" spans="1:7" x14ac:dyDescent="0.25">
      <c r="A679">
        <v>678</v>
      </c>
      <c r="B679" t="s">
        <v>1364</v>
      </c>
      <c r="C679" t="s">
        <v>8</v>
      </c>
      <c r="D679">
        <v>63</v>
      </c>
      <c r="E679" t="s">
        <v>9</v>
      </c>
      <c r="F679" s="1">
        <v>44335</v>
      </c>
      <c r="G679" t="s">
        <v>1365</v>
      </c>
    </row>
    <row r="680" spans="1:7" x14ac:dyDescent="0.25">
      <c r="A680">
        <v>679</v>
      </c>
      <c r="B680" t="s">
        <v>1366</v>
      </c>
      <c r="C680" t="s">
        <v>18</v>
      </c>
      <c r="D680">
        <v>51</v>
      </c>
      <c r="E680" t="s">
        <v>13</v>
      </c>
      <c r="F680" s="1">
        <v>43953</v>
      </c>
      <c r="G680" t="s">
        <v>1367</v>
      </c>
    </row>
    <row r="681" spans="1:7" x14ac:dyDescent="0.25">
      <c r="A681">
        <v>680</v>
      </c>
      <c r="B681" t="s">
        <v>1368</v>
      </c>
      <c r="C681" t="s">
        <v>28</v>
      </c>
      <c r="D681">
        <v>63</v>
      </c>
      <c r="E681" t="s">
        <v>9</v>
      </c>
      <c r="F681" s="1">
        <v>44913</v>
      </c>
      <c r="G681" t="s">
        <v>1369</v>
      </c>
    </row>
    <row r="682" spans="1:7" x14ac:dyDescent="0.25">
      <c r="A682">
        <v>681</v>
      </c>
      <c r="B682" t="s">
        <v>1370</v>
      </c>
      <c r="C682" t="s">
        <v>12</v>
      </c>
      <c r="D682">
        <v>22</v>
      </c>
      <c r="E682" t="s">
        <v>13</v>
      </c>
      <c r="F682" s="1">
        <v>44698</v>
      </c>
      <c r="G682" t="s">
        <v>1371</v>
      </c>
    </row>
    <row r="683" spans="1:7" x14ac:dyDescent="0.25">
      <c r="A683">
        <v>682</v>
      </c>
      <c r="B683" t="s">
        <v>1372</v>
      </c>
      <c r="C683" t="s">
        <v>8</v>
      </c>
      <c r="D683">
        <v>23</v>
      </c>
      <c r="E683" t="s">
        <v>13</v>
      </c>
      <c r="F683" s="1">
        <v>44912</v>
      </c>
      <c r="G683" t="s">
        <v>1373</v>
      </c>
    </row>
    <row r="684" spans="1:7" x14ac:dyDescent="0.25">
      <c r="A684">
        <v>683</v>
      </c>
      <c r="B684" t="s">
        <v>1374</v>
      </c>
      <c r="C684" t="s">
        <v>8</v>
      </c>
      <c r="D684">
        <v>23</v>
      </c>
      <c r="E684" t="s">
        <v>9</v>
      </c>
      <c r="F684" s="1">
        <v>45342</v>
      </c>
      <c r="G684" t="s">
        <v>1375</v>
      </c>
    </row>
    <row r="685" spans="1:7" x14ac:dyDescent="0.25">
      <c r="A685">
        <v>684</v>
      </c>
      <c r="B685" t="s">
        <v>1376</v>
      </c>
      <c r="C685" t="s">
        <v>18</v>
      </c>
      <c r="D685">
        <v>67</v>
      </c>
      <c r="E685" t="s">
        <v>9</v>
      </c>
      <c r="F685" s="1">
        <v>44544</v>
      </c>
      <c r="G685" t="s">
        <v>1377</v>
      </c>
    </row>
    <row r="686" spans="1:7" x14ac:dyDescent="0.25">
      <c r="A686">
        <v>685</v>
      </c>
      <c r="B686" t="s">
        <v>1378</v>
      </c>
      <c r="C686" t="s">
        <v>21</v>
      </c>
      <c r="D686">
        <v>53</v>
      </c>
      <c r="E686" t="s">
        <v>9</v>
      </c>
      <c r="F686" s="1">
        <v>44475</v>
      </c>
      <c r="G686" t="s">
        <v>1379</v>
      </c>
    </row>
    <row r="687" spans="1:7" x14ac:dyDescent="0.25">
      <c r="A687">
        <v>686</v>
      </c>
      <c r="B687" t="s">
        <v>1380</v>
      </c>
      <c r="C687" t="s">
        <v>18</v>
      </c>
      <c r="D687">
        <v>50</v>
      </c>
      <c r="E687" t="s">
        <v>13</v>
      </c>
      <c r="F687" s="1">
        <v>44684</v>
      </c>
      <c r="G687" t="s">
        <v>1381</v>
      </c>
    </row>
    <row r="688" spans="1:7" x14ac:dyDescent="0.25">
      <c r="A688">
        <v>687</v>
      </c>
      <c r="B688" t="s">
        <v>1382</v>
      </c>
      <c r="C688" t="s">
        <v>18</v>
      </c>
      <c r="D688">
        <v>63</v>
      </c>
      <c r="E688" t="s">
        <v>9</v>
      </c>
      <c r="F688" s="1">
        <v>44013</v>
      </c>
      <c r="G688" t="s">
        <v>1383</v>
      </c>
    </row>
    <row r="689" spans="1:7" x14ac:dyDescent="0.25">
      <c r="A689">
        <v>688</v>
      </c>
      <c r="B689" t="s">
        <v>1384</v>
      </c>
      <c r="C689" t="s">
        <v>18</v>
      </c>
      <c r="D689">
        <v>52</v>
      </c>
      <c r="E689" t="s">
        <v>13</v>
      </c>
      <c r="F689" s="1">
        <v>43844</v>
      </c>
      <c r="G689" t="s">
        <v>1385</v>
      </c>
    </row>
    <row r="690" spans="1:7" x14ac:dyDescent="0.25">
      <c r="A690">
        <v>689</v>
      </c>
      <c r="B690" t="s">
        <v>1386</v>
      </c>
      <c r="C690" t="s">
        <v>28</v>
      </c>
      <c r="D690">
        <v>23</v>
      </c>
      <c r="E690" t="s">
        <v>9</v>
      </c>
      <c r="F690" s="1">
        <v>45557</v>
      </c>
      <c r="G690" t="s">
        <v>1387</v>
      </c>
    </row>
    <row r="691" spans="1:7" x14ac:dyDescent="0.25">
      <c r="A691">
        <v>690</v>
      </c>
      <c r="B691" t="s">
        <v>1388</v>
      </c>
      <c r="C691" t="s">
        <v>21</v>
      </c>
      <c r="D691">
        <v>53</v>
      </c>
      <c r="E691" t="s">
        <v>13</v>
      </c>
      <c r="F691" s="1">
        <v>44052</v>
      </c>
      <c r="G691" t="s">
        <v>1389</v>
      </c>
    </row>
    <row r="692" spans="1:7" x14ac:dyDescent="0.25">
      <c r="A692">
        <v>691</v>
      </c>
      <c r="B692" t="s">
        <v>1390</v>
      </c>
      <c r="C692" t="s">
        <v>8</v>
      </c>
      <c r="D692">
        <v>67</v>
      </c>
      <c r="E692" t="s">
        <v>13</v>
      </c>
      <c r="F692" s="1">
        <v>44680</v>
      </c>
      <c r="G692" t="s">
        <v>1391</v>
      </c>
    </row>
    <row r="693" spans="1:7" x14ac:dyDescent="0.25">
      <c r="A693">
        <v>692</v>
      </c>
      <c r="B693" t="s">
        <v>1392</v>
      </c>
      <c r="C693" t="s">
        <v>12</v>
      </c>
      <c r="D693">
        <v>62</v>
      </c>
      <c r="E693" t="s">
        <v>9</v>
      </c>
      <c r="F693" s="1">
        <v>44365</v>
      </c>
      <c r="G693" t="s">
        <v>1393</v>
      </c>
    </row>
    <row r="694" spans="1:7" x14ac:dyDescent="0.25">
      <c r="A694">
        <v>693</v>
      </c>
      <c r="B694" t="s">
        <v>1394</v>
      </c>
      <c r="C694" t="s">
        <v>28</v>
      </c>
      <c r="D694">
        <v>19</v>
      </c>
      <c r="E694" t="s">
        <v>13</v>
      </c>
      <c r="F694" s="1">
        <v>44307</v>
      </c>
      <c r="G694" t="s">
        <v>1395</v>
      </c>
    </row>
    <row r="695" spans="1:7" x14ac:dyDescent="0.25">
      <c r="A695">
        <v>694</v>
      </c>
      <c r="B695" t="s">
        <v>1396</v>
      </c>
      <c r="C695" t="s">
        <v>18</v>
      </c>
      <c r="D695">
        <v>47</v>
      </c>
      <c r="E695" t="s">
        <v>13</v>
      </c>
      <c r="F695" s="1">
        <v>44876</v>
      </c>
      <c r="G695" t="s">
        <v>1397</v>
      </c>
    </row>
    <row r="696" spans="1:7" x14ac:dyDescent="0.25">
      <c r="A696">
        <v>695</v>
      </c>
      <c r="B696" t="s">
        <v>1398</v>
      </c>
      <c r="C696" t="s">
        <v>12</v>
      </c>
      <c r="D696">
        <v>20</v>
      </c>
      <c r="E696" t="s">
        <v>9</v>
      </c>
      <c r="F696" s="1">
        <v>44804</v>
      </c>
      <c r="G696" t="s">
        <v>1399</v>
      </c>
    </row>
    <row r="697" spans="1:7" x14ac:dyDescent="0.25">
      <c r="A697">
        <v>696</v>
      </c>
      <c r="B697" t="s">
        <v>1400</v>
      </c>
      <c r="C697" t="s">
        <v>21</v>
      </c>
      <c r="D697">
        <v>22</v>
      </c>
      <c r="E697" t="s">
        <v>13</v>
      </c>
      <c r="F697" s="1">
        <v>44149</v>
      </c>
      <c r="G697" t="s">
        <v>1401</v>
      </c>
    </row>
    <row r="698" spans="1:7" x14ac:dyDescent="0.25">
      <c r="A698">
        <v>697</v>
      </c>
      <c r="B698" t="s">
        <v>1402</v>
      </c>
      <c r="C698" t="s">
        <v>12</v>
      </c>
      <c r="D698">
        <v>24</v>
      </c>
      <c r="E698" t="s">
        <v>13</v>
      </c>
      <c r="F698" s="1">
        <v>45391</v>
      </c>
      <c r="G698" t="s">
        <v>1403</v>
      </c>
    </row>
    <row r="699" spans="1:7" x14ac:dyDescent="0.25">
      <c r="A699">
        <v>698</v>
      </c>
      <c r="B699" t="s">
        <v>1404</v>
      </c>
      <c r="C699" t="s">
        <v>8</v>
      </c>
      <c r="D699">
        <v>35</v>
      </c>
      <c r="E699" t="s">
        <v>9</v>
      </c>
      <c r="F699" s="1">
        <v>45210</v>
      </c>
      <c r="G699" t="s">
        <v>1405</v>
      </c>
    </row>
    <row r="700" spans="1:7" x14ac:dyDescent="0.25">
      <c r="A700">
        <v>699</v>
      </c>
      <c r="B700" t="s">
        <v>1406</v>
      </c>
      <c r="C700" t="s">
        <v>18</v>
      </c>
      <c r="D700">
        <v>61</v>
      </c>
      <c r="E700" t="s">
        <v>13</v>
      </c>
      <c r="F700" s="1">
        <v>45152</v>
      </c>
      <c r="G700" t="s">
        <v>1407</v>
      </c>
    </row>
    <row r="701" spans="1:7" x14ac:dyDescent="0.25">
      <c r="A701">
        <v>700</v>
      </c>
      <c r="B701" t="s">
        <v>1408</v>
      </c>
      <c r="C701" t="s">
        <v>21</v>
      </c>
      <c r="D701">
        <v>34</v>
      </c>
      <c r="E701" t="s">
        <v>9</v>
      </c>
      <c r="F701" s="1">
        <v>43897</v>
      </c>
      <c r="G701" t="s">
        <v>1409</v>
      </c>
    </row>
    <row r="702" spans="1:7" x14ac:dyDescent="0.25">
      <c r="A702">
        <v>701</v>
      </c>
      <c r="B702" t="s">
        <v>1410</v>
      </c>
      <c r="C702" t="s">
        <v>12</v>
      </c>
      <c r="D702">
        <v>49</v>
      </c>
      <c r="E702" t="s">
        <v>9</v>
      </c>
      <c r="F702" s="1">
        <v>43978</v>
      </c>
      <c r="G702" t="s">
        <v>1411</v>
      </c>
    </row>
    <row r="703" spans="1:7" x14ac:dyDescent="0.25">
      <c r="A703">
        <v>702</v>
      </c>
      <c r="B703" t="s">
        <v>1412</v>
      </c>
      <c r="C703" t="s">
        <v>8</v>
      </c>
      <c r="D703">
        <v>56</v>
      </c>
      <c r="E703" t="s">
        <v>13</v>
      </c>
      <c r="F703" s="1">
        <v>44294</v>
      </c>
      <c r="G703" t="s">
        <v>1413</v>
      </c>
    </row>
    <row r="704" spans="1:7" x14ac:dyDescent="0.25">
      <c r="A704">
        <v>703</v>
      </c>
      <c r="B704" t="s">
        <v>1414</v>
      </c>
      <c r="C704" t="s">
        <v>21</v>
      </c>
      <c r="D704">
        <v>35</v>
      </c>
      <c r="E704" t="s">
        <v>9</v>
      </c>
      <c r="F704" s="1">
        <v>44416</v>
      </c>
      <c r="G704" t="s">
        <v>1415</v>
      </c>
    </row>
    <row r="705" spans="1:7" x14ac:dyDescent="0.25">
      <c r="A705">
        <v>704</v>
      </c>
      <c r="B705" t="s">
        <v>1416</v>
      </c>
      <c r="C705" t="s">
        <v>28</v>
      </c>
      <c r="D705">
        <v>19</v>
      </c>
      <c r="E705" t="s">
        <v>13</v>
      </c>
      <c r="F705" s="1">
        <v>44139</v>
      </c>
      <c r="G705" t="s">
        <v>1417</v>
      </c>
    </row>
    <row r="706" spans="1:7" x14ac:dyDescent="0.25">
      <c r="A706">
        <v>705</v>
      </c>
      <c r="B706" t="s">
        <v>886</v>
      </c>
      <c r="C706" t="s">
        <v>18</v>
      </c>
      <c r="D706">
        <v>50</v>
      </c>
      <c r="E706" t="s">
        <v>13</v>
      </c>
      <c r="F706" s="1">
        <v>44709</v>
      </c>
      <c r="G706" t="s">
        <v>1418</v>
      </c>
    </row>
    <row r="707" spans="1:7" x14ac:dyDescent="0.25">
      <c r="A707">
        <v>706</v>
      </c>
      <c r="B707" t="s">
        <v>1419</v>
      </c>
      <c r="C707" t="s">
        <v>21</v>
      </c>
      <c r="D707">
        <v>39</v>
      </c>
      <c r="E707" t="s">
        <v>13</v>
      </c>
      <c r="F707" s="1">
        <v>43914</v>
      </c>
      <c r="G707" t="s">
        <v>1420</v>
      </c>
    </row>
    <row r="708" spans="1:7" x14ac:dyDescent="0.25">
      <c r="A708">
        <v>707</v>
      </c>
      <c r="B708" t="s">
        <v>1421</v>
      </c>
      <c r="C708" t="s">
        <v>18</v>
      </c>
      <c r="D708">
        <v>19</v>
      </c>
      <c r="E708" t="s">
        <v>9</v>
      </c>
      <c r="F708" s="1">
        <v>44784</v>
      </c>
      <c r="G708" t="s">
        <v>1422</v>
      </c>
    </row>
    <row r="709" spans="1:7" x14ac:dyDescent="0.25">
      <c r="A709">
        <v>708</v>
      </c>
      <c r="B709" t="s">
        <v>1423</v>
      </c>
      <c r="C709" t="s">
        <v>8</v>
      </c>
      <c r="D709">
        <v>65</v>
      </c>
      <c r="E709" t="s">
        <v>13</v>
      </c>
      <c r="F709" s="1">
        <v>44680</v>
      </c>
      <c r="G709" t="s">
        <v>1424</v>
      </c>
    </row>
    <row r="710" spans="1:7" x14ac:dyDescent="0.25">
      <c r="A710">
        <v>709</v>
      </c>
      <c r="B710" t="s">
        <v>1425</v>
      </c>
      <c r="C710" t="s">
        <v>18</v>
      </c>
      <c r="D710">
        <v>50</v>
      </c>
      <c r="E710" t="s">
        <v>13</v>
      </c>
      <c r="F710" s="1">
        <v>45053</v>
      </c>
      <c r="G710" t="s">
        <v>1426</v>
      </c>
    </row>
    <row r="711" spans="1:7" x14ac:dyDescent="0.25">
      <c r="A711">
        <v>710</v>
      </c>
      <c r="B711" t="s">
        <v>1427</v>
      </c>
      <c r="C711" t="s">
        <v>8</v>
      </c>
      <c r="D711">
        <v>40</v>
      </c>
      <c r="E711" t="s">
        <v>13</v>
      </c>
      <c r="F711" s="1">
        <v>44596</v>
      </c>
      <c r="G711" t="s">
        <v>1428</v>
      </c>
    </row>
    <row r="712" spans="1:7" x14ac:dyDescent="0.25">
      <c r="A712">
        <v>711</v>
      </c>
      <c r="B712" t="s">
        <v>1429</v>
      </c>
      <c r="C712" t="s">
        <v>21</v>
      </c>
      <c r="D712">
        <v>45</v>
      </c>
      <c r="E712" t="s">
        <v>13</v>
      </c>
      <c r="F712" s="1">
        <v>44765</v>
      </c>
      <c r="G712" t="s">
        <v>1430</v>
      </c>
    </row>
    <row r="713" spans="1:7" x14ac:dyDescent="0.25">
      <c r="A713">
        <v>712</v>
      </c>
      <c r="B713" t="s">
        <v>1431</v>
      </c>
      <c r="C713" t="s">
        <v>21</v>
      </c>
      <c r="D713">
        <v>41</v>
      </c>
      <c r="E713" t="s">
        <v>13</v>
      </c>
      <c r="F713" s="1">
        <v>44106</v>
      </c>
      <c r="G713" t="s">
        <v>1432</v>
      </c>
    </row>
    <row r="714" spans="1:7" x14ac:dyDescent="0.25">
      <c r="A714">
        <v>713</v>
      </c>
      <c r="B714" t="s">
        <v>1433</v>
      </c>
      <c r="C714" t="s">
        <v>28</v>
      </c>
      <c r="D714">
        <v>21</v>
      </c>
      <c r="E714" t="s">
        <v>13</v>
      </c>
      <c r="F714" s="1">
        <v>45000</v>
      </c>
      <c r="G714" t="s">
        <v>1434</v>
      </c>
    </row>
    <row r="715" spans="1:7" x14ac:dyDescent="0.25">
      <c r="A715">
        <v>714</v>
      </c>
      <c r="B715" t="s">
        <v>1435</v>
      </c>
      <c r="C715" t="s">
        <v>12</v>
      </c>
      <c r="D715">
        <v>23</v>
      </c>
      <c r="E715" t="s">
        <v>9</v>
      </c>
      <c r="F715" s="1">
        <v>43981</v>
      </c>
      <c r="G715" t="s">
        <v>1436</v>
      </c>
    </row>
    <row r="716" spans="1:7" x14ac:dyDescent="0.25">
      <c r="A716">
        <v>715</v>
      </c>
      <c r="B716" t="s">
        <v>1437</v>
      </c>
      <c r="C716" t="s">
        <v>28</v>
      </c>
      <c r="D716">
        <v>22</v>
      </c>
      <c r="E716" t="s">
        <v>9</v>
      </c>
      <c r="F716" s="1">
        <v>44683</v>
      </c>
      <c r="G716" t="s">
        <v>1438</v>
      </c>
    </row>
    <row r="717" spans="1:7" x14ac:dyDescent="0.25">
      <c r="A717">
        <v>716</v>
      </c>
      <c r="B717" t="s">
        <v>1439</v>
      </c>
      <c r="C717" t="s">
        <v>12</v>
      </c>
      <c r="D717">
        <v>59</v>
      </c>
      <c r="E717" t="s">
        <v>9</v>
      </c>
      <c r="F717" s="1">
        <v>45411</v>
      </c>
      <c r="G717" t="s">
        <v>1440</v>
      </c>
    </row>
    <row r="718" spans="1:7" x14ac:dyDescent="0.25">
      <c r="A718">
        <v>717</v>
      </c>
      <c r="B718" t="s">
        <v>1441</v>
      </c>
      <c r="C718" t="s">
        <v>21</v>
      </c>
      <c r="D718">
        <v>63</v>
      </c>
      <c r="E718" t="s">
        <v>9</v>
      </c>
      <c r="F718" s="1">
        <v>44883</v>
      </c>
      <c r="G718" t="s">
        <v>1442</v>
      </c>
    </row>
    <row r="719" spans="1:7" x14ac:dyDescent="0.25">
      <c r="A719">
        <v>718</v>
      </c>
      <c r="B719" t="s">
        <v>1443</v>
      </c>
      <c r="C719" t="s">
        <v>28</v>
      </c>
      <c r="D719">
        <v>65</v>
      </c>
      <c r="E719" t="s">
        <v>9</v>
      </c>
      <c r="F719" s="1">
        <v>45044</v>
      </c>
      <c r="G719" t="s">
        <v>1444</v>
      </c>
    </row>
    <row r="720" spans="1:7" x14ac:dyDescent="0.25">
      <c r="A720">
        <v>719</v>
      </c>
      <c r="B720" t="s">
        <v>1445</v>
      </c>
      <c r="C720" t="s">
        <v>8</v>
      </c>
      <c r="D720">
        <v>47</v>
      </c>
      <c r="E720" t="s">
        <v>13</v>
      </c>
      <c r="F720" s="1">
        <v>44872</v>
      </c>
      <c r="G720" t="s">
        <v>1446</v>
      </c>
    </row>
    <row r="721" spans="1:7" x14ac:dyDescent="0.25">
      <c r="A721">
        <v>720</v>
      </c>
      <c r="B721" t="s">
        <v>1447</v>
      </c>
      <c r="C721" t="s">
        <v>12</v>
      </c>
      <c r="D721">
        <v>44</v>
      </c>
      <c r="E721" t="s">
        <v>9</v>
      </c>
      <c r="F721" s="1">
        <v>44965</v>
      </c>
      <c r="G721" t="s">
        <v>1448</v>
      </c>
    </row>
    <row r="722" spans="1:7" x14ac:dyDescent="0.25">
      <c r="A722">
        <v>721</v>
      </c>
      <c r="B722" t="s">
        <v>1449</v>
      </c>
      <c r="C722" t="s">
        <v>12</v>
      </c>
      <c r="D722">
        <v>30</v>
      </c>
      <c r="E722" t="s">
        <v>9</v>
      </c>
      <c r="F722" s="1">
        <v>45553</v>
      </c>
      <c r="G722" t="s">
        <v>1450</v>
      </c>
    </row>
    <row r="723" spans="1:7" x14ac:dyDescent="0.25">
      <c r="A723">
        <v>722</v>
      </c>
      <c r="B723" t="s">
        <v>1451</v>
      </c>
      <c r="C723" t="s">
        <v>18</v>
      </c>
      <c r="D723">
        <v>35</v>
      </c>
      <c r="E723" t="s">
        <v>9</v>
      </c>
      <c r="F723" s="1">
        <v>44496</v>
      </c>
      <c r="G723" t="s">
        <v>1452</v>
      </c>
    </row>
    <row r="724" spans="1:7" x14ac:dyDescent="0.25">
      <c r="A724">
        <v>723</v>
      </c>
      <c r="B724" t="s">
        <v>1453</v>
      </c>
      <c r="C724" t="s">
        <v>18</v>
      </c>
      <c r="D724">
        <v>46</v>
      </c>
      <c r="E724" t="s">
        <v>9</v>
      </c>
      <c r="F724" s="1">
        <v>44423</v>
      </c>
      <c r="G724" t="s">
        <v>1454</v>
      </c>
    </row>
    <row r="725" spans="1:7" x14ac:dyDescent="0.25">
      <c r="A725">
        <v>724</v>
      </c>
      <c r="B725" t="s">
        <v>1455</v>
      </c>
      <c r="C725" t="s">
        <v>18</v>
      </c>
      <c r="D725">
        <v>31</v>
      </c>
      <c r="E725" t="s">
        <v>9</v>
      </c>
      <c r="F725" s="1">
        <v>44913</v>
      </c>
      <c r="G725" t="s">
        <v>1456</v>
      </c>
    </row>
    <row r="726" spans="1:7" x14ac:dyDescent="0.25">
      <c r="A726">
        <v>725</v>
      </c>
      <c r="B726" t="s">
        <v>1457</v>
      </c>
      <c r="C726" t="s">
        <v>21</v>
      </c>
      <c r="D726">
        <v>68</v>
      </c>
      <c r="E726" t="s">
        <v>13</v>
      </c>
      <c r="F726" s="1">
        <v>45024</v>
      </c>
      <c r="G726" t="s">
        <v>1458</v>
      </c>
    </row>
    <row r="727" spans="1:7" x14ac:dyDescent="0.25">
      <c r="A727">
        <v>726</v>
      </c>
      <c r="B727" t="s">
        <v>1459</v>
      </c>
      <c r="C727" t="s">
        <v>21</v>
      </c>
      <c r="D727">
        <v>51</v>
      </c>
      <c r="E727" t="s">
        <v>13</v>
      </c>
      <c r="F727" s="1">
        <v>45222</v>
      </c>
      <c r="G727" t="s">
        <v>1460</v>
      </c>
    </row>
    <row r="728" spans="1:7" x14ac:dyDescent="0.25">
      <c r="A728">
        <v>727</v>
      </c>
      <c r="B728" t="s">
        <v>1461</v>
      </c>
      <c r="C728" t="s">
        <v>8</v>
      </c>
      <c r="D728">
        <v>67</v>
      </c>
      <c r="E728" t="s">
        <v>9</v>
      </c>
      <c r="F728" s="1">
        <v>44848</v>
      </c>
      <c r="G728" t="s">
        <v>1462</v>
      </c>
    </row>
    <row r="729" spans="1:7" x14ac:dyDescent="0.25">
      <c r="A729">
        <v>728</v>
      </c>
      <c r="B729" t="s">
        <v>1463</v>
      </c>
      <c r="C729" t="s">
        <v>28</v>
      </c>
      <c r="D729">
        <v>25</v>
      </c>
      <c r="E729" t="s">
        <v>13</v>
      </c>
      <c r="F729" s="1">
        <v>44188</v>
      </c>
      <c r="G729" t="s">
        <v>1464</v>
      </c>
    </row>
    <row r="730" spans="1:7" x14ac:dyDescent="0.25">
      <c r="A730">
        <v>729</v>
      </c>
      <c r="B730" t="s">
        <v>1465</v>
      </c>
      <c r="C730" t="s">
        <v>28</v>
      </c>
      <c r="D730">
        <v>21</v>
      </c>
      <c r="E730" t="s">
        <v>9</v>
      </c>
      <c r="F730" s="1">
        <v>44814</v>
      </c>
      <c r="G730" t="s">
        <v>1466</v>
      </c>
    </row>
    <row r="731" spans="1:7" x14ac:dyDescent="0.25">
      <c r="A731">
        <v>730</v>
      </c>
      <c r="B731" t="s">
        <v>1467</v>
      </c>
      <c r="C731" t="s">
        <v>12</v>
      </c>
      <c r="D731">
        <v>55</v>
      </c>
      <c r="E731" t="s">
        <v>9</v>
      </c>
      <c r="F731" s="1">
        <v>44138</v>
      </c>
      <c r="G731" t="s">
        <v>1468</v>
      </c>
    </row>
    <row r="732" spans="1:7" x14ac:dyDescent="0.25">
      <c r="A732">
        <v>731</v>
      </c>
      <c r="B732" t="s">
        <v>1469</v>
      </c>
      <c r="C732" t="s">
        <v>12</v>
      </c>
      <c r="D732">
        <v>29</v>
      </c>
      <c r="E732" t="s">
        <v>13</v>
      </c>
      <c r="F732" s="1">
        <v>44373</v>
      </c>
      <c r="G732" t="s">
        <v>1470</v>
      </c>
    </row>
    <row r="733" spans="1:7" x14ac:dyDescent="0.25">
      <c r="A733">
        <v>732</v>
      </c>
      <c r="B733" t="s">
        <v>1471</v>
      </c>
      <c r="C733" t="s">
        <v>28</v>
      </c>
      <c r="D733">
        <v>67</v>
      </c>
      <c r="E733" t="s">
        <v>13</v>
      </c>
      <c r="F733" s="1">
        <v>45464</v>
      </c>
      <c r="G733" t="s">
        <v>1472</v>
      </c>
    </row>
    <row r="734" spans="1:7" x14ac:dyDescent="0.25">
      <c r="A734">
        <v>733</v>
      </c>
      <c r="B734" t="s">
        <v>1473</v>
      </c>
      <c r="C734" t="s">
        <v>12</v>
      </c>
      <c r="D734">
        <v>27</v>
      </c>
      <c r="E734" t="s">
        <v>9</v>
      </c>
      <c r="F734" s="1">
        <v>43963</v>
      </c>
      <c r="G734" t="s">
        <v>1474</v>
      </c>
    </row>
    <row r="735" spans="1:7" x14ac:dyDescent="0.25">
      <c r="A735">
        <v>734</v>
      </c>
      <c r="B735" t="s">
        <v>1475</v>
      </c>
      <c r="C735" t="s">
        <v>21</v>
      </c>
      <c r="D735">
        <v>29</v>
      </c>
      <c r="E735" t="s">
        <v>13</v>
      </c>
      <c r="F735" s="1">
        <v>45394</v>
      </c>
      <c r="G735" t="s">
        <v>1476</v>
      </c>
    </row>
    <row r="736" spans="1:7" x14ac:dyDescent="0.25">
      <c r="A736">
        <v>735</v>
      </c>
      <c r="B736" t="s">
        <v>1477</v>
      </c>
      <c r="C736" t="s">
        <v>21</v>
      </c>
      <c r="D736">
        <v>60</v>
      </c>
      <c r="E736" t="s">
        <v>13</v>
      </c>
      <c r="F736" s="1">
        <v>43960</v>
      </c>
      <c r="G736" t="s">
        <v>1478</v>
      </c>
    </row>
    <row r="737" spans="1:7" x14ac:dyDescent="0.25">
      <c r="A737">
        <v>736</v>
      </c>
      <c r="B737" t="s">
        <v>1479</v>
      </c>
      <c r="C737" t="s">
        <v>28</v>
      </c>
      <c r="D737">
        <v>56</v>
      </c>
      <c r="E737" t="s">
        <v>9</v>
      </c>
      <c r="F737" s="1">
        <v>45530</v>
      </c>
      <c r="G737" t="s">
        <v>1480</v>
      </c>
    </row>
    <row r="738" spans="1:7" x14ac:dyDescent="0.25">
      <c r="A738">
        <v>737</v>
      </c>
      <c r="B738" t="s">
        <v>1481</v>
      </c>
      <c r="C738" t="s">
        <v>18</v>
      </c>
      <c r="D738">
        <v>31</v>
      </c>
      <c r="E738" t="s">
        <v>13</v>
      </c>
      <c r="F738" s="1">
        <v>44340</v>
      </c>
      <c r="G738" t="s">
        <v>1482</v>
      </c>
    </row>
    <row r="739" spans="1:7" x14ac:dyDescent="0.25">
      <c r="A739">
        <v>738</v>
      </c>
      <c r="B739" t="s">
        <v>1483</v>
      </c>
      <c r="C739" t="s">
        <v>18</v>
      </c>
      <c r="D739">
        <v>49</v>
      </c>
      <c r="E739" t="s">
        <v>13</v>
      </c>
      <c r="F739" s="1">
        <v>44908</v>
      </c>
      <c r="G739" t="s">
        <v>1484</v>
      </c>
    </row>
    <row r="740" spans="1:7" x14ac:dyDescent="0.25">
      <c r="A740">
        <v>739</v>
      </c>
      <c r="B740" t="s">
        <v>1485</v>
      </c>
      <c r="C740" t="s">
        <v>8</v>
      </c>
      <c r="D740">
        <v>68</v>
      </c>
      <c r="E740" t="s">
        <v>9</v>
      </c>
      <c r="F740" s="1">
        <v>44621</v>
      </c>
      <c r="G740" t="s">
        <v>1486</v>
      </c>
    </row>
    <row r="741" spans="1:7" x14ac:dyDescent="0.25">
      <c r="A741">
        <v>740</v>
      </c>
      <c r="B741" t="s">
        <v>1487</v>
      </c>
      <c r="C741" t="s">
        <v>8</v>
      </c>
      <c r="D741">
        <v>31</v>
      </c>
      <c r="E741" t="s">
        <v>13</v>
      </c>
      <c r="F741" s="1">
        <v>44612</v>
      </c>
      <c r="G741" t="s">
        <v>1488</v>
      </c>
    </row>
    <row r="742" spans="1:7" x14ac:dyDescent="0.25">
      <c r="A742">
        <v>741</v>
      </c>
      <c r="B742" t="s">
        <v>1489</v>
      </c>
      <c r="C742" t="s">
        <v>8</v>
      </c>
      <c r="D742">
        <v>48</v>
      </c>
      <c r="E742" t="s">
        <v>9</v>
      </c>
      <c r="F742" s="1">
        <v>45498</v>
      </c>
      <c r="G742" t="s">
        <v>1490</v>
      </c>
    </row>
    <row r="743" spans="1:7" x14ac:dyDescent="0.25">
      <c r="A743">
        <v>742</v>
      </c>
      <c r="B743" t="s">
        <v>1491</v>
      </c>
      <c r="C743" t="s">
        <v>8</v>
      </c>
      <c r="D743">
        <v>19</v>
      </c>
      <c r="E743" t="s">
        <v>13</v>
      </c>
      <c r="F743" s="1">
        <v>44998</v>
      </c>
      <c r="G743" t="s">
        <v>1492</v>
      </c>
    </row>
    <row r="744" spans="1:7" x14ac:dyDescent="0.25">
      <c r="A744">
        <v>743</v>
      </c>
      <c r="B744" t="s">
        <v>1493</v>
      </c>
      <c r="C744" t="s">
        <v>12</v>
      </c>
      <c r="D744">
        <v>58</v>
      </c>
      <c r="E744" t="s">
        <v>13</v>
      </c>
      <c r="F744" s="1">
        <v>45165</v>
      </c>
      <c r="G744" t="s">
        <v>1494</v>
      </c>
    </row>
    <row r="745" spans="1:7" x14ac:dyDescent="0.25">
      <c r="A745">
        <v>744</v>
      </c>
      <c r="B745" t="s">
        <v>1495</v>
      </c>
      <c r="C745" t="s">
        <v>21</v>
      </c>
      <c r="D745">
        <v>27</v>
      </c>
      <c r="E745" t="s">
        <v>9</v>
      </c>
      <c r="F745" s="1">
        <v>44430</v>
      </c>
      <c r="G745" t="s">
        <v>1496</v>
      </c>
    </row>
    <row r="746" spans="1:7" x14ac:dyDescent="0.25">
      <c r="A746">
        <v>745</v>
      </c>
      <c r="B746" t="s">
        <v>1497</v>
      </c>
      <c r="C746" t="s">
        <v>8</v>
      </c>
      <c r="D746">
        <v>51</v>
      </c>
      <c r="E746" t="s">
        <v>9</v>
      </c>
      <c r="F746" s="1">
        <v>44503</v>
      </c>
      <c r="G746" t="s">
        <v>1498</v>
      </c>
    </row>
    <row r="747" spans="1:7" x14ac:dyDescent="0.25">
      <c r="A747">
        <v>746</v>
      </c>
      <c r="B747" t="s">
        <v>1499</v>
      </c>
      <c r="C747" t="s">
        <v>18</v>
      </c>
      <c r="D747">
        <v>45</v>
      </c>
      <c r="E747" t="s">
        <v>13</v>
      </c>
      <c r="F747" s="1">
        <v>44647</v>
      </c>
      <c r="G747" t="s">
        <v>1500</v>
      </c>
    </row>
    <row r="748" spans="1:7" x14ac:dyDescent="0.25">
      <c r="A748">
        <v>747</v>
      </c>
      <c r="B748" t="s">
        <v>1501</v>
      </c>
      <c r="C748" t="s">
        <v>8</v>
      </c>
      <c r="D748">
        <v>67</v>
      </c>
      <c r="E748" t="s">
        <v>9</v>
      </c>
      <c r="F748" s="1">
        <v>44878</v>
      </c>
      <c r="G748" t="s">
        <v>1502</v>
      </c>
    </row>
    <row r="749" spans="1:7" x14ac:dyDescent="0.25">
      <c r="A749">
        <v>748</v>
      </c>
      <c r="B749" t="s">
        <v>1503</v>
      </c>
      <c r="C749" t="s">
        <v>18</v>
      </c>
      <c r="D749">
        <v>37</v>
      </c>
      <c r="E749" t="s">
        <v>9</v>
      </c>
      <c r="F749" s="1">
        <v>44333</v>
      </c>
      <c r="G749" t="s">
        <v>1504</v>
      </c>
    </row>
    <row r="750" spans="1:7" x14ac:dyDescent="0.25">
      <c r="A750">
        <v>749</v>
      </c>
      <c r="B750" t="s">
        <v>1505</v>
      </c>
      <c r="C750" t="s">
        <v>18</v>
      </c>
      <c r="D750">
        <v>45</v>
      </c>
      <c r="E750" t="s">
        <v>13</v>
      </c>
      <c r="F750" s="1">
        <v>45070</v>
      </c>
      <c r="G750" t="s">
        <v>1506</v>
      </c>
    </row>
    <row r="751" spans="1:7" x14ac:dyDescent="0.25">
      <c r="A751">
        <v>750</v>
      </c>
      <c r="B751" t="s">
        <v>1507</v>
      </c>
      <c r="C751" t="s">
        <v>28</v>
      </c>
      <c r="D751">
        <v>60</v>
      </c>
      <c r="E751" t="s">
        <v>13</v>
      </c>
      <c r="F751" s="1">
        <v>44089</v>
      </c>
      <c r="G751" t="s">
        <v>1508</v>
      </c>
    </row>
    <row r="752" spans="1:7" x14ac:dyDescent="0.25">
      <c r="A752">
        <v>751</v>
      </c>
      <c r="B752" t="s">
        <v>1509</v>
      </c>
      <c r="C752" t="s">
        <v>28</v>
      </c>
      <c r="D752">
        <v>49</v>
      </c>
      <c r="E752" t="s">
        <v>9</v>
      </c>
      <c r="F752" s="1">
        <v>44693</v>
      </c>
      <c r="G752" t="s">
        <v>1510</v>
      </c>
    </row>
    <row r="753" spans="1:7" x14ac:dyDescent="0.25">
      <c r="A753">
        <v>752</v>
      </c>
      <c r="B753" t="s">
        <v>1511</v>
      </c>
      <c r="C753" t="s">
        <v>18</v>
      </c>
      <c r="D753">
        <v>45</v>
      </c>
      <c r="E753" t="s">
        <v>13</v>
      </c>
      <c r="F753" s="1">
        <v>44796</v>
      </c>
      <c r="G753" t="s">
        <v>1512</v>
      </c>
    </row>
    <row r="754" spans="1:7" x14ac:dyDescent="0.25">
      <c r="A754">
        <v>753</v>
      </c>
      <c r="B754" t="s">
        <v>1513</v>
      </c>
      <c r="C754" t="s">
        <v>8</v>
      </c>
      <c r="D754">
        <v>21</v>
      </c>
      <c r="E754" t="s">
        <v>13</v>
      </c>
      <c r="F754" s="1">
        <v>45454</v>
      </c>
      <c r="G754" t="s">
        <v>1514</v>
      </c>
    </row>
    <row r="755" spans="1:7" x14ac:dyDescent="0.25">
      <c r="A755">
        <v>754</v>
      </c>
      <c r="B755" t="s">
        <v>1515</v>
      </c>
      <c r="C755" t="s">
        <v>8</v>
      </c>
      <c r="D755">
        <v>63</v>
      </c>
      <c r="E755" t="s">
        <v>13</v>
      </c>
      <c r="F755" s="1">
        <v>44835</v>
      </c>
      <c r="G755" t="s">
        <v>1516</v>
      </c>
    </row>
    <row r="756" spans="1:7" x14ac:dyDescent="0.25">
      <c r="A756">
        <v>755</v>
      </c>
      <c r="B756" t="s">
        <v>1517</v>
      </c>
      <c r="C756" t="s">
        <v>18</v>
      </c>
      <c r="D756">
        <v>54</v>
      </c>
      <c r="E756" t="s">
        <v>13</v>
      </c>
      <c r="F756" s="1">
        <v>44125</v>
      </c>
      <c r="G756" t="s">
        <v>1518</v>
      </c>
    </row>
    <row r="757" spans="1:7" x14ac:dyDescent="0.25">
      <c r="A757">
        <v>756</v>
      </c>
      <c r="B757" t="s">
        <v>1519</v>
      </c>
      <c r="C757" t="s">
        <v>28</v>
      </c>
      <c r="D757">
        <v>50</v>
      </c>
      <c r="E757" t="s">
        <v>13</v>
      </c>
      <c r="F757" s="1">
        <v>44729</v>
      </c>
      <c r="G757" t="s">
        <v>1520</v>
      </c>
    </row>
    <row r="758" spans="1:7" x14ac:dyDescent="0.25">
      <c r="A758">
        <v>757</v>
      </c>
      <c r="B758" t="s">
        <v>1521</v>
      </c>
      <c r="C758" t="s">
        <v>28</v>
      </c>
      <c r="D758">
        <v>51</v>
      </c>
      <c r="E758" t="s">
        <v>13</v>
      </c>
      <c r="F758" s="1">
        <v>44167</v>
      </c>
      <c r="G758" t="s">
        <v>1522</v>
      </c>
    </row>
    <row r="759" spans="1:7" x14ac:dyDescent="0.25">
      <c r="A759">
        <v>758</v>
      </c>
      <c r="B759" t="s">
        <v>1523</v>
      </c>
      <c r="C759" t="s">
        <v>18</v>
      </c>
      <c r="D759">
        <v>25</v>
      </c>
      <c r="E759" t="s">
        <v>9</v>
      </c>
      <c r="F759" s="1">
        <v>45186</v>
      </c>
      <c r="G759" t="s">
        <v>1524</v>
      </c>
    </row>
    <row r="760" spans="1:7" x14ac:dyDescent="0.25">
      <c r="A760">
        <v>759</v>
      </c>
      <c r="B760" t="s">
        <v>1525</v>
      </c>
      <c r="C760" t="s">
        <v>18</v>
      </c>
      <c r="D760">
        <v>41</v>
      </c>
      <c r="E760" t="s">
        <v>13</v>
      </c>
      <c r="F760" s="1">
        <v>44953</v>
      </c>
      <c r="G760" t="s">
        <v>1526</v>
      </c>
    </row>
    <row r="761" spans="1:7" x14ac:dyDescent="0.25">
      <c r="A761">
        <v>760</v>
      </c>
      <c r="B761" t="s">
        <v>1527</v>
      </c>
      <c r="C761" t="s">
        <v>12</v>
      </c>
      <c r="D761">
        <v>43</v>
      </c>
      <c r="E761" t="s">
        <v>9</v>
      </c>
      <c r="F761" s="1">
        <v>44891</v>
      </c>
      <c r="G761" t="s">
        <v>1528</v>
      </c>
    </row>
    <row r="762" spans="1:7" x14ac:dyDescent="0.25">
      <c r="A762">
        <v>761</v>
      </c>
      <c r="B762" t="s">
        <v>1529</v>
      </c>
      <c r="C762" t="s">
        <v>12</v>
      </c>
      <c r="D762">
        <v>34</v>
      </c>
      <c r="E762" t="s">
        <v>13</v>
      </c>
      <c r="F762" s="1">
        <v>45396</v>
      </c>
      <c r="G762" t="s">
        <v>1530</v>
      </c>
    </row>
    <row r="763" spans="1:7" x14ac:dyDescent="0.25">
      <c r="A763">
        <v>762</v>
      </c>
      <c r="B763" t="s">
        <v>1531</v>
      </c>
      <c r="C763" t="s">
        <v>8</v>
      </c>
      <c r="D763">
        <v>28</v>
      </c>
      <c r="E763" t="s">
        <v>13</v>
      </c>
      <c r="F763" s="1">
        <v>43987</v>
      </c>
      <c r="G763" t="s">
        <v>1532</v>
      </c>
    </row>
    <row r="764" spans="1:7" x14ac:dyDescent="0.25">
      <c r="A764">
        <v>763</v>
      </c>
      <c r="B764" t="s">
        <v>1533</v>
      </c>
      <c r="C764" t="s">
        <v>18</v>
      </c>
      <c r="D764">
        <v>45</v>
      </c>
      <c r="E764" t="s">
        <v>9</v>
      </c>
      <c r="F764" s="1">
        <v>45201</v>
      </c>
      <c r="G764" t="s">
        <v>1534</v>
      </c>
    </row>
    <row r="765" spans="1:7" x14ac:dyDescent="0.25">
      <c r="A765">
        <v>764</v>
      </c>
      <c r="B765" t="s">
        <v>596</v>
      </c>
      <c r="C765" t="s">
        <v>12</v>
      </c>
      <c r="D765">
        <v>62</v>
      </c>
      <c r="E765" t="s">
        <v>13</v>
      </c>
      <c r="F765" s="1">
        <v>45577</v>
      </c>
      <c r="G765" t="s">
        <v>1535</v>
      </c>
    </row>
    <row r="766" spans="1:7" x14ac:dyDescent="0.25">
      <c r="A766">
        <v>765</v>
      </c>
      <c r="B766" t="s">
        <v>1536</v>
      </c>
      <c r="C766" t="s">
        <v>18</v>
      </c>
      <c r="D766">
        <v>53</v>
      </c>
      <c r="E766" t="s">
        <v>9</v>
      </c>
      <c r="F766" s="1">
        <v>44962</v>
      </c>
      <c r="G766" t="s">
        <v>1537</v>
      </c>
    </row>
    <row r="767" spans="1:7" x14ac:dyDescent="0.25">
      <c r="A767">
        <v>766</v>
      </c>
      <c r="B767" t="s">
        <v>1538</v>
      </c>
      <c r="C767" t="s">
        <v>21</v>
      </c>
      <c r="D767">
        <v>29</v>
      </c>
      <c r="E767" t="s">
        <v>9</v>
      </c>
      <c r="F767" s="1">
        <v>44832</v>
      </c>
      <c r="G767" t="s">
        <v>1539</v>
      </c>
    </row>
    <row r="768" spans="1:7" x14ac:dyDescent="0.25">
      <c r="A768">
        <v>767</v>
      </c>
      <c r="B768" t="s">
        <v>1540</v>
      </c>
      <c r="C768" t="s">
        <v>8</v>
      </c>
      <c r="D768">
        <v>51</v>
      </c>
      <c r="E768" t="s">
        <v>9</v>
      </c>
      <c r="F768" s="1">
        <v>44824</v>
      </c>
      <c r="G768" t="s">
        <v>1541</v>
      </c>
    </row>
    <row r="769" spans="1:7" x14ac:dyDescent="0.25">
      <c r="A769">
        <v>768</v>
      </c>
      <c r="B769" t="s">
        <v>1542</v>
      </c>
      <c r="C769" t="s">
        <v>8</v>
      </c>
      <c r="D769">
        <v>26</v>
      </c>
      <c r="E769" t="s">
        <v>9</v>
      </c>
      <c r="F769" s="1">
        <v>44829</v>
      </c>
      <c r="G769" t="s">
        <v>1543</v>
      </c>
    </row>
    <row r="770" spans="1:7" x14ac:dyDescent="0.25">
      <c r="A770">
        <v>769</v>
      </c>
      <c r="B770" t="s">
        <v>1544</v>
      </c>
      <c r="C770" t="s">
        <v>8</v>
      </c>
      <c r="D770">
        <v>25</v>
      </c>
      <c r="E770" t="s">
        <v>13</v>
      </c>
      <c r="F770" s="1">
        <v>44916</v>
      </c>
      <c r="G770" t="s">
        <v>1545</v>
      </c>
    </row>
    <row r="771" spans="1:7" x14ac:dyDescent="0.25">
      <c r="A771">
        <v>770</v>
      </c>
      <c r="B771" t="s">
        <v>1546</v>
      </c>
      <c r="C771" t="s">
        <v>28</v>
      </c>
      <c r="D771">
        <v>50</v>
      </c>
      <c r="E771" t="s">
        <v>13</v>
      </c>
      <c r="F771" s="1">
        <v>44331</v>
      </c>
      <c r="G771" t="s">
        <v>1547</v>
      </c>
    </row>
    <row r="772" spans="1:7" x14ac:dyDescent="0.25">
      <c r="A772">
        <v>771</v>
      </c>
      <c r="B772" t="s">
        <v>1548</v>
      </c>
      <c r="C772" t="s">
        <v>18</v>
      </c>
      <c r="D772">
        <v>50</v>
      </c>
      <c r="E772" t="s">
        <v>13</v>
      </c>
      <c r="F772" s="1">
        <v>44394</v>
      </c>
      <c r="G772" t="s">
        <v>1549</v>
      </c>
    </row>
    <row r="773" spans="1:7" x14ac:dyDescent="0.25">
      <c r="A773">
        <v>772</v>
      </c>
      <c r="B773" t="s">
        <v>1550</v>
      </c>
      <c r="C773" t="s">
        <v>8</v>
      </c>
      <c r="D773">
        <v>65</v>
      </c>
      <c r="E773" t="s">
        <v>13</v>
      </c>
      <c r="F773" s="1">
        <v>44627</v>
      </c>
      <c r="G773" t="s">
        <v>1551</v>
      </c>
    </row>
    <row r="774" spans="1:7" x14ac:dyDescent="0.25">
      <c r="A774">
        <v>773</v>
      </c>
      <c r="B774" t="s">
        <v>1552</v>
      </c>
      <c r="C774" t="s">
        <v>18</v>
      </c>
      <c r="D774">
        <v>57</v>
      </c>
      <c r="E774" t="s">
        <v>9</v>
      </c>
      <c r="F774" s="1">
        <v>44225</v>
      </c>
      <c r="G774" t="s">
        <v>1553</v>
      </c>
    </row>
    <row r="775" spans="1:7" x14ac:dyDescent="0.25">
      <c r="A775">
        <v>774</v>
      </c>
      <c r="B775" t="s">
        <v>1554</v>
      </c>
      <c r="C775" t="s">
        <v>21</v>
      </c>
      <c r="D775">
        <v>25</v>
      </c>
      <c r="E775" t="s">
        <v>13</v>
      </c>
      <c r="F775" s="1">
        <v>43945</v>
      </c>
      <c r="G775" t="s">
        <v>1555</v>
      </c>
    </row>
    <row r="776" spans="1:7" x14ac:dyDescent="0.25">
      <c r="A776">
        <v>775</v>
      </c>
      <c r="B776" t="s">
        <v>1556</v>
      </c>
      <c r="C776" t="s">
        <v>28</v>
      </c>
      <c r="D776">
        <v>58</v>
      </c>
      <c r="E776" t="s">
        <v>13</v>
      </c>
      <c r="F776" s="1">
        <v>45503</v>
      </c>
      <c r="G776" t="s">
        <v>1557</v>
      </c>
    </row>
    <row r="777" spans="1:7" x14ac:dyDescent="0.25">
      <c r="A777">
        <v>776</v>
      </c>
      <c r="B777" t="s">
        <v>1558</v>
      </c>
      <c r="C777" t="s">
        <v>12</v>
      </c>
      <c r="D777">
        <v>55</v>
      </c>
      <c r="E777" t="s">
        <v>13</v>
      </c>
      <c r="F777" s="1">
        <v>45559</v>
      </c>
      <c r="G777" t="s">
        <v>1559</v>
      </c>
    </row>
    <row r="778" spans="1:7" x14ac:dyDescent="0.25">
      <c r="A778">
        <v>777</v>
      </c>
      <c r="B778" t="s">
        <v>1560</v>
      </c>
      <c r="C778" t="s">
        <v>18</v>
      </c>
      <c r="D778">
        <v>39</v>
      </c>
      <c r="E778" t="s">
        <v>9</v>
      </c>
      <c r="F778" s="1">
        <v>45168</v>
      </c>
      <c r="G778" t="s">
        <v>1561</v>
      </c>
    </row>
    <row r="779" spans="1:7" x14ac:dyDescent="0.25">
      <c r="A779">
        <v>778</v>
      </c>
      <c r="B779" t="s">
        <v>1562</v>
      </c>
      <c r="C779" t="s">
        <v>18</v>
      </c>
      <c r="D779">
        <v>56</v>
      </c>
      <c r="E779" t="s">
        <v>9</v>
      </c>
      <c r="F779" s="1">
        <v>44720</v>
      </c>
      <c r="G779" t="s">
        <v>1563</v>
      </c>
    </row>
    <row r="780" spans="1:7" x14ac:dyDescent="0.25">
      <c r="A780">
        <v>779</v>
      </c>
      <c r="B780" t="s">
        <v>1564</v>
      </c>
      <c r="C780" t="s">
        <v>12</v>
      </c>
      <c r="D780">
        <v>68</v>
      </c>
      <c r="E780" t="s">
        <v>13</v>
      </c>
      <c r="F780" s="1">
        <v>44640</v>
      </c>
      <c r="G780" t="s">
        <v>1565</v>
      </c>
    </row>
    <row r="781" spans="1:7" x14ac:dyDescent="0.25">
      <c r="A781">
        <v>780</v>
      </c>
      <c r="B781" t="s">
        <v>1566</v>
      </c>
      <c r="C781" t="s">
        <v>18</v>
      </c>
      <c r="D781">
        <v>26</v>
      </c>
      <c r="E781" t="s">
        <v>13</v>
      </c>
      <c r="F781" s="1">
        <v>45277</v>
      </c>
      <c r="G781" t="s">
        <v>1567</v>
      </c>
    </row>
    <row r="782" spans="1:7" x14ac:dyDescent="0.25">
      <c r="A782">
        <v>781</v>
      </c>
      <c r="B782" t="s">
        <v>1568</v>
      </c>
      <c r="C782" t="s">
        <v>8</v>
      </c>
      <c r="D782">
        <v>20</v>
      </c>
      <c r="E782" t="s">
        <v>13</v>
      </c>
      <c r="F782" s="1">
        <v>44931</v>
      </c>
      <c r="G782" t="s">
        <v>1569</v>
      </c>
    </row>
    <row r="783" spans="1:7" x14ac:dyDescent="0.25">
      <c r="A783">
        <v>782</v>
      </c>
      <c r="B783" t="s">
        <v>1570</v>
      </c>
      <c r="C783" t="s">
        <v>8</v>
      </c>
      <c r="D783">
        <v>18</v>
      </c>
      <c r="E783" t="s">
        <v>13</v>
      </c>
      <c r="F783" s="1">
        <v>45115</v>
      </c>
      <c r="G783" t="s">
        <v>1571</v>
      </c>
    </row>
    <row r="784" spans="1:7" x14ac:dyDescent="0.25">
      <c r="A784">
        <v>783</v>
      </c>
      <c r="B784" t="s">
        <v>1572</v>
      </c>
      <c r="C784" t="s">
        <v>28</v>
      </c>
      <c r="D784">
        <v>49</v>
      </c>
      <c r="E784" t="s">
        <v>9</v>
      </c>
      <c r="F784" s="1">
        <v>44536</v>
      </c>
      <c r="G784" t="s">
        <v>1573</v>
      </c>
    </row>
    <row r="785" spans="1:7" x14ac:dyDescent="0.25">
      <c r="A785">
        <v>784</v>
      </c>
      <c r="B785" t="s">
        <v>1574</v>
      </c>
      <c r="C785" t="s">
        <v>18</v>
      </c>
      <c r="D785">
        <v>26</v>
      </c>
      <c r="E785" t="s">
        <v>13</v>
      </c>
      <c r="F785" s="1">
        <v>44795</v>
      </c>
      <c r="G785" t="s">
        <v>1575</v>
      </c>
    </row>
    <row r="786" spans="1:7" x14ac:dyDescent="0.25">
      <c r="A786">
        <v>785</v>
      </c>
      <c r="B786" t="s">
        <v>1576</v>
      </c>
      <c r="C786" t="s">
        <v>8</v>
      </c>
      <c r="D786">
        <v>21</v>
      </c>
      <c r="E786" t="s">
        <v>13</v>
      </c>
      <c r="F786" s="1">
        <v>44230</v>
      </c>
      <c r="G786" t="s">
        <v>1577</v>
      </c>
    </row>
    <row r="787" spans="1:7" x14ac:dyDescent="0.25">
      <c r="A787">
        <v>786</v>
      </c>
      <c r="B787" t="s">
        <v>1578</v>
      </c>
      <c r="C787" t="s">
        <v>21</v>
      </c>
      <c r="D787">
        <v>65</v>
      </c>
      <c r="E787" t="s">
        <v>9</v>
      </c>
      <c r="F787" s="1">
        <v>43914</v>
      </c>
      <c r="G787" t="s">
        <v>1579</v>
      </c>
    </row>
    <row r="788" spans="1:7" x14ac:dyDescent="0.25">
      <c r="A788">
        <v>787</v>
      </c>
      <c r="B788" t="s">
        <v>1580</v>
      </c>
      <c r="C788" t="s">
        <v>28</v>
      </c>
      <c r="D788">
        <v>46</v>
      </c>
      <c r="E788" t="s">
        <v>9</v>
      </c>
      <c r="F788" s="1">
        <v>44388</v>
      </c>
      <c r="G788" t="s">
        <v>1581</v>
      </c>
    </row>
    <row r="789" spans="1:7" x14ac:dyDescent="0.25">
      <c r="A789">
        <v>788</v>
      </c>
      <c r="B789" t="s">
        <v>1582</v>
      </c>
      <c r="C789" t="s">
        <v>21</v>
      </c>
      <c r="D789">
        <v>62</v>
      </c>
      <c r="E789" t="s">
        <v>13</v>
      </c>
      <c r="F789" s="1">
        <v>44114</v>
      </c>
      <c r="G789" t="s">
        <v>1583</v>
      </c>
    </row>
    <row r="790" spans="1:7" x14ac:dyDescent="0.25">
      <c r="A790">
        <v>789</v>
      </c>
      <c r="B790" t="s">
        <v>1584</v>
      </c>
      <c r="C790" t="s">
        <v>18</v>
      </c>
      <c r="D790">
        <v>36</v>
      </c>
      <c r="E790" t="s">
        <v>13</v>
      </c>
      <c r="F790" s="1">
        <v>44515</v>
      </c>
      <c r="G790" t="s">
        <v>1585</v>
      </c>
    </row>
    <row r="791" spans="1:7" x14ac:dyDescent="0.25">
      <c r="A791">
        <v>790</v>
      </c>
      <c r="B791" t="s">
        <v>1586</v>
      </c>
      <c r="C791" t="s">
        <v>28</v>
      </c>
      <c r="D791">
        <v>19</v>
      </c>
      <c r="E791" t="s">
        <v>13</v>
      </c>
      <c r="F791" s="1">
        <v>45084</v>
      </c>
      <c r="G791" t="s">
        <v>1587</v>
      </c>
    </row>
    <row r="792" spans="1:7" x14ac:dyDescent="0.25">
      <c r="A792">
        <v>791</v>
      </c>
      <c r="B792" t="s">
        <v>1588</v>
      </c>
      <c r="C792" t="s">
        <v>21</v>
      </c>
      <c r="D792">
        <v>23</v>
      </c>
      <c r="E792" t="s">
        <v>9</v>
      </c>
      <c r="F792" s="1">
        <v>44521</v>
      </c>
      <c r="G792" t="s">
        <v>1589</v>
      </c>
    </row>
    <row r="793" spans="1:7" x14ac:dyDescent="0.25">
      <c r="A793">
        <v>792</v>
      </c>
      <c r="B793" t="s">
        <v>1590</v>
      </c>
      <c r="C793" t="s">
        <v>12</v>
      </c>
      <c r="D793">
        <v>29</v>
      </c>
      <c r="E793" t="s">
        <v>9</v>
      </c>
      <c r="F793" s="1">
        <v>45421</v>
      </c>
      <c r="G793" t="s">
        <v>1591</v>
      </c>
    </row>
    <row r="794" spans="1:7" x14ac:dyDescent="0.25">
      <c r="A794">
        <v>793</v>
      </c>
      <c r="B794" t="s">
        <v>1592</v>
      </c>
      <c r="C794" t="s">
        <v>18</v>
      </c>
      <c r="D794">
        <v>25</v>
      </c>
      <c r="E794" t="s">
        <v>13</v>
      </c>
      <c r="F794" s="1">
        <v>44792</v>
      </c>
      <c r="G794" t="s">
        <v>1593</v>
      </c>
    </row>
    <row r="795" spans="1:7" x14ac:dyDescent="0.25">
      <c r="A795">
        <v>794</v>
      </c>
      <c r="B795" t="s">
        <v>1594</v>
      </c>
      <c r="C795" t="s">
        <v>8</v>
      </c>
      <c r="D795">
        <v>65</v>
      </c>
      <c r="E795" t="s">
        <v>9</v>
      </c>
      <c r="F795" s="1">
        <v>44335</v>
      </c>
      <c r="G795" t="s">
        <v>1595</v>
      </c>
    </row>
    <row r="796" spans="1:7" x14ac:dyDescent="0.25">
      <c r="A796">
        <v>795</v>
      </c>
      <c r="B796" t="s">
        <v>1596</v>
      </c>
      <c r="C796" t="s">
        <v>28</v>
      </c>
      <c r="D796">
        <v>20</v>
      </c>
      <c r="E796" t="s">
        <v>13</v>
      </c>
      <c r="F796" s="1">
        <v>44052</v>
      </c>
      <c r="G796" t="s">
        <v>1597</v>
      </c>
    </row>
    <row r="797" spans="1:7" x14ac:dyDescent="0.25">
      <c r="A797">
        <v>796</v>
      </c>
      <c r="B797" t="s">
        <v>1598</v>
      </c>
      <c r="C797" t="s">
        <v>28</v>
      </c>
      <c r="D797">
        <v>44</v>
      </c>
      <c r="E797" t="s">
        <v>13</v>
      </c>
      <c r="F797" s="1">
        <v>44289</v>
      </c>
      <c r="G797" t="s">
        <v>1599</v>
      </c>
    </row>
    <row r="798" spans="1:7" x14ac:dyDescent="0.25">
      <c r="A798">
        <v>797</v>
      </c>
      <c r="B798" t="s">
        <v>1600</v>
      </c>
      <c r="C798" t="s">
        <v>18</v>
      </c>
      <c r="D798">
        <v>26</v>
      </c>
      <c r="E798" t="s">
        <v>13</v>
      </c>
      <c r="F798" s="1">
        <v>44491</v>
      </c>
      <c r="G798" t="s">
        <v>1601</v>
      </c>
    </row>
    <row r="799" spans="1:7" x14ac:dyDescent="0.25">
      <c r="A799">
        <v>798</v>
      </c>
      <c r="B799" t="s">
        <v>1602</v>
      </c>
      <c r="C799" t="s">
        <v>21</v>
      </c>
      <c r="D799">
        <v>21</v>
      </c>
      <c r="E799" t="s">
        <v>13</v>
      </c>
      <c r="F799" s="1">
        <v>44519</v>
      </c>
      <c r="G799" t="s">
        <v>1603</v>
      </c>
    </row>
    <row r="800" spans="1:7" x14ac:dyDescent="0.25">
      <c r="A800">
        <v>799</v>
      </c>
      <c r="B800" t="s">
        <v>1604</v>
      </c>
      <c r="C800" t="s">
        <v>21</v>
      </c>
      <c r="D800">
        <v>66</v>
      </c>
      <c r="E800" t="s">
        <v>9</v>
      </c>
      <c r="F800" s="1">
        <v>44452</v>
      </c>
      <c r="G800" t="s">
        <v>1605</v>
      </c>
    </row>
    <row r="801" spans="1:7" x14ac:dyDescent="0.25">
      <c r="A801">
        <v>800</v>
      </c>
      <c r="B801" t="s">
        <v>1606</v>
      </c>
      <c r="C801" t="s">
        <v>21</v>
      </c>
      <c r="D801">
        <v>27</v>
      </c>
      <c r="E801" t="s">
        <v>9</v>
      </c>
      <c r="F801" s="1">
        <v>44046</v>
      </c>
      <c r="G801" t="s">
        <v>1607</v>
      </c>
    </row>
    <row r="802" spans="1:7" x14ac:dyDescent="0.25">
      <c r="A802">
        <v>801</v>
      </c>
      <c r="B802" t="s">
        <v>1608</v>
      </c>
      <c r="C802" t="s">
        <v>18</v>
      </c>
      <c r="D802">
        <v>42</v>
      </c>
      <c r="E802" t="s">
        <v>9</v>
      </c>
      <c r="F802" s="1">
        <v>45551</v>
      </c>
      <c r="G802" t="s">
        <v>1609</v>
      </c>
    </row>
    <row r="803" spans="1:7" x14ac:dyDescent="0.25">
      <c r="A803">
        <v>802</v>
      </c>
      <c r="B803" t="s">
        <v>1610</v>
      </c>
      <c r="C803" t="s">
        <v>18</v>
      </c>
      <c r="D803">
        <v>35</v>
      </c>
      <c r="E803" t="s">
        <v>13</v>
      </c>
      <c r="F803" s="1">
        <v>45089</v>
      </c>
      <c r="G803" t="s">
        <v>1611</v>
      </c>
    </row>
    <row r="804" spans="1:7" x14ac:dyDescent="0.25">
      <c r="A804">
        <v>803</v>
      </c>
      <c r="B804" t="s">
        <v>1612</v>
      </c>
      <c r="C804" t="s">
        <v>18</v>
      </c>
      <c r="D804">
        <v>62</v>
      </c>
      <c r="E804" t="s">
        <v>9</v>
      </c>
      <c r="F804" s="1">
        <v>45076</v>
      </c>
      <c r="G804" t="s">
        <v>1613</v>
      </c>
    </row>
    <row r="805" spans="1:7" x14ac:dyDescent="0.25">
      <c r="A805">
        <v>804</v>
      </c>
      <c r="B805" t="s">
        <v>1614</v>
      </c>
      <c r="C805" t="s">
        <v>12</v>
      </c>
      <c r="D805">
        <v>56</v>
      </c>
      <c r="E805" t="s">
        <v>9</v>
      </c>
      <c r="F805" s="1">
        <v>44768</v>
      </c>
      <c r="G805" t="s">
        <v>1615</v>
      </c>
    </row>
    <row r="806" spans="1:7" x14ac:dyDescent="0.25">
      <c r="A806">
        <v>805</v>
      </c>
      <c r="B806" t="s">
        <v>1616</v>
      </c>
      <c r="C806" t="s">
        <v>18</v>
      </c>
      <c r="D806">
        <v>60</v>
      </c>
      <c r="E806" t="s">
        <v>9</v>
      </c>
      <c r="F806" s="1">
        <v>45344</v>
      </c>
      <c r="G806" t="s">
        <v>1617</v>
      </c>
    </row>
    <row r="807" spans="1:7" x14ac:dyDescent="0.25">
      <c r="A807">
        <v>806</v>
      </c>
      <c r="B807" t="s">
        <v>1618</v>
      </c>
      <c r="C807" t="s">
        <v>12</v>
      </c>
      <c r="D807">
        <v>55</v>
      </c>
      <c r="E807" t="s">
        <v>13</v>
      </c>
      <c r="F807" s="1">
        <v>44059</v>
      </c>
      <c r="G807" t="s">
        <v>1619</v>
      </c>
    </row>
    <row r="808" spans="1:7" x14ac:dyDescent="0.25">
      <c r="A808">
        <v>807</v>
      </c>
      <c r="B808" t="s">
        <v>1620</v>
      </c>
      <c r="C808" t="s">
        <v>12</v>
      </c>
      <c r="D808">
        <v>32</v>
      </c>
      <c r="E808" t="s">
        <v>9</v>
      </c>
      <c r="F808" s="1">
        <v>44910</v>
      </c>
      <c r="G808" t="s">
        <v>1621</v>
      </c>
    </row>
    <row r="809" spans="1:7" x14ac:dyDescent="0.25">
      <c r="A809">
        <v>808</v>
      </c>
      <c r="B809" t="s">
        <v>1622</v>
      </c>
      <c r="C809" t="s">
        <v>12</v>
      </c>
      <c r="D809">
        <v>27</v>
      </c>
      <c r="E809" t="s">
        <v>9</v>
      </c>
      <c r="F809" s="1">
        <v>45462</v>
      </c>
      <c r="G809" t="s">
        <v>1623</v>
      </c>
    </row>
    <row r="810" spans="1:7" x14ac:dyDescent="0.25">
      <c r="A810">
        <v>809</v>
      </c>
      <c r="B810" t="s">
        <v>1624</v>
      </c>
      <c r="C810" t="s">
        <v>12</v>
      </c>
      <c r="D810">
        <v>64</v>
      </c>
      <c r="E810" t="s">
        <v>13</v>
      </c>
      <c r="F810" s="1">
        <v>44586</v>
      </c>
      <c r="G810" t="s">
        <v>1625</v>
      </c>
    </row>
    <row r="811" spans="1:7" x14ac:dyDescent="0.25">
      <c r="A811">
        <v>810</v>
      </c>
      <c r="B811" t="s">
        <v>1626</v>
      </c>
      <c r="C811" t="s">
        <v>12</v>
      </c>
      <c r="D811">
        <v>23</v>
      </c>
      <c r="E811" t="s">
        <v>13</v>
      </c>
      <c r="F811" s="1">
        <v>44130</v>
      </c>
      <c r="G811" t="s">
        <v>1627</v>
      </c>
    </row>
    <row r="812" spans="1:7" x14ac:dyDescent="0.25">
      <c r="A812">
        <v>811</v>
      </c>
      <c r="B812" t="s">
        <v>1628</v>
      </c>
      <c r="C812" t="s">
        <v>18</v>
      </c>
      <c r="D812">
        <v>37</v>
      </c>
      <c r="E812" t="s">
        <v>13</v>
      </c>
      <c r="F812" s="1">
        <v>44308</v>
      </c>
      <c r="G812" t="s">
        <v>1629</v>
      </c>
    </row>
    <row r="813" spans="1:7" x14ac:dyDescent="0.25">
      <c r="A813">
        <v>812</v>
      </c>
      <c r="B813" t="s">
        <v>1630</v>
      </c>
      <c r="C813" t="s">
        <v>12</v>
      </c>
      <c r="D813">
        <v>26</v>
      </c>
      <c r="E813" t="s">
        <v>9</v>
      </c>
      <c r="F813" s="1">
        <v>44979</v>
      </c>
      <c r="G813" t="s">
        <v>1631</v>
      </c>
    </row>
    <row r="814" spans="1:7" x14ac:dyDescent="0.25">
      <c r="A814">
        <v>813</v>
      </c>
      <c r="B814" t="s">
        <v>1632</v>
      </c>
      <c r="C814" t="s">
        <v>8</v>
      </c>
      <c r="D814">
        <v>67</v>
      </c>
      <c r="E814" t="s">
        <v>13</v>
      </c>
      <c r="F814" s="1">
        <v>45304</v>
      </c>
      <c r="G814" t="s">
        <v>1633</v>
      </c>
    </row>
    <row r="815" spans="1:7" x14ac:dyDescent="0.25">
      <c r="A815">
        <v>814</v>
      </c>
      <c r="B815" t="s">
        <v>1634</v>
      </c>
      <c r="C815" t="s">
        <v>12</v>
      </c>
      <c r="D815">
        <v>23</v>
      </c>
      <c r="E815" t="s">
        <v>13</v>
      </c>
      <c r="F815" s="1">
        <v>44314</v>
      </c>
      <c r="G815" t="s">
        <v>1635</v>
      </c>
    </row>
    <row r="816" spans="1:7" x14ac:dyDescent="0.25">
      <c r="A816">
        <v>815</v>
      </c>
      <c r="B816" t="s">
        <v>1636</v>
      </c>
      <c r="C816" t="s">
        <v>21</v>
      </c>
      <c r="D816">
        <v>18</v>
      </c>
      <c r="E816" t="s">
        <v>9</v>
      </c>
      <c r="F816" s="1">
        <v>44724</v>
      </c>
      <c r="G816" t="s">
        <v>1637</v>
      </c>
    </row>
    <row r="817" spans="1:7" x14ac:dyDescent="0.25">
      <c r="A817">
        <v>816</v>
      </c>
      <c r="B817" t="s">
        <v>1638</v>
      </c>
      <c r="C817" t="s">
        <v>21</v>
      </c>
      <c r="D817">
        <v>36</v>
      </c>
      <c r="E817" t="s">
        <v>13</v>
      </c>
      <c r="F817" s="1">
        <v>44316</v>
      </c>
      <c r="G817" t="s">
        <v>1639</v>
      </c>
    </row>
    <row r="818" spans="1:7" x14ac:dyDescent="0.25">
      <c r="A818">
        <v>817</v>
      </c>
      <c r="B818" t="s">
        <v>1640</v>
      </c>
      <c r="C818" t="s">
        <v>18</v>
      </c>
      <c r="D818">
        <v>21</v>
      </c>
      <c r="E818" t="s">
        <v>13</v>
      </c>
      <c r="F818" s="1">
        <v>44346</v>
      </c>
      <c r="G818" t="s">
        <v>1641</v>
      </c>
    </row>
    <row r="819" spans="1:7" x14ac:dyDescent="0.25">
      <c r="A819">
        <v>818</v>
      </c>
      <c r="B819" t="s">
        <v>1642</v>
      </c>
      <c r="C819" t="s">
        <v>21</v>
      </c>
      <c r="D819">
        <v>68</v>
      </c>
      <c r="E819" t="s">
        <v>9</v>
      </c>
      <c r="F819" s="1">
        <v>45283</v>
      </c>
      <c r="G819" t="s">
        <v>1643</v>
      </c>
    </row>
    <row r="820" spans="1:7" x14ac:dyDescent="0.25">
      <c r="A820">
        <v>819</v>
      </c>
      <c r="B820" t="s">
        <v>1644</v>
      </c>
      <c r="C820" t="s">
        <v>28</v>
      </c>
      <c r="D820">
        <v>62</v>
      </c>
      <c r="E820" t="s">
        <v>13</v>
      </c>
      <c r="F820" s="1">
        <v>45552</v>
      </c>
      <c r="G820" t="s">
        <v>1645</v>
      </c>
    </row>
    <row r="821" spans="1:7" x14ac:dyDescent="0.25">
      <c r="A821">
        <v>820</v>
      </c>
      <c r="B821" t="s">
        <v>1646</v>
      </c>
      <c r="C821" t="s">
        <v>18</v>
      </c>
      <c r="D821">
        <v>38</v>
      </c>
      <c r="E821" t="s">
        <v>9</v>
      </c>
      <c r="F821" s="1">
        <v>45285</v>
      </c>
      <c r="G821" t="s">
        <v>1647</v>
      </c>
    </row>
    <row r="822" spans="1:7" x14ac:dyDescent="0.25">
      <c r="A822">
        <v>821</v>
      </c>
      <c r="B822" t="s">
        <v>1648</v>
      </c>
      <c r="C822" t="s">
        <v>18</v>
      </c>
      <c r="D822">
        <v>59</v>
      </c>
      <c r="E822" t="s">
        <v>9</v>
      </c>
      <c r="F822" s="1">
        <v>44558</v>
      </c>
      <c r="G822" t="s">
        <v>1649</v>
      </c>
    </row>
    <row r="823" spans="1:7" x14ac:dyDescent="0.25">
      <c r="A823">
        <v>822</v>
      </c>
      <c r="B823" t="s">
        <v>1650</v>
      </c>
      <c r="C823" t="s">
        <v>28</v>
      </c>
      <c r="D823">
        <v>33</v>
      </c>
      <c r="E823" t="s">
        <v>13</v>
      </c>
      <c r="F823" s="1">
        <v>44707</v>
      </c>
      <c r="G823" t="s">
        <v>1651</v>
      </c>
    </row>
    <row r="824" spans="1:7" x14ac:dyDescent="0.25">
      <c r="A824">
        <v>823</v>
      </c>
      <c r="B824" t="s">
        <v>1652</v>
      </c>
      <c r="C824" t="s">
        <v>12</v>
      </c>
      <c r="D824">
        <v>28</v>
      </c>
      <c r="E824" t="s">
        <v>9</v>
      </c>
      <c r="F824" s="1">
        <v>45562</v>
      </c>
      <c r="G824" t="s">
        <v>1653</v>
      </c>
    </row>
    <row r="825" spans="1:7" x14ac:dyDescent="0.25">
      <c r="A825">
        <v>824</v>
      </c>
      <c r="B825" t="s">
        <v>1654</v>
      </c>
      <c r="C825" t="s">
        <v>8</v>
      </c>
      <c r="D825">
        <v>36</v>
      </c>
      <c r="E825" t="s">
        <v>9</v>
      </c>
      <c r="F825" s="1">
        <v>44696</v>
      </c>
      <c r="G825" t="s">
        <v>1655</v>
      </c>
    </row>
    <row r="826" spans="1:7" x14ac:dyDescent="0.25">
      <c r="A826">
        <v>825</v>
      </c>
      <c r="B826" t="s">
        <v>1656</v>
      </c>
      <c r="C826" t="s">
        <v>8</v>
      </c>
      <c r="D826">
        <v>66</v>
      </c>
      <c r="E826" t="s">
        <v>13</v>
      </c>
      <c r="F826" s="1">
        <v>45343</v>
      </c>
      <c r="G826" t="s">
        <v>1657</v>
      </c>
    </row>
    <row r="827" spans="1:7" x14ac:dyDescent="0.25">
      <c r="A827">
        <v>826</v>
      </c>
      <c r="B827" t="s">
        <v>1658</v>
      </c>
      <c r="C827" t="s">
        <v>18</v>
      </c>
      <c r="D827">
        <v>21</v>
      </c>
      <c r="E827" t="s">
        <v>9</v>
      </c>
      <c r="F827" s="1">
        <v>44997</v>
      </c>
      <c r="G827" t="s">
        <v>1659</v>
      </c>
    </row>
    <row r="828" spans="1:7" x14ac:dyDescent="0.25">
      <c r="A828">
        <v>827</v>
      </c>
      <c r="B828" t="s">
        <v>1660</v>
      </c>
      <c r="C828" t="s">
        <v>21</v>
      </c>
      <c r="D828">
        <v>19</v>
      </c>
      <c r="E828" t="s">
        <v>9</v>
      </c>
      <c r="F828" s="1">
        <v>44060</v>
      </c>
      <c r="G828" t="s">
        <v>1661</v>
      </c>
    </row>
    <row r="829" spans="1:7" x14ac:dyDescent="0.25">
      <c r="A829">
        <v>828</v>
      </c>
      <c r="B829" t="s">
        <v>1662</v>
      </c>
      <c r="C829" t="s">
        <v>21</v>
      </c>
      <c r="D829">
        <v>44</v>
      </c>
      <c r="E829" t="s">
        <v>13</v>
      </c>
      <c r="F829" s="1">
        <v>44352</v>
      </c>
      <c r="G829" t="s">
        <v>1663</v>
      </c>
    </row>
    <row r="830" spans="1:7" x14ac:dyDescent="0.25">
      <c r="A830">
        <v>829</v>
      </c>
      <c r="B830" t="s">
        <v>1664</v>
      </c>
      <c r="C830" t="s">
        <v>8</v>
      </c>
      <c r="D830">
        <v>43</v>
      </c>
      <c r="E830" t="s">
        <v>9</v>
      </c>
      <c r="F830" s="1">
        <v>43926</v>
      </c>
      <c r="G830" t="s">
        <v>1665</v>
      </c>
    </row>
    <row r="831" spans="1:7" x14ac:dyDescent="0.25">
      <c r="A831">
        <v>830</v>
      </c>
      <c r="B831" t="s">
        <v>1666</v>
      </c>
      <c r="C831" t="s">
        <v>28</v>
      </c>
      <c r="D831">
        <v>38</v>
      </c>
      <c r="E831" t="s">
        <v>9</v>
      </c>
      <c r="F831" s="1">
        <v>44734</v>
      </c>
      <c r="G831" t="s">
        <v>1667</v>
      </c>
    </row>
    <row r="832" spans="1:7" x14ac:dyDescent="0.25">
      <c r="A832">
        <v>831</v>
      </c>
      <c r="B832" t="s">
        <v>1668</v>
      </c>
      <c r="C832" t="s">
        <v>21</v>
      </c>
      <c r="D832">
        <v>67</v>
      </c>
      <c r="E832" t="s">
        <v>9</v>
      </c>
      <c r="F832" s="1">
        <v>44682</v>
      </c>
      <c r="G832" t="s">
        <v>1669</v>
      </c>
    </row>
    <row r="833" spans="1:7" x14ac:dyDescent="0.25">
      <c r="A833">
        <v>832</v>
      </c>
      <c r="B833" t="s">
        <v>1670</v>
      </c>
      <c r="C833" t="s">
        <v>8</v>
      </c>
      <c r="D833">
        <v>32</v>
      </c>
      <c r="E833" t="s">
        <v>13</v>
      </c>
      <c r="F833" s="1">
        <v>45571</v>
      </c>
      <c r="G833" t="s">
        <v>1671</v>
      </c>
    </row>
    <row r="834" spans="1:7" x14ac:dyDescent="0.25">
      <c r="A834">
        <v>833</v>
      </c>
      <c r="B834" t="s">
        <v>1672</v>
      </c>
      <c r="C834" t="s">
        <v>8</v>
      </c>
      <c r="D834">
        <v>41</v>
      </c>
      <c r="E834" t="s">
        <v>13</v>
      </c>
      <c r="F834" s="1">
        <v>44539</v>
      </c>
      <c r="G834" t="s">
        <v>1673</v>
      </c>
    </row>
    <row r="835" spans="1:7" x14ac:dyDescent="0.25">
      <c r="A835">
        <v>834</v>
      </c>
      <c r="B835" t="s">
        <v>1674</v>
      </c>
      <c r="C835" t="s">
        <v>8</v>
      </c>
      <c r="D835">
        <v>18</v>
      </c>
      <c r="E835" t="s">
        <v>9</v>
      </c>
      <c r="F835" s="1">
        <v>45411</v>
      </c>
      <c r="G835" t="s">
        <v>1675</v>
      </c>
    </row>
    <row r="836" spans="1:7" x14ac:dyDescent="0.25">
      <c r="A836">
        <v>835</v>
      </c>
      <c r="B836" t="s">
        <v>1676</v>
      </c>
      <c r="C836" t="s">
        <v>8</v>
      </c>
      <c r="D836">
        <v>29</v>
      </c>
      <c r="E836" t="s">
        <v>9</v>
      </c>
      <c r="F836" s="1">
        <v>45219</v>
      </c>
      <c r="G836" t="s">
        <v>1677</v>
      </c>
    </row>
    <row r="837" spans="1:7" x14ac:dyDescent="0.25">
      <c r="A837">
        <v>836</v>
      </c>
      <c r="B837" t="s">
        <v>1678</v>
      </c>
      <c r="C837" t="s">
        <v>8</v>
      </c>
      <c r="D837">
        <v>45</v>
      </c>
      <c r="E837" t="s">
        <v>13</v>
      </c>
      <c r="F837" s="1">
        <v>44464</v>
      </c>
      <c r="G837" t="s">
        <v>1679</v>
      </c>
    </row>
    <row r="838" spans="1:7" x14ac:dyDescent="0.25">
      <c r="A838">
        <v>837</v>
      </c>
      <c r="B838" t="s">
        <v>1680</v>
      </c>
      <c r="C838" t="s">
        <v>18</v>
      </c>
      <c r="D838">
        <v>46</v>
      </c>
      <c r="E838" t="s">
        <v>9</v>
      </c>
      <c r="F838" s="1">
        <v>44503</v>
      </c>
      <c r="G838" t="s">
        <v>1681</v>
      </c>
    </row>
    <row r="839" spans="1:7" x14ac:dyDescent="0.25">
      <c r="A839">
        <v>838</v>
      </c>
      <c r="B839" t="s">
        <v>374</v>
      </c>
      <c r="C839" t="s">
        <v>12</v>
      </c>
      <c r="D839">
        <v>26</v>
      </c>
      <c r="E839" t="s">
        <v>13</v>
      </c>
      <c r="F839" s="1">
        <v>45159</v>
      </c>
      <c r="G839" t="s">
        <v>1682</v>
      </c>
    </row>
    <row r="840" spans="1:7" x14ac:dyDescent="0.25">
      <c r="A840">
        <v>839</v>
      </c>
      <c r="B840" t="s">
        <v>1683</v>
      </c>
      <c r="C840" t="s">
        <v>28</v>
      </c>
      <c r="D840">
        <v>53</v>
      </c>
      <c r="E840" t="s">
        <v>13</v>
      </c>
      <c r="F840" s="1">
        <v>45387</v>
      </c>
      <c r="G840" t="s">
        <v>1684</v>
      </c>
    </row>
    <row r="841" spans="1:7" x14ac:dyDescent="0.25">
      <c r="A841">
        <v>840</v>
      </c>
      <c r="B841" t="s">
        <v>1685</v>
      </c>
      <c r="C841" t="s">
        <v>8</v>
      </c>
      <c r="D841">
        <v>63</v>
      </c>
      <c r="E841" t="s">
        <v>9</v>
      </c>
      <c r="F841" s="1">
        <v>44972</v>
      </c>
      <c r="G841" t="s">
        <v>1686</v>
      </c>
    </row>
    <row r="842" spans="1:7" x14ac:dyDescent="0.25">
      <c r="A842">
        <v>841</v>
      </c>
      <c r="B842" t="s">
        <v>1687</v>
      </c>
      <c r="C842" t="s">
        <v>8</v>
      </c>
      <c r="D842">
        <v>52</v>
      </c>
      <c r="E842" t="s">
        <v>9</v>
      </c>
      <c r="F842" s="1">
        <v>43941</v>
      </c>
      <c r="G842" t="s">
        <v>1688</v>
      </c>
    </row>
    <row r="843" spans="1:7" x14ac:dyDescent="0.25">
      <c r="A843">
        <v>842</v>
      </c>
      <c r="B843" t="s">
        <v>1689</v>
      </c>
      <c r="C843" t="s">
        <v>28</v>
      </c>
      <c r="D843">
        <v>53</v>
      </c>
      <c r="E843" t="s">
        <v>9</v>
      </c>
      <c r="F843" s="1">
        <v>45308</v>
      </c>
      <c r="G843" t="s">
        <v>1690</v>
      </c>
    </row>
    <row r="844" spans="1:7" x14ac:dyDescent="0.25">
      <c r="A844">
        <v>843</v>
      </c>
      <c r="B844" t="s">
        <v>1691</v>
      </c>
      <c r="C844" t="s">
        <v>12</v>
      </c>
      <c r="D844">
        <v>54</v>
      </c>
      <c r="E844" t="s">
        <v>13</v>
      </c>
      <c r="F844" s="1">
        <v>44055</v>
      </c>
      <c r="G844" t="s">
        <v>1692</v>
      </c>
    </row>
    <row r="845" spans="1:7" x14ac:dyDescent="0.25">
      <c r="A845">
        <v>844</v>
      </c>
      <c r="B845" t="s">
        <v>1693</v>
      </c>
      <c r="C845" t="s">
        <v>12</v>
      </c>
      <c r="D845">
        <v>42</v>
      </c>
      <c r="E845" t="s">
        <v>9</v>
      </c>
      <c r="F845" s="1">
        <v>45437</v>
      </c>
      <c r="G845" t="s">
        <v>1694</v>
      </c>
    </row>
    <row r="846" spans="1:7" x14ac:dyDescent="0.25">
      <c r="A846">
        <v>845</v>
      </c>
      <c r="B846" t="s">
        <v>1695</v>
      </c>
      <c r="C846" t="s">
        <v>12</v>
      </c>
      <c r="D846">
        <v>44</v>
      </c>
      <c r="E846" t="s">
        <v>13</v>
      </c>
      <c r="F846" s="1">
        <v>44802</v>
      </c>
      <c r="G846" t="s">
        <v>1696</v>
      </c>
    </row>
    <row r="847" spans="1:7" x14ac:dyDescent="0.25">
      <c r="A847">
        <v>846</v>
      </c>
      <c r="B847" t="s">
        <v>1697</v>
      </c>
      <c r="C847" t="s">
        <v>12</v>
      </c>
      <c r="D847">
        <v>20</v>
      </c>
      <c r="E847" t="s">
        <v>9</v>
      </c>
      <c r="F847" s="1">
        <v>45583</v>
      </c>
      <c r="G847" t="s">
        <v>1698</v>
      </c>
    </row>
    <row r="848" spans="1:7" x14ac:dyDescent="0.25">
      <c r="A848">
        <v>847</v>
      </c>
      <c r="B848" t="s">
        <v>1699</v>
      </c>
      <c r="C848" t="s">
        <v>28</v>
      </c>
      <c r="D848">
        <v>36</v>
      </c>
      <c r="E848" t="s">
        <v>13</v>
      </c>
      <c r="F848" s="1">
        <v>44162</v>
      </c>
      <c r="G848" t="s">
        <v>1700</v>
      </c>
    </row>
    <row r="849" spans="1:7" x14ac:dyDescent="0.25">
      <c r="A849">
        <v>848</v>
      </c>
      <c r="B849" t="s">
        <v>1701</v>
      </c>
      <c r="C849" t="s">
        <v>18</v>
      </c>
      <c r="D849">
        <v>44</v>
      </c>
      <c r="E849" t="s">
        <v>13</v>
      </c>
      <c r="F849" s="1">
        <v>44004</v>
      </c>
      <c r="G849" t="s">
        <v>1702</v>
      </c>
    </row>
    <row r="850" spans="1:7" x14ac:dyDescent="0.25">
      <c r="A850">
        <v>849</v>
      </c>
      <c r="B850" t="s">
        <v>1703</v>
      </c>
      <c r="C850" t="s">
        <v>28</v>
      </c>
      <c r="D850">
        <v>58</v>
      </c>
      <c r="E850" t="s">
        <v>9</v>
      </c>
      <c r="F850" s="1">
        <v>43879</v>
      </c>
      <c r="G850" t="s">
        <v>1704</v>
      </c>
    </row>
    <row r="851" spans="1:7" x14ac:dyDescent="0.25">
      <c r="A851">
        <v>850</v>
      </c>
      <c r="B851" t="s">
        <v>1705</v>
      </c>
      <c r="C851" t="s">
        <v>18</v>
      </c>
      <c r="D851">
        <v>22</v>
      </c>
      <c r="E851" t="s">
        <v>13</v>
      </c>
      <c r="F851" s="1">
        <v>44779</v>
      </c>
      <c r="G851" t="s">
        <v>1706</v>
      </c>
    </row>
    <row r="852" spans="1:7" x14ac:dyDescent="0.25">
      <c r="A852">
        <v>851</v>
      </c>
      <c r="B852" t="s">
        <v>1707</v>
      </c>
      <c r="C852" t="s">
        <v>12</v>
      </c>
      <c r="D852">
        <v>57</v>
      </c>
      <c r="E852" t="s">
        <v>9</v>
      </c>
      <c r="F852" s="1">
        <v>44251</v>
      </c>
      <c r="G852" t="s">
        <v>1708</v>
      </c>
    </row>
    <row r="853" spans="1:7" x14ac:dyDescent="0.25">
      <c r="A853">
        <v>852</v>
      </c>
      <c r="B853" t="s">
        <v>1709</v>
      </c>
      <c r="C853" t="s">
        <v>8</v>
      </c>
      <c r="D853">
        <v>40</v>
      </c>
      <c r="E853" t="s">
        <v>13</v>
      </c>
      <c r="F853" s="1">
        <v>43938</v>
      </c>
      <c r="G853" t="s">
        <v>1710</v>
      </c>
    </row>
    <row r="854" spans="1:7" x14ac:dyDescent="0.25">
      <c r="A854">
        <v>853</v>
      </c>
      <c r="B854" t="s">
        <v>1711</v>
      </c>
      <c r="C854" t="s">
        <v>8</v>
      </c>
      <c r="D854">
        <v>52</v>
      </c>
      <c r="E854" t="s">
        <v>13</v>
      </c>
      <c r="F854" s="1">
        <v>44714</v>
      </c>
      <c r="G854" t="s">
        <v>1712</v>
      </c>
    </row>
    <row r="855" spans="1:7" x14ac:dyDescent="0.25">
      <c r="A855">
        <v>854</v>
      </c>
      <c r="B855" t="s">
        <v>1713</v>
      </c>
      <c r="C855" t="s">
        <v>21</v>
      </c>
      <c r="D855">
        <v>30</v>
      </c>
      <c r="E855" t="s">
        <v>13</v>
      </c>
      <c r="F855" s="1">
        <v>44890</v>
      </c>
      <c r="G855" t="s">
        <v>1714</v>
      </c>
    </row>
    <row r="856" spans="1:7" x14ac:dyDescent="0.25">
      <c r="A856">
        <v>855</v>
      </c>
      <c r="B856" t="s">
        <v>1715</v>
      </c>
      <c r="C856" t="s">
        <v>21</v>
      </c>
      <c r="D856">
        <v>66</v>
      </c>
      <c r="E856" t="s">
        <v>13</v>
      </c>
      <c r="F856" s="1">
        <v>44410</v>
      </c>
      <c r="G856" t="s">
        <v>1716</v>
      </c>
    </row>
    <row r="857" spans="1:7" x14ac:dyDescent="0.25">
      <c r="A857">
        <v>856</v>
      </c>
      <c r="B857" t="s">
        <v>1717</v>
      </c>
      <c r="C857" t="s">
        <v>12</v>
      </c>
      <c r="D857">
        <v>36</v>
      </c>
      <c r="E857" t="s">
        <v>9</v>
      </c>
      <c r="F857" s="1">
        <v>45548</v>
      </c>
      <c r="G857" t="s">
        <v>1718</v>
      </c>
    </row>
    <row r="858" spans="1:7" x14ac:dyDescent="0.25">
      <c r="A858">
        <v>857</v>
      </c>
      <c r="B858" t="s">
        <v>1719</v>
      </c>
      <c r="C858" t="s">
        <v>18</v>
      </c>
      <c r="D858">
        <v>20</v>
      </c>
      <c r="E858" t="s">
        <v>13</v>
      </c>
      <c r="F858" s="1">
        <v>44995</v>
      </c>
      <c r="G858" t="s">
        <v>1720</v>
      </c>
    </row>
    <row r="859" spans="1:7" x14ac:dyDescent="0.25">
      <c r="A859">
        <v>858</v>
      </c>
      <c r="B859" t="s">
        <v>1721</v>
      </c>
      <c r="C859" t="s">
        <v>28</v>
      </c>
      <c r="D859">
        <v>32</v>
      </c>
      <c r="E859" t="s">
        <v>13</v>
      </c>
      <c r="F859" s="1">
        <v>44894</v>
      </c>
      <c r="G859" t="s">
        <v>1722</v>
      </c>
    </row>
    <row r="860" spans="1:7" x14ac:dyDescent="0.25">
      <c r="A860">
        <v>859</v>
      </c>
      <c r="B860" t="s">
        <v>1723</v>
      </c>
      <c r="C860" t="s">
        <v>8</v>
      </c>
      <c r="D860">
        <v>48</v>
      </c>
      <c r="E860" t="s">
        <v>13</v>
      </c>
      <c r="F860" s="1">
        <v>45119</v>
      </c>
      <c r="G860" t="s">
        <v>1724</v>
      </c>
    </row>
    <row r="861" spans="1:7" x14ac:dyDescent="0.25">
      <c r="A861">
        <v>860</v>
      </c>
      <c r="B861" t="s">
        <v>1725</v>
      </c>
      <c r="C861" t="s">
        <v>28</v>
      </c>
      <c r="D861">
        <v>40</v>
      </c>
      <c r="E861" t="s">
        <v>9</v>
      </c>
      <c r="F861" s="1">
        <v>44944</v>
      </c>
      <c r="G861" t="s">
        <v>1726</v>
      </c>
    </row>
    <row r="862" spans="1:7" x14ac:dyDescent="0.25">
      <c r="A862">
        <v>861</v>
      </c>
      <c r="B862" t="s">
        <v>838</v>
      </c>
      <c r="C862" t="s">
        <v>12</v>
      </c>
      <c r="D862">
        <v>26</v>
      </c>
      <c r="E862" t="s">
        <v>9</v>
      </c>
      <c r="F862" s="1">
        <v>45106</v>
      </c>
      <c r="G862" t="s">
        <v>1727</v>
      </c>
    </row>
    <row r="863" spans="1:7" x14ac:dyDescent="0.25">
      <c r="A863">
        <v>862</v>
      </c>
      <c r="B863" t="s">
        <v>1728</v>
      </c>
      <c r="C863" t="s">
        <v>12</v>
      </c>
      <c r="D863">
        <v>36</v>
      </c>
      <c r="E863" t="s">
        <v>13</v>
      </c>
      <c r="F863" s="1">
        <v>43953</v>
      </c>
      <c r="G863" t="s">
        <v>1729</v>
      </c>
    </row>
    <row r="864" spans="1:7" x14ac:dyDescent="0.25">
      <c r="A864">
        <v>863</v>
      </c>
      <c r="B864" t="s">
        <v>1730</v>
      </c>
      <c r="C864" t="s">
        <v>28</v>
      </c>
      <c r="D864">
        <v>37</v>
      </c>
      <c r="E864" t="s">
        <v>9</v>
      </c>
      <c r="F864" s="1">
        <v>44925</v>
      </c>
      <c r="G864" t="s">
        <v>1731</v>
      </c>
    </row>
    <row r="865" spans="1:7" x14ac:dyDescent="0.25">
      <c r="A865">
        <v>864</v>
      </c>
      <c r="B865" t="s">
        <v>1732</v>
      </c>
      <c r="C865" t="s">
        <v>28</v>
      </c>
      <c r="D865">
        <v>38</v>
      </c>
      <c r="E865" t="s">
        <v>13</v>
      </c>
      <c r="F865" s="1">
        <v>43943</v>
      </c>
      <c r="G865" t="s">
        <v>1733</v>
      </c>
    </row>
    <row r="866" spans="1:7" x14ac:dyDescent="0.25">
      <c r="A866">
        <v>865</v>
      </c>
      <c r="B866" t="s">
        <v>1734</v>
      </c>
      <c r="C866" t="s">
        <v>21</v>
      </c>
      <c r="D866">
        <v>54</v>
      </c>
      <c r="E866" t="s">
        <v>13</v>
      </c>
      <c r="F866" s="1">
        <v>44904</v>
      </c>
      <c r="G866" t="s">
        <v>1735</v>
      </c>
    </row>
    <row r="867" spans="1:7" x14ac:dyDescent="0.25">
      <c r="A867">
        <v>866</v>
      </c>
      <c r="B867" t="s">
        <v>1736</v>
      </c>
      <c r="C867" t="s">
        <v>8</v>
      </c>
      <c r="D867">
        <v>27</v>
      </c>
      <c r="E867" t="s">
        <v>9</v>
      </c>
      <c r="F867" s="1">
        <v>44528</v>
      </c>
      <c r="G867" t="s">
        <v>1737</v>
      </c>
    </row>
    <row r="868" spans="1:7" x14ac:dyDescent="0.25">
      <c r="A868">
        <v>867</v>
      </c>
      <c r="B868" t="s">
        <v>1738</v>
      </c>
      <c r="C868" t="s">
        <v>8</v>
      </c>
      <c r="D868">
        <v>34</v>
      </c>
      <c r="E868" t="s">
        <v>9</v>
      </c>
      <c r="F868" s="1">
        <v>44843</v>
      </c>
      <c r="G868" t="s">
        <v>1739</v>
      </c>
    </row>
    <row r="869" spans="1:7" x14ac:dyDescent="0.25">
      <c r="A869">
        <v>868</v>
      </c>
      <c r="B869" t="s">
        <v>1740</v>
      </c>
      <c r="C869" t="s">
        <v>18</v>
      </c>
      <c r="D869">
        <v>47</v>
      </c>
      <c r="E869" t="s">
        <v>9</v>
      </c>
      <c r="F869" s="1">
        <v>44997</v>
      </c>
      <c r="G869" t="s">
        <v>1741</v>
      </c>
    </row>
    <row r="870" spans="1:7" x14ac:dyDescent="0.25">
      <c r="A870">
        <v>869</v>
      </c>
      <c r="B870" t="s">
        <v>1742</v>
      </c>
      <c r="C870" t="s">
        <v>12</v>
      </c>
      <c r="D870">
        <v>69</v>
      </c>
      <c r="E870" t="s">
        <v>13</v>
      </c>
      <c r="F870" s="1">
        <v>44637</v>
      </c>
      <c r="G870" t="s">
        <v>1743</v>
      </c>
    </row>
    <row r="871" spans="1:7" x14ac:dyDescent="0.25">
      <c r="A871">
        <v>870</v>
      </c>
      <c r="B871" t="s">
        <v>1744</v>
      </c>
      <c r="C871" t="s">
        <v>28</v>
      </c>
      <c r="D871">
        <v>25</v>
      </c>
      <c r="E871" t="s">
        <v>13</v>
      </c>
      <c r="F871" s="1">
        <v>44317</v>
      </c>
      <c r="G871" t="s">
        <v>1745</v>
      </c>
    </row>
    <row r="872" spans="1:7" x14ac:dyDescent="0.25">
      <c r="A872">
        <v>871</v>
      </c>
      <c r="B872" t="s">
        <v>1746</v>
      </c>
      <c r="C872" t="s">
        <v>18</v>
      </c>
      <c r="D872">
        <v>53</v>
      </c>
      <c r="E872" t="s">
        <v>13</v>
      </c>
      <c r="F872" s="1">
        <v>43975</v>
      </c>
      <c r="G872" t="s">
        <v>1747</v>
      </c>
    </row>
    <row r="873" spans="1:7" x14ac:dyDescent="0.25">
      <c r="A873">
        <v>872</v>
      </c>
      <c r="B873" t="s">
        <v>1748</v>
      </c>
      <c r="C873" t="s">
        <v>18</v>
      </c>
      <c r="D873">
        <v>34</v>
      </c>
      <c r="E873" t="s">
        <v>13</v>
      </c>
      <c r="F873" s="1">
        <v>44439</v>
      </c>
      <c r="G873" t="s">
        <v>1749</v>
      </c>
    </row>
    <row r="874" spans="1:7" x14ac:dyDescent="0.25">
      <c r="A874">
        <v>873</v>
      </c>
      <c r="B874" t="s">
        <v>1750</v>
      </c>
      <c r="C874" t="s">
        <v>28</v>
      </c>
      <c r="D874">
        <v>40</v>
      </c>
      <c r="E874" t="s">
        <v>9</v>
      </c>
      <c r="F874" s="1">
        <v>44352</v>
      </c>
      <c r="G874" t="s">
        <v>1751</v>
      </c>
    </row>
    <row r="875" spans="1:7" x14ac:dyDescent="0.25">
      <c r="A875">
        <v>874</v>
      </c>
      <c r="B875" t="s">
        <v>1564</v>
      </c>
      <c r="C875" t="s">
        <v>28</v>
      </c>
      <c r="D875">
        <v>20</v>
      </c>
      <c r="E875" t="s">
        <v>13</v>
      </c>
      <c r="F875" s="1">
        <v>44152</v>
      </c>
      <c r="G875" t="s">
        <v>1752</v>
      </c>
    </row>
    <row r="876" spans="1:7" x14ac:dyDescent="0.25">
      <c r="A876">
        <v>875</v>
      </c>
      <c r="B876" t="s">
        <v>1753</v>
      </c>
      <c r="C876" t="s">
        <v>18</v>
      </c>
      <c r="D876">
        <v>66</v>
      </c>
      <c r="E876" t="s">
        <v>13</v>
      </c>
      <c r="F876" s="1">
        <v>44217</v>
      </c>
      <c r="G876" t="s">
        <v>1754</v>
      </c>
    </row>
    <row r="877" spans="1:7" x14ac:dyDescent="0.25">
      <c r="A877">
        <v>876</v>
      </c>
      <c r="B877" t="s">
        <v>1755</v>
      </c>
      <c r="C877" t="s">
        <v>8</v>
      </c>
      <c r="D877">
        <v>52</v>
      </c>
      <c r="E877" t="s">
        <v>9</v>
      </c>
      <c r="F877" s="1">
        <v>45479</v>
      </c>
      <c r="G877" t="s">
        <v>1756</v>
      </c>
    </row>
    <row r="878" spans="1:7" x14ac:dyDescent="0.25">
      <c r="A878">
        <v>877</v>
      </c>
      <c r="B878" t="s">
        <v>1757</v>
      </c>
      <c r="C878" t="s">
        <v>28</v>
      </c>
      <c r="D878">
        <v>50</v>
      </c>
      <c r="E878" t="s">
        <v>13</v>
      </c>
      <c r="F878" s="1">
        <v>44661</v>
      </c>
      <c r="G878" t="s">
        <v>1758</v>
      </c>
    </row>
    <row r="879" spans="1:7" x14ac:dyDescent="0.25">
      <c r="A879">
        <v>878</v>
      </c>
      <c r="B879" t="s">
        <v>1759</v>
      </c>
      <c r="C879" t="s">
        <v>21</v>
      </c>
      <c r="D879">
        <v>60</v>
      </c>
      <c r="E879" t="s">
        <v>9</v>
      </c>
      <c r="F879" s="1">
        <v>44189</v>
      </c>
      <c r="G879" t="s">
        <v>1760</v>
      </c>
    </row>
    <row r="880" spans="1:7" x14ac:dyDescent="0.25">
      <c r="A880">
        <v>879</v>
      </c>
      <c r="B880" t="s">
        <v>1761</v>
      </c>
      <c r="C880" t="s">
        <v>28</v>
      </c>
      <c r="D880">
        <v>48</v>
      </c>
      <c r="E880" t="s">
        <v>9</v>
      </c>
      <c r="F880" s="1">
        <v>44649</v>
      </c>
      <c r="G880" t="s">
        <v>1762</v>
      </c>
    </row>
    <row r="881" spans="1:7" x14ac:dyDescent="0.25">
      <c r="A881">
        <v>880</v>
      </c>
      <c r="B881" t="s">
        <v>1763</v>
      </c>
      <c r="C881" t="s">
        <v>18</v>
      </c>
      <c r="D881">
        <v>66</v>
      </c>
      <c r="E881" t="s">
        <v>13</v>
      </c>
      <c r="F881" s="1">
        <v>43957</v>
      </c>
      <c r="G881" t="s">
        <v>1764</v>
      </c>
    </row>
    <row r="882" spans="1:7" x14ac:dyDescent="0.25">
      <c r="A882">
        <v>881</v>
      </c>
      <c r="B882" t="s">
        <v>1765</v>
      </c>
      <c r="C882" t="s">
        <v>12</v>
      </c>
      <c r="D882">
        <v>42</v>
      </c>
      <c r="E882" t="s">
        <v>9</v>
      </c>
      <c r="F882" s="1">
        <v>44220</v>
      </c>
      <c r="G882" t="s">
        <v>1766</v>
      </c>
    </row>
    <row r="883" spans="1:7" x14ac:dyDescent="0.25">
      <c r="A883">
        <v>882</v>
      </c>
      <c r="B883" t="s">
        <v>1767</v>
      </c>
      <c r="C883" t="s">
        <v>12</v>
      </c>
      <c r="D883">
        <v>64</v>
      </c>
      <c r="E883" t="s">
        <v>13</v>
      </c>
      <c r="F883" s="1">
        <v>44075</v>
      </c>
      <c r="G883" t="s">
        <v>1768</v>
      </c>
    </row>
    <row r="884" spans="1:7" x14ac:dyDescent="0.25">
      <c r="A884">
        <v>883</v>
      </c>
      <c r="B884" t="s">
        <v>1769</v>
      </c>
      <c r="C884" t="s">
        <v>18</v>
      </c>
      <c r="D884">
        <v>66</v>
      </c>
      <c r="E884" t="s">
        <v>9</v>
      </c>
      <c r="F884" s="1">
        <v>44537</v>
      </c>
      <c r="G884" t="s">
        <v>1770</v>
      </c>
    </row>
    <row r="885" spans="1:7" x14ac:dyDescent="0.25">
      <c r="A885">
        <v>884</v>
      </c>
      <c r="B885" t="s">
        <v>1771</v>
      </c>
      <c r="C885" t="s">
        <v>18</v>
      </c>
      <c r="D885">
        <v>50</v>
      </c>
      <c r="E885" t="s">
        <v>13</v>
      </c>
      <c r="F885" s="1">
        <v>44596</v>
      </c>
      <c r="G885" t="s">
        <v>1772</v>
      </c>
    </row>
    <row r="886" spans="1:7" x14ac:dyDescent="0.25">
      <c r="A886">
        <v>885</v>
      </c>
      <c r="B886" t="s">
        <v>1773</v>
      </c>
      <c r="C886" t="s">
        <v>12</v>
      </c>
      <c r="D886">
        <v>54</v>
      </c>
      <c r="E886" t="s">
        <v>13</v>
      </c>
      <c r="F886" s="1">
        <v>45185</v>
      </c>
      <c r="G886" t="s">
        <v>1774</v>
      </c>
    </row>
    <row r="887" spans="1:7" x14ac:dyDescent="0.25">
      <c r="A887">
        <v>886</v>
      </c>
      <c r="B887" t="s">
        <v>1775</v>
      </c>
      <c r="C887" t="s">
        <v>8</v>
      </c>
      <c r="D887">
        <v>20</v>
      </c>
      <c r="E887" t="s">
        <v>9</v>
      </c>
      <c r="F887" s="1">
        <v>45278</v>
      </c>
      <c r="G887" t="s">
        <v>1776</v>
      </c>
    </row>
    <row r="888" spans="1:7" x14ac:dyDescent="0.25">
      <c r="A888">
        <v>887</v>
      </c>
      <c r="B888" t="s">
        <v>1777</v>
      </c>
      <c r="C888" t="s">
        <v>12</v>
      </c>
      <c r="D888">
        <v>33</v>
      </c>
      <c r="E888" t="s">
        <v>9</v>
      </c>
      <c r="F888" s="1">
        <v>44834</v>
      </c>
      <c r="G888" t="s">
        <v>1778</v>
      </c>
    </row>
    <row r="889" spans="1:7" x14ac:dyDescent="0.25">
      <c r="A889">
        <v>888</v>
      </c>
      <c r="B889" t="s">
        <v>1779</v>
      </c>
      <c r="C889" t="s">
        <v>12</v>
      </c>
      <c r="D889">
        <v>40</v>
      </c>
      <c r="E889" t="s">
        <v>9</v>
      </c>
      <c r="F889" s="1">
        <v>44257</v>
      </c>
      <c r="G889" t="s">
        <v>1780</v>
      </c>
    </row>
    <row r="890" spans="1:7" x14ac:dyDescent="0.25">
      <c r="A890">
        <v>889</v>
      </c>
      <c r="B890" t="s">
        <v>1781</v>
      </c>
      <c r="C890" t="s">
        <v>8</v>
      </c>
      <c r="D890">
        <v>60</v>
      </c>
      <c r="E890" t="s">
        <v>9</v>
      </c>
      <c r="F890" s="1">
        <v>44026</v>
      </c>
      <c r="G890" t="s">
        <v>1782</v>
      </c>
    </row>
    <row r="891" spans="1:7" x14ac:dyDescent="0.25">
      <c r="A891">
        <v>890</v>
      </c>
      <c r="B891" t="s">
        <v>1783</v>
      </c>
      <c r="C891" t="s">
        <v>28</v>
      </c>
      <c r="D891">
        <v>53</v>
      </c>
      <c r="E891" t="s">
        <v>9</v>
      </c>
      <c r="F891" s="1">
        <v>44488</v>
      </c>
      <c r="G891" t="s">
        <v>1784</v>
      </c>
    </row>
    <row r="892" spans="1:7" x14ac:dyDescent="0.25">
      <c r="A892">
        <v>891</v>
      </c>
      <c r="B892" t="s">
        <v>1785</v>
      </c>
      <c r="C892" t="s">
        <v>8</v>
      </c>
      <c r="D892">
        <v>19</v>
      </c>
      <c r="E892" t="s">
        <v>13</v>
      </c>
      <c r="F892" s="1">
        <v>45071</v>
      </c>
      <c r="G892" t="s">
        <v>1786</v>
      </c>
    </row>
    <row r="893" spans="1:7" x14ac:dyDescent="0.25">
      <c r="A893">
        <v>892</v>
      </c>
      <c r="B893" t="s">
        <v>1787</v>
      </c>
      <c r="C893" t="s">
        <v>21</v>
      </c>
      <c r="D893">
        <v>34</v>
      </c>
      <c r="E893" t="s">
        <v>13</v>
      </c>
      <c r="F893" s="1">
        <v>45212</v>
      </c>
      <c r="G893" t="s">
        <v>1788</v>
      </c>
    </row>
    <row r="894" spans="1:7" x14ac:dyDescent="0.25">
      <c r="A894">
        <v>893</v>
      </c>
      <c r="B894" t="s">
        <v>1789</v>
      </c>
      <c r="C894" t="s">
        <v>18</v>
      </c>
      <c r="D894">
        <v>20</v>
      </c>
      <c r="E894" t="s">
        <v>13</v>
      </c>
      <c r="F894" s="1">
        <v>45587</v>
      </c>
      <c r="G894" t="s">
        <v>1790</v>
      </c>
    </row>
    <row r="895" spans="1:7" x14ac:dyDescent="0.25">
      <c r="A895">
        <v>894</v>
      </c>
      <c r="B895" t="s">
        <v>1791</v>
      </c>
      <c r="C895" t="s">
        <v>18</v>
      </c>
      <c r="D895">
        <v>53</v>
      </c>
      <c r="E895" t="s">
        <v>9</v>
      </c>
      <c r="F895" s="1">
        <v>45533</v>
      </c>
      <c r="G895" t="s">
        <v>1792</v>
      </c>
    </row>
    <row r="896" spans="1:7" x14ac:dyDescent="0.25">
      <c r="A896">
        <v>895</v>
      </c>
      <c r="B896" t="s">
        <v>1793</v>
      </c>
      <c r="C896" t="s">
        <v>28</v>
      </c>
      <c r="D896">
        <v>56</v>
      </c>
      <c r="E896" t="s">
        <v>13</v>
      </c>
      <c r="F896" s="1">
        <v>45461</v>
      </c>
      <c r="G896" t="s">
        <v>1794</v>
      </c>
    </row>
    <row r="897" spans="1:7" x14ac:dyDescent="0.25">
      <c r="A897">
        <v>896</v>
      </c>
      <c r="B897" t="s">
        <v>1795</v>
      </c>
      <c r="C897" t="s">
        <v>28</v>
      </c>
      <c r="D897">
        <v>60</v>
      </c>
      <c r="E897" t="s">
        <v>9</v>
      </c>
      <c r="F897" s="1">
        <v>44817</v>
      </c>
      <c r="G897" t="s">
        <v>1796</v>
      </c>
    </row>
    <row r="898" spans="1:7" x14ac:dyDescent="0.25">
      <c r="A898">
        <v>897</v>
      </c>
      <c r="B898" t="s">
        <v>1797</v>
      </c>
      <c r="C898" t="s">
        <v>8</v>
      </c>
      <c r="D898">
        <v>48</v>
      </c>
      <c r="E898" t="s">
        <v>13</v>
      </c>
      <c r="F898" s="1">
        <v>44195</v>
      </c>
      <c r="G898" t="s">
        <v>1798</v>
      </c>
    </row>
    <row r="899" spans="1:7" x14ac:dyDescent="0.25">
      <c r="A899">
        <v>898</v>
      </c>
      <c r="B899" t="s">
        <v>1799</v>
      </c>
      <c r="C899" t="s">
        <v>12</v>
      </c>
      <c r="D899">
        <v>50</v>
      </c>
      <c r="E899" t="s">
        <v>13</v>
      </c>
      <c r="F899" s="1">
        <v>44353</v>
      </c>
      <c r="G899" t="s">
        <v>1800</v>
      </c>
    </row>
    <row r="900" spans="1:7" x14ac:dyDescent="0.25">
      <c r="A900">
        <v>899</v>
      </c>
      <c r="B900" t="s">
        <v>1801</v>
      </c>
      <c r="C900" t="s">
        <v>8</v>
      </c>
      <c r="D900">
        <v>47</v>
      </c>
      <c r="E900" t="s">
        <v>13</v>
      </c>
      <c r="F900" s="1">
        <v>44424</v>
      </c>
      <c r="G900" t="s">
        <v>1802</v>
      </c>
    </row>
    <row r="901" spans="1:7" x14ac:dyDescent="0.25">
      <c r="A901">
        <v>900</v>
      </c>
      <c r="B901" t="s">
        <v>1803</v>
      </c>
      <c r="C901" t="s">
        <v>28</v>
      </c>
      <c r="D901">
        <v>51</v>
      </c>
      <c r="E901" t="s">
        <v>13</v>
      </c>
      <c r="F901" s="1">
        <v>44193</v>
      </c>
      <c r="G901" t="s">
        <v>1804</v>
      </c>
    </row>
    <row r="902" spans="1:7" x14ac:dyDescent="0.25">
      <c r="A902">
        <v>901</v>
      </c>
      <c r="B902" t="s">
        <v>1805</v>
      </c>
      <c r="C902" t="s">
        <v>8</v>
      </c>
      <c r="D902">
        <v>64</v>
      </c>
      <c r="E902" t="s">
        <v>9</v>
      </c>
      <c r="F902" s="1">
        <v>45542</v>
      </c>
      <c r="G902" t="s">
        <v>1806</v>
      </c>
    </row>
    <row r="903" spans="1:7" x14ac:dyDescent="0.25">
      <c r="A903">
        <v>902</v>
      </c>
      <c r="B903" t="s">
        <v>1807</v>
      </c>
      <c r="C903" t="s">
        <v>28</v>
      </c>
      <c r="D903">
        <v>45</v>
      </c>
      <c r="E903" t="s">
        <v>9</v>
      </c>
      <c r="F903" s="1">
        <v>44808</v>
      </c>
      <c r="G903" t="s">
        <v>1808</v>
      </c>
    </row>
    <row r="904" spans="1:7" x14ac:dyDescent="0.25">
      <c r="A904">
        <v>903</v>
      </c>
      <c r="B904" t="s">
        <v>1809</v>
      </c>
      <c r="C904" t="s">
        <v>8</v>
      </c>
      <c r="D904">
        <v>20</v>
      </c>
      <c r="E904" t="s">
        <v>9</v>
      </c>
      <c r="F904" s="1">
        <v>43853</v>
      </c>
      <c r="G904" t="s">
        <v>1810</v>
      </c>
    </row>
    <row r="905" spans="1:7" x14ac:dyDescent="0.25">
      <c r="A905">
        <v>904</v>
      </c>
      <c r="B905" t="s">
        <v>1811</v>
      </c>
      <c r="C905" t="s">
        <v>8</v>
      </c>
      <c r="D905">
        <v>55</v>
      </c>
      <c r="E905" t="s">
        <v>13</v>
      </c>
      <c r="F905" s="1">
        <v>44681</v>
      </c>
      <c r="G905" t="s">
        <v>1812</v>
      </c>
    </row>
    <row r="906" spans="1:7" x14ac:dyDescent="0.25">
      <c r="A906">
        <v>905</v>
      </c>
      <c r="B906" t="s">
        <v>1813</v>
      </c>
      <c r="C906" t="s">
        <v>8</v>
      </c>
      <c r="D906">
        <v>18</v>
      </c>
      <c r="E906" t="s">
        <v>9</v>
      </c>
      <c r="F906" s="1">
        <v>45405</v>
      </c>
      <c r="G906" t="s">
        <v>1814</v>
      </c>
    </row>
    <row r="907" spans="1:7" x14ac:dyDescent="0.25">
      <c r="A907">
        <v>906</v>
      </c>
      <c r="B907" t="s">
        <v>1815</v>
      </c>
      <c r="C907" t="s">
        <v>12</v>
      </c>
      <c r="D907">
        <v>20</v>
      </c>
      <c r="E907" t="s">
        <v>13</v>
      </c>
      <c r="F907" s="1">
        <v>44175</v>
      </c>
      <c r="G907" t="s">
        <v>1816</v>
      </c>
    </row>
    <row r="908" spans="1:7" x14ac:dyDescent="0.25">
      <c r="A908">
        <v>907</v>
      </c>
      <c r="B908" t="s">
        <v>1817</v>
      </c>
      <c r="C908" t="s">
        <v>18</v>
      </c>
      <c r="D908">
        <v>48</v>
      </c>
      <c r="E908" t="s">
        <v>13</v>
      </c>
      <c r="F908" s="1">
        <v>44566</v>
      </c>
      <c r="G908" t="s">
        <v>1818</v>
      </c>
    </row>
    <row r="909" spans="1:7" x14ac:dyDescent="0.25">
      <c r="A909">
        <v>908</v>
      </c>
      <c r="B909" t="s">
        <v>1819</v>
      </c>
      <c r="C909" t="s">
        <v>28</v>
      </c>
      <c r="D909">
        <v>32</v>
      </c>
      <c r="E909" t="s">
        <v>13</v>
      </c>
      <c r="F909" s="1">
        <v>44897</v>
      </c>
      <c r="G909" t="s">
        <v>1820</v>
      </c>
    </row>
    <row r="910" spans="1:7" x14ac:dyDescent="0.25">
      <c r="A910">
        <v>909</v>
      </c>
      <c r="B910" t="s">
        <v>1821</v>
      </c>
      <c r="C910" t="s">
        <v>8</v>
      </c>
      <c r="D910">
        <v>62</v>
      </c>
      <c r="E910" t="s">
        <v>13</v>
      </c>
      <c r="F910" s="1">
        <v>44282</v>
      </c>
      <c r="G910" t="s">
        <v>1822</v>
      </c>
    </row>
    <row r="911" spans="1:7" x14ac:dyDescent="0.25">
      <c r="A911">
        <v>910</v>
      </c>
      <c r="B911" t="s">
        <v>1823</v>
      </c>
      <c r="C911" t="s">
        <v>28</v>
      </c>
      <c r="D911">
        <v>53</v>
      </c>
      <c r="E911" t="s">
        <v>13</v>
      </c>
      <c r="F911" s="1">
        <v>45128</v>
      </c>
      <c r="G911" t="s">
        <v>1824</v>
      </c>
    </row>
    <row r="912" spans="1:7" x14ac:dyDescent="0.25">
      <c r="A912">
        <v>911</v>
      </c>
      <c r="B912" t="s">
        <v>1825</v>
      </c>
      <c r="C912" t="s">
        <v>18</v>
      </c>
      <c r="D912">
        <v>58</v>
      </c>
      <c r="E912" t="s">
        <v>9</v>
      </c>
      <c r="F912" s="1">
        <v>45444</v>
      </c>
      <c r="G912" t="s">
        <v>1826</v>
      </c>
    </row>
    <row r="913" spans="1:7" x14ac:dyDescent="0.25">
      <c r="A913">
        <v>912</v>
      </c>
      <c r="B913" t="s">
        <v>1827</v>
      </c>
      <c r="C913" t="s">
        <v>28</v>
      </c>
      <c r="D913">
        <v>65</v>
      </c>
      <c r="E913" t="s">
        <v>9</v>
      </c>
      <c r="F913" s="1">
        <v>45513</v>
      </c>
      <c r="G913" t="s">
        <v>1828</v>
      </c>
    </row>
    <row r="914" spans="1:7" x14ac:dyDescent="0.25">
      <c r="A914">
        <v>913</v>
      </c>
      <c r="B914" t="s">
        <v>1829</v>
      </c>
      <c r="C914" t="s">
        <v>28</v>
      </c>
      <c r="D914">
        <v>42</v>
      </c>
      <c r="E914" t="s">
        <v>9</v>
      </c>
      <c r="F914" s="1">
        <v>44621</v>
      </c>
      <c r="G914" t="s">
        <v>1830</v>
      </c>
    </row>
    <row r="915" spans="1:7" x14ac:dyDescent="0.25">
      <c r="A915">
        <v>914</v>
      </c>
      <c r="B915" t="s">
        <v>1831</v>
      </c>
      <c r="C915" t="s">
        <v>12</v>
      </c>
      <c r="D915">
        <v>35</v>
      </c>
      <c r="E915" t="s">
        <v>13</v>
      </c>
      <c r="F915" s="1">
        <v>44922</v>
      </c>
      <c r="G915" t="s">
        <v>1832</v>
      </c>
    </row>
    <row r="916" spans="1:7" x14ac:dyDescent="0.25">
      <c r="A916">
        <v>915</v>
      </c>
      <c r="B916" t="s">
        <v>1833</v>
      </c>
      <c r="C916" t="s">
        <v>18</v>
      </c>
      <c r="D916">
        <v>25</v>
      </c>
      <c r="E916" t="s">
        <v>9</v>
      </c>
      <c r="F916" s="1">
        <v>44965</v>
      </c>
      <c r="G916" t="s">
        <v>1834</v>
      </c>
    </row>
    <row r="917" spans="1:7" x14ac:dyDescent="0.25">
      <c r="A917">
        <v>916</v>
      </c>
      <c r="B917" t="s">
        <v>1835</v>
      </c>
      <c r="C917" t="s">
        <v>18</v>
      </c>
      <c r="D917">
        <v>54</v>
      </c>
      <c r="E917" t="s">
        <v>9</v>
      </c>
      <c r="F917" s="1">
        <v>45419</v>
      </c>
      <c r="G917" t="s">
        <v>1836</v>
      </c>
    </row>
    <row r="918" spans="1:7" x14ac:dyDescent="0.25">
      <c r="A918">
        <v>917</v>
      </c>
      <c r="B918" t="s">
        <v>1837</v>
      </c>
      <c r="C918" t="s">
        <v>18</v>
      </c>
      <c r="D918">
        <v>34</v>
      </c>
      <c r="E918" t="s">
        <v>13</v>
      </c>
      <c r="F918" s="1">
        <v>44647</v>
      </c>
      <c r="G918" t="s">
        <v>1838</v>
      </c>
    </row>
    <row r="919" spans="1:7" x14ac:dyDescent="0.25">
      <c r="A919">
        <v>918</v>
      </c>
      <c r="B919" t="s">
        <v>1839</v>
      </c>
      <c r="C919" t="s">
        <v>21</v>
      </c>
      <c r="D919">
        <v>67</v>
      </c>
      <c r="E919" t="s">
        <v>9</v>
      </c>
      <c r="F919" s="1">
        <v>44108</v>
      </c>
      <c r="G919" t="s">
        <v>1840</v>
      </c>
    </row>
    <row r="920" spans="1:7" x14ac:dyDescent="0.25">
      <c r="A920">
        <v>919</v>
      </c>
      <c r="B920" t="s">
        <v>1841</v>
      </c>
      <c r="C920" t="s">
        <v>28</v>
      </c>
      <c r="D920">
        <v>25</v>
      </c>
      <c r="E920" t="s">
        <v>9</v>
      </c>
      <c r="F920" s="1">
        <v>44998</v>
      </c>
      <c r="G920" t="s">
        <v>1842</v>
      </c>
    </row>
    <row r="921" spans="1:7" x14ac:dyDescent="0.25">
      <c r="A921">
        <v>920</v>
      </c>
      <c r="B921" t="s">
        <v>1843</v>
      </c>
      <c r="C921" t="s">
        <v>28</v>
      </c>
      <c r="D921">
        <v>60</v>
      </c>
      <c r="E921" t="s">
        <v>9</v>
      </c>
      <c r="F921" s="1">
        <v>45429</v>
      </c>
      <c r="G921" t="s">
        <v>1844</v>
      </c>
    </row>
    <row r="922" spans="1:7" x14ac:dyDescent="0.25">
      <c r="A922">
        <v>921</v>
      </c>
      <c r="B922" t="s">
        <v>1845</v>
      </c>
      <c r="C922" t="s">
        <v>12</v>
      </c>
      <c r="D922">
        <v>48</v>
      </c>
      <c r="E922" t="s">
        <v>9</v>
      </c>
      <c r="F922" s="1">
        <v>45148</v>
      </c>
      <c r="G922" t="s">
        <v>1846</v>
      </c>
    </row>
    <row r="923" spans="1:7" x14ac:dyDescent="0.25">
      <c r="A923">
        <v>922</v>
      </c>
      <c r="B923" t="s">
        <v>1847</v>
      </c>
      <c r="C923" t="s">
        <v>12</v>
      </c>
      <c r="D923">
        <v>26</v>
      </c>
      <c r="E923" t="s">
        <v>13</v>
      </c>
      <c r="F923" s="1">
        <v>45109</v>
      </c>
      <c r="G923" t="s">
        <v>1848</v>
      </c>
    </row>
    <row r="924" spans="1:7" x14ac:dyDescent="0.25">
      <c r="A924">
        <v>923</v>
      </c>
      <c r="B924" t="s">
        <v>1849</v>
      </c>
      <c r="C924" t="s">
        <v>28</v>
      </c>
      <c r="D924">
        <v>50</v>
      </c>
      <c r="E924" t="s">
        <v>9</v>
      </c>
      <c r="F924" s="1">
        <v>44914</v>
      </c>
      <c r="G924" t="s">
        <v>1850</v>
      </c>
    </row>
    <row r="925" spans="1:7" x14ac:dyDescent="0.25">
      <c r="A925">
        <v>924</v>
      </c>
      <c r="B925" t="s">
        <v>1851</v>
      </c>
      <c r="C925" t="s">
        <v>18</v>
      </c>
      <c r="D925">
        <v>39</v>
      </c>
      <c r="E925" t="s">
        <v>9</v>
      </c>
      <c r="F925" s="1">
        <v>44902</v>
      </c>
      <c r="G925" t="s">
        <v>1852</v>
      </c>
    </row>
    <row r="926" spans="1:7" x14ac:dyDescent="0.25">
      <c r="A926">
        <v>925</v>
      </c>
      <c r="B926" t="s">
        <v>1853</v>
      </c>
      <c r="C926" t="s">
        <v>8</v>
      </c>
      <c r="D926">
        <v>43</v>
      </c>
      <c r="E926" t="s">
        <v>13</v>
      </c>
      <c r="F926" s="1">
        <v>44850</v>
      </c>
      <c r="G926" t="s">
        <v>1854</v>
      </c>
    </row>
    <row r="927" spans="1:7" x14ac:dyDescent="0.25">
      <c r="A927">
        <v>926</v>
      </c>
      <c r="B927" t="s">
        <v>1855</v>
      </c>
      <c r="C927" t="s">
        <v>8</v>
      </c>
      <c r="D927">
        <v>23</v>
      </c>
      <c r="E927" t="s">
        <v>13</v>
      </c>
      <c r="F927" s="1">
        <v>45290</v>
      </c>
      <c r="G927" t="s">
        <v>1856</v>
      </c>
    </row>
    <row r="928" spans="1:7" x14ac:dyDescent="0.25">
      <c r="A928">
        <v>927</v>
      </c>
      <c r="B928" t="s">
        <v>1857</v>
      </c>
      <c r="C928" t="s">
        <v>21</v>
      </c>
      <c r="D928">
        <v>41</v>
      </c>
      <c r="E928" t="s">
        <v>9</v>
      </c>
      <c r="F928" s="1">
        <v>45442</v>
      </c>
      <c r="G928" t="s">
        <v>1858</v>
      </c>
    </row>
    <row r="929" spans="1:7" x14ac:dyDescent="0.25">
      <c r="A929">
        <v>928</v>
      </c>
      <c r="B929" t="s">
        <v>1859</v>
      </c>
      <c r="C929" t="s">
        <v>21</v>
      </c>
      <c r="D929">
        <v>63</v>
      </c>
      <c r="E929" t="s">
        <v>13</v>
      </c>
      <c r="F929" s="1">
        <v>45392</v>
      </c>
      <c r="G929" t="s">
        <v>1860</v>
      </c>
    </row>
    <row r="930" spans="1:7" x14ac:dyDescent="0.25">
      <c r="A930">
        <v>929</v>
      </c>
      <c r="B930" t="s">
        <v>1861</v>
      </c>
      <c r="C930" t="s">
        <v>21</v>
      </c>
      <c r="D930">
        <v>61</v>
      </c>
      <c r="E930" t="s">
        <v>9</v>
      </c>
      <c r="F930" s="1">
        <v>44611</v>
      </c>
      <c r="G930" t="s">
        <v>1862</v>
      </c>
    </row>
    <row r="931" spans="1:7" x14ac:dyDescent="0.25">
      <c r="A931">
        <v>930</v>
      </c>
      <c r="B931" t="s">
        <v>1863</v>
      </c>
      <c r="C931" t="s">
        <v>21</v>
      </c>
      <c r="D931">
        <v>20</v>
      </c>
      <c r="E931" t="s">
        <v>9</v>
      </c>
      <c r="F931" s="1">
        <v>45192</v>
      </c>
      <c r="G931" t="s">
        <v>1864</v>
      </c>
    </row>
    <row r="932" spans="1:7" x14ac:dyDescent="0.25">
      <c r="A932">
        <v>931</v>
      </c>
      <c r="B932" t="s">
        <v>1865</v>
      </c>
      <c r="C932" t="s">
        <v>12</v>
      </c>
      <c r="D932">
        <v>58</v>
      </c>
      <c r="E932" t="s">
        <v>9</v>
      </c>
      <c r="F932" s="1">
        <v>44096</v>
      </c>
      <c r="G932" t="s">
        <v>1866</v>
      </c>
    </row>
    <row r="933" spans="1:7" x14ac:dyDescent="0.25">
      <c r="A933">
        <v>932</v>
      </c>
      <c r="B933" t="s">
        <v>1867</v>
      </c>
      <c r="C933" t="s">
        <v>18</v>
      </c>
      <c r="D933">
        <v>31</v>
      </c>
      <c r="E933" t="s">
        <v>9</v>
      </c>
      <c r="F933" s="1">
        <v>44107</v>
      </c>
      <c r="G933" t="s">
        <v>1868</v>
      </c>
    </row>
    <row r="934" spans="1:7" x14ac:dyDescent="0.25">
      <c r="A934">
        <v>933</v>
      </c>
      <c r="B934" t="s">
        <v>1869</v>
      </c>
      <c r="C934" t="s">
        <v>21</v>
      </c>
      <c r="D934">
        <v>52</v>
      </c>
      <c r="E934" t="s">
        <v>9</v>
      </c>
      <c r="F934" s="1">
        <v>44310</v>
      </c>
      <c r="G934" t="s">
        <v>1870</v>
      </c>
    </row>
    <row r="935" spans="1:7" x14ac:dyDescent="0.25">
      <c r="A935">
        <v>934</v>
      </c>
      <c r="B935" t="s">
        <v>1871</v>
      </c>
      <c r="C935" t="s">
        <v>28</v>
      </c>
      <c r="D935">
        <v>56</v>
      </c>
      <c r="E935" t="s">
        <v>13</v>
      </c>
      <c r="F935" s="1">
        <v>43861</v>
      </c>
      <c r="G935" t="s">
        <v>1872</v>
      </c>
    </row>
    <row r="936" spans="1:7" x14ac:dyDescent="0.25">
      <c r="A936">
        <v>935</v>
      </c>
      <c r="B936" t="s">
        <v>1873</v>
      </c>
      <c r="C936" t="s">
        <v>18</v>
      </c>
      <c r="D936">
        <v>39</v>
      </c>
      <c r="E936" t="s">
        <v>9</v>
      </c>
      <c r="F936" s="1">
        <v>44990</v>
      </c>
      <c r="G936" t="s">
        <v>1874</v>
      </c>
    </row>
    <row r="937" spans="1:7" x14ac:dyDescent="0.25">
      <c r="A937">
        <v>936</v>
      </c>
      <c r="B937" t="s">
        <v>1875</v>
      </c>
      <c r="C937" t="s">
        <v>8</v>
      </c>
      <c r="D937">
        <v>46</v>
      </c>
      <c r="E937" t="s">
        <v>13</v>
      </c>
      <c r="F937" s="1">
        <v>44213</v>
      </c>
      <c r="G937" t="s">
        <v>1876</v>
      </c>
    </row>
    <row r="938" spans="1:7" x14ac:dyDescent="0.25">
      <c r="A938">
        <v>937</v>
      </c>
      <c r="B938" t="s">
        <v>1877</v>
      </c>
      <c r="C938" t="s">
        <v>8</v>
      </c>
      <c r="D938">
        <v>54</v>
      </c>
      <c r="E938" t="s">
        <v>13</v>
      </c>
      <c r="F938" s="1">
        <v>44936</v>
      </c>
      <c r="G938" t="s">
        <v>1878</v>
      </c>
    </row>
    <row r="939" spans="1:7" x14ac:dyDescent="0.25">
      <c r="A939">
        <v>938</v>
      </c>
      <c r="B939" t="s">
        <v>1879</v>
      </c>
      <c r="C939" t="s">
        <v>21</v>
      </c>
      <c r="D939">
        <v>25</v>
      </c>
      <c r="E939" t="s">
        <v>9</v>
      </c>
      <c r="F939" s="1">
        <v>44427</v>
      </c>
      <c r="G939" t="s">
        <v>1880</v>
      </c>
    </row>
    <row r="940" spans="1:7" x14ac:dyDescent="0.25">
      <c r="A940">
        <v>939</v>
      </c>
      <c r="B940" t="s">
        <v>1881</v>
      </c>
      <c r="C940" t="s">
        <v>28</v>
      </c>
      <c r="D940">
        <v>60</v>
      </c>
      <c r="E940" t="s">
        <v>13</v>
      </c>
      <c r="F940" s="1">
        <v>45461</v>
      </c>
      <c r="G940" t="s">
        <v>1882</v>
      </c>
    </row>
    <row r="941" spans="1:7" x14ac:dyDescent="0.25">
      <c r="A941">
        <v>940</v>
      </c>
      <c r="B941" t="s">
        <v>1883</v>
      </c>
      <c r="C941" t="s">
        <v>12</v>
      </c>
      <c r="D941">
        <v>69</v>
      </c>
      <c r="E941" t="s">
        <v>9</v>
      </c>
      <c r="F941" s="1">
        <v>45249</v>
      </c>
      <c r="G941" t="s">
        <v>1884</v>
      </c>
    </row>
    <row r="942" spans="1:7" x14ac:dyDescent="0.25">
      <c r="A942">
        <v>941</v>
      </c>
      <c r="B942" t="s">
        <v>1885</v>
      </c>
      <c r="C942" t="s">
        <v>21</v>
      </c>
      <c r="D942">
        <v>50</v>
      </c>
      <c r="E942" t="s">
        <v>13</v>
      </c>
      <c r="F942" s="1">
        <v>44903</v>
      </c>
      <c r="G942" t="s">
        <v>1886</v>
      </c>
    </row>
    <row r="943" spans="1:7" x14ac:dyDescent="0.25">
      <c r="A943">
        <v>942</v>
      </c>
      <c r="B943" t="s">
        <v>1887</v>
      </c>
      <c r="C943" t="s">
        <v>8</v>
      </c>
      <c r="D943">
        <v>44</v>
      </c>
      <c r="E943" t="s">
        <v>9</v>
      </c>
      <c r="F943" s="1">
        <v>44137</v>
      </c>
      <c r="G943" t="s">
        <v>1888</v>
      </c>
    </row>
    <row r="944" spans="1:7" x14ac:dyDescent="0.25">
      <c r="A944">
        <v>943</v>
      </c>
      <c r="B944" t="s">
        <v>1889</v>
      </c>
      <c r="C944" t="s">
        <v>8</v>
      </c>
      <c r="D944">
        <v>42</v>
      </c>
      <c r="E944" t="s">
        <v>13</v>
      </c>
      <c r="F944" s="1">
        <v>44203</v>
      </c>
      <c r="G944" t="s">
        <v>1890</v>
      </c>
    </row>
    <row r="945" spans="1:7" x14ac:dyDescent="0.25">
      <c r="A945">
        <v>944</v>
      </c>
      <c r="B945" t="s">
        <v>1891</v>
      </c>
      <c r="C945" t="s">
        <v>28</v>
      </c>
      <c r="D945">
        <v>24</v>
      </c>
      <c r="E945" t="s">
        <v>13</v>
      </c>
      <c r="F945" s="1">
        <v>44762</v>
      </c>
      <c r="G945" t="s">
        <v>1892</v>
      </c>
    </row>
    <row r="946" spans="1:7" x14ac:dyDescent="0.25">
      <c r="A946">
        <v>945</v>
      </c>
      <c r="B946" t="s">
        <v>1893</v>
      </c>
      <c r="C946" t="s">
        <v>12</v>
      </c>
      <c r="D946">
        <v>63</v>
      </c>
      <c r="E946" t="s">
        <v>9</v>
      </c>
      <c r="F946" s="1">
        <v>45574</v>
      </c>
      <c r="G946" t="s">
        <v>1894</v>
      </c>
    </row>
    <row r="947" spans="1:7" x14ac:dyDescent="0.25">
      <c r="A947">
        <v>946</v>
      </c>
      <c r="B947" t="s">
        <v>1895</v>
      </c>
      <c r="C947" t="s">
        <v>8</v>
      </c>
      <c r="D947">
        <v>52</v>
      </c>
      <c r="E947" t="s">
        <v>9</v>
      </c>
      <c r="F947" s="1">
        <v>45398</v>
      </c>
      <c r="G947" t="s">
        <v>1896</v>
      </c>
    </row>
    <row r="948" spans="1:7" x14ac:dyDescent="0.25">
      <c r="A948">
        <v>947</v>
      </c>
      <c r="B948" t="s">
        <v>1897</v>
      </c>
      <c r="C948" t="s">
        <v>28</v>
      </c>
      <c r="D948">
        <v>49</v>
      </c>
      <c r="E948" t="s">
        <v>13</v>
      </c>
      <c r="F948" s="1">
        <v>44003</v>
      </c>
      <c r="G948" t="s">
        <v>1898</v>
      </c>
    </row>
    <row r="949" spans="1:7" x14ac:dyDescent="0.25">
      <c r="A949">
        <v>948</v>
      </c>
      <c r="B949" t="s">
        <v>1899</v>
      </c>
      <c r="C949" t="s">
        <v>8</v>
      </c>
      <c r="D949">
        <v>59</v>
      </c>
      <c r="E949" t="s">
        <v>13</v>
      </c>
      <c r="F949" s="1">
        <v>44186</v>
      </c>
      <c r="G949" t="s">
        <v>1900</v>
      </c>
    </row>
    <row r="950" spans="1:7" x14ac:dyDescent="0.25">
      <c r="A950">
        <v>949</v>
      </c>
      <c r="B950" t="s">
        <v>1901</v>
      </c>
      <c r="C950" t="s">
        <v>28</v>
      </c>
      <c r="D950">
        <v>47</v>
      </c>
      <c r="E950" t="s">
        <v>13</v>
      </c>
      <c r="F950" s="1">
        <v>44881</v>
      </c>
      <c r="G950" t="s">
        <v>1902</v>
      </c>
    </row>
    <row r="951" spans="1:7" x14ac:dyDescent="0.25">
      <c r="A951">
        <v>950</v>
      </c>
      <c r="B951" t="s">
        <v>1903</v>
      </c>
      <c r="C951" t="s">
        <v>12</v>
      </c>
      <c r="D951">
        <v>26</v>
      </c>
      <c r="E951" t="s">
        <v>13</v>
      </c>
      <c r="F951" s="1">
        <v>45219</v>
      </c>
      <c r="G951" t="s">
        <v>1904</v>
      </c>
    </row>
    <row r="952" spans="1:7" x14ac:dyDescent="0.25">
      <c r="A952">
        <v>951</v>
      </c>
      <c r="B952" t="s">
        <v>1905</v>
      </c>
      <c r="C952" t="s">
        <v>8</v>
      </c>
      <c r="D952">
        <v>62</v>
      </c>
      <c r="E952" t="s">
        <v>13</v>
      </c>
      <c r="F952" s="1">
        <v>43914</v>
      </c>
      <c r="G952" t="s">
        <v>1906</v>
      </c>
    </row>
    <row r="953" spans="1:7" x14ac:dyDescent="0.25">
      <c r="A953">
        <v>952</v>
      </c>
      <c r="B953" t="s">
        <v>1907</v>
      </c>
      <c r="C953" t="s">
        <v>21</v>
      </c>
      <c r="D953">
        <v>67</v>
      </c>
      <c r="E953" t="s">
        <v>9</v>
      </c>
      <c r="F953" s="1">
        <v>44340</v>
      </c>
      <c r="G953" t="s">
        <v>1908</v>
      </c>
    </row>
    <row r="954" spans="1:7" x14ac:dyDescent="0.25">
      <c r="A954">
        <v>953</v>
      </c>
      <c r="B954" t="s">
        <v>1909</v>
      </c>
      <c r="C954" t="s">
        <v>28</v>
      </c>
      <c r="D954">
        <v>44</v>
      </c>
      <c r="E954" t="s">
        <v>9</v>
      </c>
      <c r="F954" s="1">
        <v>44241</v>
      </c>
      <c r="G954" t="s">
        <v>1910</v>
      </c>
    </row>
    <row r="955" spans="1:7" x14ac:dyDescent="0.25">
      <c r="A955">
        <v>954</v>
      </c>
      <c r="B955" t="s">
        <v>1911</v>
      </c>
      <c r="C955" t="s">
        <v>8</v>
      </c>
      <c r="D955">
        <v>23</v>
      </c>
      <c r="E955" t="s">
        <v>13</v>
      </c>
      <c r="F955" s="1">
        <v>45445</v>
      </c>
      <c r="G955" t="s">
        <v>1912</v>
      </c>
    </row>
    <row r="956" spans="1:7" x14ac:dyDescent="0.25">
      <c r="A956">
        <v>955</v>
      </c>
      <c r="B956" t="s">
        <v>1913</v>
      </c>
      <c r="C956" t="s">
        <v>12</v>
      </c>
      <c r="D956">
        <v>55</v>
      </c>
      <c r="E956" t="s">
        <v>13</v>
      </c>
      <c r="F956" s="1">
        <v>44820</v>
      </c>
      <c r="G956" t="s">
        <v>1914</v>
      </c>
    </row>
    <row r="957" spans="1:7" x14ac:dyDescent="0.25">
      <c r="A957">
        <v>956</v>
      </c>
      <c r="B957" t="s">
        <v>1915</v>
      </c>
      <c r="C957" t="s">
        <v>21</v>
      </c>
      <c r="D957">
        <v>55</v>
      </c>
      <c r="E957" t="s">
        <v>9</v>
      </c>
      <c r="F957" s="1">
        <v>44699</v>
      </c>
      <c r="G957" t="s">
        <v>1916</v>
      </c>
    </row>
    <row r="958" spans="1:7" x14ac:dyDescent="0.25">
      <c r="A958">
        <v>957</v>
      </c>
      <c r="B958" t="s">
        <v>1917</v>
      </c>
      <c r="C958" t="s">
        <v>8</v>
      </c>
      <c r="D958">
        <v>59</v>
      </c>
      <c r="E958" t="s">
        <v>9</v>
      </c>
      <c r="F958" s="1">
        <v>44834</v>
      </c>
      <c r="G958" t="s">
        <v>1918</v>
      </c>
    </row>
    <row r="959" spans="1:7" x14ac:dyDescent="0.25">
      <c r="A959">
        <v>958</v>
      </c>
      <c r="B959" t="s">
        <v>1919</v>
      </c>
      <c r="C959" t="s">
        <v>21</v>
      </c>
      <c r="D959">
        <v>60</v>
      </c>
      <c r="E959" t="s">
        <v>9</v>
      </c>
      <c r="F959" s="1">
        <v>44801</v>
      </c>
      <c r="G959" t="s">
        <v>1920</v>
      </c>
    </row>
    <row r="960" spans="1:7" x14ac:dyDescent="0.25">
      <c r="A960">
        <v>959</v>
      </c>
      <c r="B960" t="s">
        <v>1921</v>
      </c>
      <c r="C960" t="s">
        <v>12</v>
      </c>
      <c r="D960">
        <v>38</v>
      </c>
      <c r="E960" t="s">
        <v>9</v>
      </c>
      <c r="F960" s="1">
        <v>45555</v>
      </c>
      <c r="G960" t="s">
        <v>1922</v>
      </c>
    </row>
    <row r="961" spans="1:7" x14ac:dyDescent="0.25">
      <c r="A961">
        <v>960</v>
      </c>
      <c r="B961" t="s">
        <v>1923</v>
      </c>
      <c r="C961" t="s">
        <v>8</v>
      </c>
      <c r="D961">
        <v>63</v>
      </c>
      <c r="E961" t="s">
        <v>13</v>
      </c>
      <c r="F961" s="1">
        <v>44043</v>
      </c>
      <c r="G961" t="s">
        <v>1924</v>
      </c>
    </row>
    <row r="962" spans="1:7" x14ac:dyDescent="0.25">
      <c r="A962">
        <v>961</v>
      </c>
      <c r="B962" t="s">
        <v>1925</v>
      </c>
      <c r="C962" t="s">
        <v>28</v>
      </c>
      <c r="D962">
        <v>45</v>
      </c>
      <c r="E962" t="s">
        <v>13</v>
      </c>
      <c r="F962" s="1">
        <v>44027</v>
      </c>
      <c r="G962" t="s">
        <v>1926</v>
      </c>
    </row>
    <row r="963" spans="1:7" x14ac:dyDescent="0.25">
      <c r="A963">
        <v>962</v>
      </c>
      <c r="B963" t="s">
        <v>1927</v>
      </c>
      <c r="C963" t="s">
        <v>8</v>
      </c>
      <c r="D963">
        <v>18</v>
      </c>
      <c r="E963" t="s">
        <v>13</v>
      </c>
      <c r="F963" s="1">
        <v>44933</v>
      </c>
      <c r="G963" t="s">
        <v>1928</v>
      </c>
    </row>
    <row r="964" spans="1:7" x14ac:dyDescent="0.25">
      <c r="A964">
        <v>963</v>
      </c>
      <c r="B964" t="s">
        <v>1929</v>
      </c>
      <c r="C964" t="s">
        <v>21</v>
      </c>
      <c r="D964">
        <v>41</v>
      </c>
      <c r="E964" t="s">
        <v>13</v>
      </c>
      <c r="F964" s="1">
        <v>45447</v>
      </c>
      <c r="G964" t="s">
        <v>1930</v>
      </c>
    </row>
    <row r="965" spans="1:7" x14ac:dyDescent="0.25">
      <c r="A965">
        <v>964</v>
      </c>
      <c r="B965" t="s">
        <v>1931</v>
      </c>
      <c r="C965" t="s">
        <v>12</v>
      </c>
      <c r="D965">
        <v>62</v>
      </c>
      <c r="E965" t="s">
        <v>9</v>
      </c>
      <c r="F965" s="1">
        <v>44942</v>
      </c>
      <c r="G965" t="s">
        <v>1932</v>
      </c>
    </row>
    <row r="966" spans="1:7" x14ac:dyDescent="0.25">
      <c r="A966">
        <v>965</v>
      </c>
      <c r="B966" t="s">
        <v>1933</v>
      </c>
      <c r="C966" t="s">
        <v>8</v>
      </c>
      <c r="D966">
        <v>66</v>
      </c>
      <c r="E966" t="s">
        <v>9</v>
      </c>
      <c r="F966" s="1">
        <v>44689</v>
      </c>
      <c r="G966" t="s">
        <v>1934</v>
      </c>
    </row>
    <row r="967" spans="1:7" x14ac:dyDescent="0.25">
      <c r="A967">
        <v>966</v>
      </c>
      <c r="B967" t="s">
        <v>1935</v>
      </c>
      <c r="C967" t="s">
        <v>8</v>
      </c>
      <c r="D967">
        <v>51</v>
      </c>
      <c r="E967" t="s">
        <v>13</v>
      </c>
      <c r="F967" s="1">
        <v>45098</v>
      </c>
      <c r="G967" t="s">
        <v>1936</v>
      </c>
    </row>
    <row r="968" spans="1:7" x14ac:dyDescent="0.25">
      <c r="A968">
        <v>967</v>
      </c>
      <c r="B968" t="s">
        <v>1937</v>
      </c>
      <c r="C968" t="s">
        <v>18</v>
      </c>
      <c r="D968">
        <v>53</v>
      </c>
      <c r="E968" t="s">
        <v>13</v>
      </c>
      <c r="F968" s="1">
        <v>44346</v>
      </c>
      <c r="G968" t="s">
        <v>1938</v>
      </c>
    </row>
    <row r="969" spans="1:7" x14ac:dyDescent="0.25">
      <c r="A969">
        <v>968</v>
      </c>
      <c r="B969" t="s">
        <v>1939</v>
      </c>
      <c r="C969" t="s">
        <v>21</v>
      </c>
      <c r="D969">
        <v>18</v>
      </c>
      <c r="E969" t="s">
        <v>13</v>
      </c>
      <c r="F969" s="1">
        <v>44560</v>
      </c>
      <c r="G969" t="s">
        <v>1940</v>
      </c>
    </row>
    <row r="970" spans="1:7" x14ac:dyDescent="0.25">
      <c r="A970">
        <v>969</v>
      </c>
      <c r="B970" t="s">
        <v>1941</v>
      </c>
      <c r="C970" t="s">
        <v>18</v>
      </c>
      <c r="D970">
        <v>59</v>
      </c>
      <c r="E970" t="s">
        <v>13</v>
      </c>
      <c r="F970" s="1">
        <v>43847</v>
      </c>
      <c r="G970" t="s">
        <v>1942</v>
      </c>
    </row>
    <row r="971" spans="1:7" x14ac:dyDescent="0.25">
      <c r="A971">
        <v>970</v>
      </c>
      <c r="B971" t="s">
        <v>1943</v>
      </c>
      <c r="C971" t="s">
        <v>8</v>
      </c>
      <c r="D971">
        <v>35</v>
      </c>
      <c r="E971" t="s">
        <v>9</v>
      </c>
      <c r="F971" s="1">
        <v>44648</v>
      </c>
      <c r="G971" t="s">
        <v>1944</v>
      </c>
    </row>
    <row r="972" spans="1:7" x14ac:dyDescent="0.25">
      <c r="A972">
        <v>971</v>
      </c>
      <c r="B972" t="s">
        <v>1945</v>
      </c>
      <c r="C972" t="s">
        <v>21</v>
      </c>
      <c r="D972">
        <v>53</v>
      </c>
      <c r="E972" t="s">
        <v>9</v>
      </c>
      <c r="F972" s="1">
        <v>44519</v>
      </c>
      <c r="G972" t="s">
        <v>1946</v>
      </c>
    </row>
    <row r="973" spans="1:7" x14ac:dyDescent="0.25">
      <c r="A973">
        <v>972</v>
      </c>
      <c r="B973" t="s">
        <v>1947</v>
      </c>
      <c r="C973" t="s">
        <v>12</v>
      </c>
      <c r="D973">
        <v>35</v>
      </c>
      <c r="E973" t="s">
        <v>13</v>
      </c>
      <c r="F973" s="1">
        <v>45168</v>
      </c>
      <c r="G973" t="s">
        <v>1948</v>
      </c>
    </row>
    <row r="974" spans="1:7" x14ac:dyDescent="0.25">
      <c r="A974">
        <v>973</v>
      </c>
      <c r="B974" t="s">
        <v>1949</v>
      </c>
      <c r="C974" t="s">
        <v>8</v>
      </c>
      <c r="D974">
        <v>31</v>
      </c>
      <c r="E974" t="s">
        <v>13</v>
      </c>
      <c r="F974" s="1">
        <v>45358</v>
      </c>
      <c r="G974" t="s">
        <v>1950</v>
      </c>
    </row>
    <row r="975" spans="1:7" x14ac:dyDescent="0.25">
      <c r="A975">
        <v>974</v>
      </c>
      <c r="B975" t="s">
        <v>1951</v>
      </c>
      <c r="C975" t="s">
        <v>21</v>
      </c>
      <c r="D975">
        <v>20</v>
      </c>
      <c r="E975" t="s">
        <v>13</v>
      </c>
      <c r="F975" s="1">
        <v>43853</v>
      </c>
      <c r="G975" t="s">
        <v>1952</v>
      </c>
    </row>
    <row r="976" spans="1:7" x14ac:dyDescent="0.25">
      <c r="A976">
        <v>975</v>
      </c>
      <c r="B976" t="s">
        <v>1953</v>
      </c>
      <c r="C976" t="s">
        <v>12</v>
      </c>
      <c r="D976">
        <v>69</v>
      </c>
      <c r="E976" t="s">
        <v>13</v>
      </c>
      <c r="F976" s="1">
        <v>44557</v>
      </c>
      <c r="G976" t="s">
        <v>1954</v>
      </c>
    </row>
    <row r="977" spans="1:7" x14ac:dyDescent="0.25">
      <c r="A977">
        <v>976</v>
      </c>
      <c r="B977" t="s">
        <v>1955</v>
      </c>
      <c r="C977" t="s">
        <v>12</v>
      </c>
      <c r="D977">
        <v>38</v>
      </c>
      <c r="E977" t="s">
        <v>9</v>
      </c>
      <c r="F977" s="1">
        <v>44144</v>
      </c>
      <c r="G977" t="s">
        <v>1956</v>
      </c>
    </row>
    <row r="978" spans="1:7" x14ac:dyDescent="0.25">
      <c r="A978">
        <v>977</v>
      </c>
      <c r="B978" t="s">
        <v>1957</v>
      </c>
      <c r="C978" t="s">
        <v>21</v>
      </c>
      <c r="D978">
        <v>20</v>
      </c>
      <c r="E978" t="s">
        <v>9</v>
      </c>
      <c r="F978" s="1">
        <v>44224</v>
      </c>
      <c r="G978" t="s">
        <v>1958</v>
      </c>
    </row>
    <row r="979" spans="1:7" x14ac:dyDescent="0.25">
      <c r="A979">
        <v>978</v>
      </c>
      <c r="B979" t="s">
        <v>1959</v>
      </c>
      <c r="C979" t="s">
        <v>12</v>
      </c>
      <c r="D979">
        <v>39</v>
      </c>
      <c r="E979" t="s">
        <v>13</v>
      </c>
      <c r="F979" s="1">
        <v>45224</v>
      </c>
      <c r="G979" t="s">
        <v>1960</v>
      </c>
    </row>
    <row r="980" spans="1:7" x14ac:dyDescent="0.25">
      <c r="A980">
        <v>979</v>
      </c>
      <c r="B980" t="s">
        <v>1961</v>
      </c>
      <c r="C980" t="s">
        <v>21</v>
      </c>
      <c r="D980">
        <v>38</v>
      </c>
      <c r="E980" t="s">
        <v>13</v>
      </c>
      <c r="F980" s="1">
        <v>44137</v>
      </c>
      <c r="G980" t="s">
        <v>1962</v>
      </c>
    </row>
    <row r="981" spans="1:7" x14ac:dyDescent="0.25">
      <c r="A981">
        <v>980</v>
      </c>
      <c r="B981" t="s">
        <v>1963</v>
      </c>
      <c r="C981" t="s">
        <v>8</v>
      </c>
      <c r="D981">
        <v>24</v>
      </c>
      <c r="E981" t="s">
        <v>13</v>
      </c>
      <c r="F981" s="1">
        <v>44673</v>
      </c>
      <c r="G981" t="s">
        <v>1964</v>
      </c>
    </row>
    <row r="982" spans="1:7" x14ac:dyDescent="0.25">
      <c r="A982">
        <v>981</v>
      </c>
      <c r="B982" t="s">
        <v>1965</v>
      </c>
      <c r="C982" t="s">
        <v>8</v>
      </c>
      <c r="D982">
        <v>22</v>
      </c>
      <c r="E982" t="s">
        <v>13</v>
      </c>
      <c r="F982" s="1">
        <v>44127</v>
      </c>
      <c r="G982" t="s">
        <v>1966</v>
      </c>
    </row>
    <row r="983" spans="1:7" x14ac:dyDescent="0.25">
      <c r="A983">
        <v>982</v>
      </c>
      <c r="B983" t="s">
        <v>1967</v>
      </c>
      <c r="C983" t="s">
        <v>8</v>
      </c>
      <c r="D983">
        <v>19</v>
      </c>
      <c r="E983" t="s">
        <v>13</v>
      </c>
      <c r="F983" s="1">
        <v>43940</v>
      </c>
      <c r="G983" t="s">
        <v>1968</v>
      </c>
    </row>
    <row r="984" spans="1:7" x14ac:dyDescent="0.25">
      <c r="A984">
        <v>983</v>
      </c>
      <c r="B984" t="s">
        <v>1969</v>
      </c>
      <c r="C984" t="s">
        <v>21</v>
      </c>
      <c r="D984">
        <v>26</v>
      </c>
      <c r="E984" t="s">
        <v>13</v>
      </c>
      <c r="F984" s="1">
        <v>45166</v>
      </c>
      <c r="G984" t="s">
        <v>1970</v>
      </c>
    </row>
    <row r="985" spans="1:7" x14ac:dyDescent="0.25">
      <c r="A985">
        <v>984</v>
      </c>
      <c r="B985" t="s">
        <v>1971</v>
      </c>
      <c r="C985" t="s">
        <v>18</v>
      </c>
      <c r="D985">
        <v>44</v>
      </c>
      <c r="E985" t="s">
        <v>9</v>
      </c>
      <c r="F985" s="1">
        <v>44386</v>
      </c>
      <c r="G985" t="s">
        <v>1972</v>
      </c>
    </row>
    <row r="986" spans="1:7" x14ac:dyDescent="0.25">
      <c r="A986">
        <v>985</v>
      </c>
      <c r="B986" t="s">
        <v>1973</v>
      </c>
      <c r="C986" t="s">
        <v>8</v>
      </c>
      <c r="D986">
        <v>30</v>
      </c>
      <c r="E986" t="s">
        <v>13</v>
      </c>
      <c r="F986" s="1">
        <v>43936</v>
      </c>
      <c r="G986" t="s">
        <v>1974</v>
      </c>
    </row>
    <row r="987" spans="1:7" x14ac:dyDescent="0.25">
      <c r="A987">
        <v>986</v>
      </c>
      <c r="B987" t="s">
        <v>1975</v>
      </c>
      <c r="C987" t="s">
        <v>18</v>
      </c>
      <c r="D987">
        <v>38</v>
      </c>
      <c r="E987" t="s">
        <v>9</v>
      </c>
      <c r="F987" s="1">
        <v>44616</v>
      </c>
      <c r="G987" t="s">
        <v>1976</v>
      </c>
    </row>
    <row r="988" spans="1:7" x14ac:dyDescent="0.25">
      <c r="A988">
        <v>987</v>
      </c>
      <c r="B988" t="s">
        <v>1977</v>
      </c>
      <c r="C988" t="s">
        <v>21</v>
      </c>
      <c r="D988">
        <v>69</v>
      </c>
      <c r="E988" t="s">
        <v>9</v>
      </c>
      <c r="F988" s="1">
        <v>44794</v>
      </c>
      <c r="G988" t="s">
        <v>1978</v>
      </c>
    </row>
    <row r="989" spans="1:7" x14ac:dyDescent="0.25">
      <c r="A989">
        <v>988</v>
      </c>
      <c r="B989" t="s">
        <v>1979</v>
      </c>
      <c r="C989" t="s">
        <v>18</v>
      </c>
      <c r="D989">
        <v>67</v>
      </c>
      <c r="E989" t="s">
        <v>13</v>
      </c>
      <c r="F989" s="1">
        <v>45389</v>
      </c>
      <c r="G989" t="s">
        <v>1980</v>
      </c>
    </row>
    <row r="990" spans="1:7" x14ac:dyDescent="0.25">
      <c r="A990">
        <v>989</v>
      </c>
      <c r="B990" t="s">
        <v>1981</v>
      </c>
      <c r="C990" t="s">
        <v>12</v>
      </c>
      <c r="D990">
        <v>37</v>
      </c>
      <c r="E990" t="s">
        <v>9</v>
      </c>
      <c r="F990" s="1">
        <v>45364</v>
      </c>
      <c r="G990" t="s">
        <v>1982</v>
      </c>
    </row>
    <row r="991" spans="1:7" x14ac:dyDescent="0.25">
      <c r="A991">
        <v>990</v>
      </c>
      <c r="B991" t="s">
        <v>1983</v>
      </c>
      <c r="C991" t="s">
        <v>8</v>
      </c>
      <c r="D991">
        <v>49</v>
      </c>
      <c r="E991" t="s">
        <v>13</v>
      </c>
      <c r="F991" s="1">
        <v>44270</v>
      </c>
      <c r="G991" t="s">
        <v>1984</v>
      </c>
    </row>
    <row r="992" spans="1:7" x14ac:dyDescent="0.25">
      <c r="A992">
        <v>991</v>
      </c>
      <c r="B992" t="s">
        <v>1985</v>
      </c>
      <c r="C992" t="s">
        <v>28</v>
      </c>
      <c r="D992">
        <v>68</v>
      </c>
      <c r="E992" t="s">
        <v>13</v>
      </c>
      <c r="F992" s="1">
        <v>44741</v>
      </c>
      <c r="G992" t="s">
        <v>1986</v>
      </c>
    </row>
    <row r="993" spans="1:7" x14ac:dyDescent="0.25">
      <c r="A993">
        <v>992</v>
      </c>
      <c r="B993" t="s">
        <v>1987</v>
      </c>
      <c r="C993" t="s">
        <v>12</v>
      </c>
      <c r="D993">
        <v>22</v>
      </c>
      <c r="E993" t="s">
        <v>9</v>
      </c>
      <c r="F993" s="1">
        <v>43917</v>
      </c>
      <c r="G993" t="s">
        <v>1988</v>
      </c>
    </row>
    <row r="994" spans="1:7" x14ac:dyDescent="0.25">
      <c r="A994">
        <v>993</v>
      </c>
      <c r="B994" t="s">
        <v>1989</v>
      </c>
      <c r="C994" t="s">
        <v>28</v>
      </c>
      <c r="D994">
        <v>38</v>
      </c>
      <c r="E994" t="s">
        <v>13</v>
      </c>
      <c r="F994" s="1">
        <v>45375</v>
      </c>
      <c r="G994" t="s">
        <v>1990</v>
      </c>
    </row>
    <row r="995" spans="1:7" x14ac:dyDescent="0.25">
      <c r="A995">
        <v>994</v>
      </c>
      <c r="B995" t="s">
        <v>1991</v>
      </c>
      <c r="C995" t="s">
        <v>18</v>
      </c>
      <c r="D995">
        <v>41</v>
      </c>
      <c r="E995" t="s">
        <v>9</v>
      </c>
      <c r="F995" s="1">
        <v>44665</v>
      </c>
      <c r="G995" t="s">
        <v>1992</v>
      </c>
    </row>
    <row r="996" spans="1:7" x14ac:dyDescent="0.25">
      <c r="A996">
        <v>995</v>
      </c>
      <c r="B996" t="s">
        <v>1993</v>
      </c>
      <c r="C996" t="s">
        <v>12</v>
      </c>
      <c r="D996">
        <v>64</v>
      </c>
      <c r="E996" t="s">
        <v>13</v>
      </c>
      <c r="F996" s="1">
        <v>44475</v>
      </c>
      <c r="G996" t="s">
        <v>1994</v>
      </c>
    </row>
    <row r="997" spans="1:7" x14ac:dyDescent="0.25">
      <c r="A997">
        <v>996</v>
      </c>
      <c r="B997" t="s">
        <v>1995</v>
      </c>
      <c r="C997" t="s">
        <v>8</v>
      </c>
      <c r="D997">
        <v>52</v>
      </c>
      <c r="E997" t="s">
        <v>9</v>
      </c>
      <c r="F997" s="1">
        <v>43888</v>
      </c>
      <c r="G997" t="s">
        <v>1996</v>
      </c>
    </row>
    <row r="998" spans="1:7" x14ac:dyDescent="0.25">
      <c r="A998">
        <v>997</v>
      </c>
      <c r="B998" t="s">
        <v>1997</v>
      </c>
      <c r="C998" t="s">
        <v>21</v>
      </c>
      <c r="D998">
        <v>41</v>
      </c>
      <c r="E998" t="s">
        <v>9</v>
      </c>
      <c r="F998" s="1">
        <v>44290</v>
      </c>
      <c r="G998" t="s">
        <v>1998</v>
      </c>
    </row>
    <row r="999" spans="1:7" x14ac:dyDescent="0.25">
      <c r="A999">
        <v>998</v>
      </c>
      <c r="B999" t="s">
        <v>1999</v>
      </c>
      <c r="C999" t="s">
        <v>18</v>
      </c>
      <c r="D999">
        <v>33</v>
      </c>
      <c r="E999" t="s">
        <v>13</v>
      </c>
      <c r="F999" s="1">
        <v>44322</v>
      </c>
      <c r="G999" t="s">
        <v>2000</v>
      </c>
    </row>
    <row r="1000" spans="1:7" x14ac:dyDescent="0.25">
      <c r="A1000">
        <v>999</v>
      </c>
      <c r="B1000" t="s">
        <v>2001</v>
      </c>
      <c r="C1000" t="s">
        <v>18</v>
      </c>
      <c r="D1000">
        <v>65</v>
      </c>
      <c r="E1000" t="s">
        <v>9</v>
      </c>
      <c r="F1000" s="1">
        <v>45512</v>
      </c>
      <c r="G1000" t="s">
        <v>2002</v>
      </c>
    </row>
    <row r="1001" spans="1:7" x14ac:dyDescent="0.25">
      <c r="A1001">
        <v>1000</v>
      </c>
      <c r="B1001" t="s">
        <v>2003</v>
      </c>
      <c r="C1001" t="s">
        <v>18</v>
      </c>
      <c r="D1001">
        <v>42</v>
      </c>
      <c r="E1001" t="s">
        <v>13</v>
      </c>
      <c r="F1001" s="1">
        <v>45337</v>
      </c>
      <c r="G1001" t="s">
        <v>2004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52FA-035E-49CD-9F0C-859FEAF9404E}">
  <dimension ref="A1:Q2001"/>
  <sheetViews>
    <sheetView tabSelected="1" topLeftCell="C1" workbookViewId="0">
      <selection activeCell="M1" sqref="M1:M1048576"/>
    </sheetView>
  </sheetViews>
  <sheetFormatPr defaultRowHeight="15" x14ac:dyDescent="0.25"/>
  <cols>
    <col min="1" max="1" width="10.28515625" customWidth="1"/>
    <col min="2" max="2" width="14.140625" customWidth="1"/>
    <col min="3" max="3" width="28.140625" customWidth="1"/>
    <col min="4" max="4" width="7.7109375" customWidth="1"/>
    <col min="5" max="5" width="12.85546875" customWidth="1"/>
    <col min="6" max="6" width="12.28515625" customWidth="1"/>
    <col min="7" max="7" width="11.7109375" customWidth="1"/>
    <col min="8" max="8" width="15.42578125" customWidth="1"/>
    <col min="9" max="9" width="13.28515625" customWidth="1"/>
    <col min="10" max="10" width="13.140625" customWidth="1"/>
    <col min="11" max="11" width="16.85546875" customWidth="1"/>
    <col min="12" max="12" width="12.5703125" style="1" customWidth="1"/>
    <col min="13" max="13" width="17.85546875" style="2" customWidth="1"/>
    <col min="14" max="14" width="10.85546875" customWidth="1"/>
    <col min="15" max="15" width="12.42578125" customWidth="1"/>
    <col min="16" max="16" width="17.5703125" customWidth="1"/>
    <col min="17" max="17" width="17.42578125" customWidth="1"/>
  </cols>
  <sheetData>
    <row r="1" spans="1:17" x14ac:dyDescent="0.25">
      <c r="A1" t="s">
        <v>2005</v>
      </c>
      <c r="B1" t="s">
        <v>0</v>
      </c>
      <c r="C1" t="s">
        <v>2623</v>
      </c>
      <c r="D1" t="s">
        <v>3</v>
      </c>
      <c r="E1" t="s">
        <v>4</v>
      </c>
      <c r="F1" t="s">
        <v>2</v>
      </c>
      <c r="G1" t="s">
        <v>2006</v>
      </c>
      <c r="H1" t="s">
        <v>2624</v>
      </c>
      <c r="I1" t="s">
        <v>2424</v>
      </c>
      <c r="J1" t="s">
        <v>2625</v>
      </c>
      <c r="K1" t="s">
        <v>2426</v>
      </c>
      <c r="L1" s="1" t="s">
        <v>2007</v>
      </c>
      <c r="M1" s="2" t="s">
        <v>2628</v>
      </c>
      <c r="N1" t="s">
        <v>2008</v>
      </c>
      <c r="O1" t="s">
        <v>2009</v>
      </c>
      <c r="P1" t="s">
        <v>2626</v>
      </c>
      <c r="Q1" t="s">
        <v>2627</v>
      </c>
    </row>
    <row r="2" spans="1:17" x14ac:dyDescent="0.25">
      <c r="A2">
        <v>1</v>
      </c>
      <c r="B2">
        <v>394</v>
      </c>
      <c r="C2" t="str">
        <f>_xlfn.XLOOKUP(tblOrders[[#This Row],[CustomerID]],tblCustomers[CustomerID],tblCustomers[CustomerName],"not found")</f>
        <v>Lori Roberts</v>
      </c>
      <c r="D2">
        <f>_xlfn.XLOOKUP(tblOrders[[#This Row],[CustomerID]],tblCustomers[CustomerID],tblCustomers[Age],"not found")</f>
        <v>35</v>
      </c>
      <c r="E2" t="str">
        <f>_xlfn.XLOOKUP(tblOrders[[#This Row],[CustomerID]],tblCustomers[CustomerID],tblCustomers[Gender],"not found")</f>
        <v>Female</v>
      </c>
      <c r="F2" t="str">
        <f>_xlfn.XLOOKUP(tblOrders[[#This Row],[CustomerID]],tblCustomers[CustomerID],tblCustomers[Region],"not found")</f>
        <v>East</v>
      </c>
      <c r="G2">
        <v>1005</v>
      </c>
      <c r="H2" t="str">
        <f>_xlfn.XLOOKUP(tblOrders[[#This Row],[ProductID]],tblProducts[ProductID],tblProducts[ProductName],"not found")</f>
        <v>Plan</v>
      </c>
      <c r="I2" t="str">
        <f>_xlfn.XLOOKUP(tblOrders[[#This Row],[ProductID]],tblProducts[ProductID],tblProducts[Category],"not found")</f>
        <v>Beauty</v>
      </c>
      <c r="J2">
        <f>_xlfn.XLOOKUP(tblOrders[[#This Row],[ProductID]],tblProducts[ProductID],tblProducts[UnitPrice],"not found")</f>
        <v>332.12</v>
      </c>
      <c r="K2" t="str">
        <f>_xlfn.XLOOKUP(tblOrders[[#This Row],[ProductID]],tblProducts[ProductID],tblProducts[Supplier],"not found")</f>
        <v>Gibson Inc</v>
      </c>
      <c r="L2" s="1" t="s">
        <v>2010</v>
      </c>
      <c r="M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44886</v>
      </c>
      <c r="N2">
        <v>2</v>
      </c>
      <c r="O2">
        <v>664.24</v>
      </c>
      <c r="P2">
        <f>tblOrders[[#This Row],[Quantity]]*tblOrders[[#This Row],[Unit Price]]</f>
        <v>664.24</v>
      </c>
      <c r="Q2">
        <f>tblOrders[[#This Row],[TotalSales]]-tblOrders[[#This Row],[Calculated Sales]]</f>
        <v>0</v>
      </c>
    </row>
    <row r="3" spans="1:17" x14ac:dyDescent="0.25">
      <c r="A3">
        <v>296</v>
      </c>
      <c r="B3">
        <v>271</v>
      </c>
      <c r="C3" t="str">
        <f>_xlfn.XLOOKUP(tblOrders[[#This Row],[CustomerID]],tblCustomers[CustomerID],tblCustomers[CustomerName],"not found")</f>
        <v>Katherine Bowman</v>
      </c>
      <c r="D3">
        <f>_xlfn.XLOOKUP(tblOrders[[#This Row],[CustomerID]],tblCustomers[CustomerID],tblCustomers[Age],"not found")</f>
        <v>37</v>
      </c>
      <c r="E3" t="str">
        <f>_xlfn.XLOOKUP(tblOrders[[#This Row],[CustomerID]],tblCustomers[CustomerID],tblCustomers[Gender],"not found")</f>
        <v>Female</v>
      </c>
      <c r="F3" t="str">
        <f>_xlfn.XLOOKUP(tblOrders[[#This Row],[CustomerID]],tblCustomers[CustomerID],tblCustomers[Region],"not found")</f>
        <v>North</v>
      </c>
      <c r="G3">
        <v>1005</v>
      </c>
      <c r="H3" t="str">
        <f>_xlfn.XLOOKUP(tblOrders[[#This Row],[ProductID]],tblProducts[ProductID],tblProducts[ProductName],"not found")</f>
        <v>Plan</v>
      </c>
      <c r="I3" t="str">
        <f>_xlfn.XLOOKUP(tblOrders[[#This Row],[ProductID]],tblProducts[ProductID],tblProducts[Category],"not found")</f>
        <v>Beauty</v>
      </c>
      <c r="J3">
        <f>_xlfn.XLOOKUP(tblOrders[[#This Row],[ProductID]],tblProducts[ProductID],tblProducts[UnitPrice],"not found")</f>
        <v>332.12</v>
      </c>
      <c r="K3" t="str">
        <f>_xlfn.XLOOKUP(tblOrders[[#This Row],[ProductID]],tblProducts[ProductID],tblProducts[Supplier],"not found")</f>
        <v>Gibson Inc</v>
      </c>
      <c r="L3" s="1">
        <v>45239</v>
      </c>
      <c r="M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45239</v>
      </c>
      <c r="N3">
        <v>3</v>
      </c>
      <c r="O3">
        <v>996.36</v>
      </c>
      <c r="P3">
        <f>tblOrders[[#This Row],[Quantity]]*tblOrders[[#This Row],[Unit Price]]</f>
        <v>996.36</v>
      </c>
      <c r="Q3">
        <f>tblOrders[[#This Row],[TotalSales]]-tblOrders[[#This Row],[Calculated Sales]]</f>
        <v>0</v>
      </c>
    </row>
    <row r="4" spans="1:17" x14ac:dyDescent="0.25">
      <c r="A4">
        <v>549</v>
      </c>
      <c r="B4">
        <v>190</v>
      </c>
      <c r="C4" t="str">
        <f>_xlfn.XLOOKUP(tblOrders[[#This Row],[CustomerID]],tblCustomers[CustomerID],tblCustomers[CustomerName],"not found")</f>
        <v>Jessica Flores</v>
      </c>
      <c r="D4">
        <f>_xlfn.XLOOKUP(tblOrders[[#This Row],[CustomerID]],tblCustomers[CustomerID],tblCustomers[Age],"not found")</f>
        <v>60</v>
      </c>
      <c r="E4" t="str">
        <f>_xlfn.XLOOKUP(tblOrders[[#This Row],[CustomerID]],tblCustomers[CustomerID],tblCustomers[Gender],"not found")</f>
        <v>Male</v>
      </c>
      <c r="F4" t="str">
        <f>_xlfn.XLOOKUP(tblOrders[[#This Row],[CustomerID]],tblCustomers[CustomerID],tblCustomers[Region],"not found")</f>
        <v>East</v>
      </c>
      <c r="G4">
        <v>1005</v>
      </c>
      <c r="H4" t="str">
        <f>_xlfn.XLOOKUP(tblOrders[[#This Row],[ProductID]],tblProducts[ProductID],tblProducts[ProductName],"not found")</f>
        <v>Plan</v>
      </c>
      <c r="I4" t="str">
        <f>_xlfn.XLOOKUP(tblOrders[[#This Row],[ProductID]],tblProducts[ProductID],tblProducts[Category],"not found")</f>
        <v>Beauty</v>
      </c>
      <c r="J4">
        <f>_xlfn.XLOOKUP(tblOrders[[#This Row],[ProductID]],tblProducts[ProductID],tblProducts[UnitPrice],"not found")</f>
        <v>332.12</v>
      </c>
      <c r="K4" t="str">
        <f>_xlfn.XLOOKUP(tblOrders[[#This Row],[ProductID]],tblProducts[ProductID],tblProducts[Supplier],"not found")</f>
        <v>Gibson Inc</v>
      </c>
      <c r="L4" s="1">
        <v>45175</v>
      </c>
      <c r="M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45175</v>
      </c>
      <c r="N4">
        <v>4</v>
      </c>
      <c r="O4">
        <v>1328.48</v>
      </c>
      <c r="P4">
        <f>tblOrders[[#This Row],[Quantity]]*tblOrders[[#This Row],[Unit Price]]</f>
        <v>1328.48</v>
      </c>
      <c r="Q4">
        <f>tblOrders[[#This Row],[TotalSales]]-tblOrders[[#This Row],[Calculated Sales]]</f>
        <v>0</v>
      </c>
    </row>
    <row r="5" spans="1:17" x14ac:dyDescent="0.25">
      <c r="A5">
        <v>606</v>
      </c>
      <c r="B5">
        <v>280</v>
      </c>
      <c r="C5" t="str">
        <f>_xlfn.XLOOKUP(tblOrders[[#This Row],[CustomerID]],tblCustomers[CustomerID],tblCustomers[CustomerName],"not found")</f>
        <v>George Reynolds</v>
      </c>
      <c r="D5">
        <f>_xlfn.XLOOKUP(tblOrders[[#This Row],[CustomerID]],tblCustomers[CustomerID],tblCustomers[Age],"not found")</f>
        <v>67</v>
      </c>
      <c r="E5" t="str">
        <f>_xlfn.XLOOKUP(tblOrders[[#This Row],[CustomerID]],tblCustomers[CustomerID],tblCustomers[Gender],"not found")</f>
        <v>Male</v>
      </c>
      <c r="F5" t="str">
        <f>_xlfn.XLOOKUP(tblOrders[[#This Row],[CustomerID]],tblCustomers[CustomerID],tblCustomers[Region],"not found")</f>
        <v>North</v>
      </c>
      <c r="G5">
        <v>1005</v>
      </c>
      <c r="H5" t="str">
        <f>_xlfn.XLOOKUP(tblOrders[[#This Row],[ProductID]],tblProducts[ProductID],tblProducts[ProductName],"not found")</f>
        <v>Plan</v>
      </c>
      <c r="I5" t="str">
        <f>_xlfn.XLOOKUP(tblOrders[[#This Row],[ProductID]],tblProducts[ProductID],tblProducts[Category],"not found")</f>
        <v>Beauty</v>
      </c>
      <c r="J5">
        <f>_xlfn.XLOOKUP(tblOrders[[#This Row],[ProductID]],tblProducts[ProductID],tblProducts[UnitPrice],"not found")</f>
        <v>332.12</v>
      </c>
      <c r="K5" t="str">
        <f>_xlfn.XLOOKUP(tblOrders[[#This Row],[ProductID]],tblProducts[ProductID],tblProducts[Supplier],"not found")</f>
        <v>Gibson Inc</v>
      </c>
      <c r="L5" s="1" t="s">
        <v>2011</v>
      </c>
      <c r="M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45227</v>
      </c>
      <c r="N5">
        <v>6</v>
      </c>
      <c r="O5">
        <v>1992.72</v>
      </c>
      <c r="P5">
        <f>tblOrders[[#This Row],[Quantity]]*tblOrders[[#This Row],[Unit Price]]</f>
        <v>1992.72</v>
      </c>
      <c r="Q5">
        <f>tblOrders[[#This Row],[TotalSales]]-tblOrders[[#This Row],[Calculated Sales]]</f>
        <v>0</v>
      </c>
    </row>
    <row r="6" spans="1:17" x14ac:dyDescent="0.25">
      <c r="A6">
        <v>776</v>
      </c>
      <c r="B6">
        <v>308</v>
      </c>
      <c r="C6" t="str">
        <f>_xlfn.XLOOKUP(tblOrders[[#This Row],[CustomerID]],tblCustomers[CustomerID],tblCustomers[CustomerName],"not found")</f>
        <v>Christopher Schmitt</v>
      </c>
      <c r="D6">
        <f>_xlfn.XLOOKUP(tblOrders[[#This Row],[CustomerID]],tblCustomers[CustomerID],tblCustomers[Age],"not found")</f>
        <v>21</v>
      </c>
      <c r="E6" t="str">
        <f>_xlfn.XLOOKUP(tblOrders[[#This Row],[CustomerID]],tblCustomers[CustomerID],tblCustomers[Gender],"not found")</f>
        <v>Male</v>
      </c>
      <c r="F6" t="str">
        <f>_xlfn.XLOOKUP(tblOrders[[#This Row],[CustomerID]],tblCustomers[CustomerID],tblCustomers[Region],"not found")</f>
        <v>North</v>
      </c>
      <c r="G6">
        <v>1005</v>
      </c>
      <c r="H6" t="str">
        <f>_xlfn.XLOOKUP(tblOrders[[#This Row],[ProductID]],tblProducts[ProductID],tblProducts[ProductName],"not found")</f>
        <v>Plan</v>
      </c>
      <c r="I6" t="str">
        <f>_xlfn.XLOOKUP(tblOrders[[#This Row],[ProductID]],tblProducts[ProductID],tblProducts[Category],"not found")</f>
        <v>Beauty</v>
      </c>
      <c r="J6">
        <f>_xlfn.XLOOKUP(tblOrders[[#This Row],[ProductID]],tblProducts[ProductID],tblProducts[UnitPrice],"not found")</f>
        <v>332.12</v>
      </c>
      <c r="K6" t="str">
        <f>_xlfn.XLOOKUP(tblOrders[[#This Row],[ProductID]],tblProducts[ProductID],tblProducts[Supplier],"not found")</f>
        <v>Gibson Inc</v>
      </c>
      <c r="L6" s="1">
        <v>45419</v>
      </c>
      <c r="M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45419</v>
      </c>
      <c r="N6">
        <v>7</v>
      </c>
      <c r="O6">
        <v>2324.84</v>
      </c>
      <c r="P6">
        <f>tblOrders[[#This Row],[Quantity]]*tblOrders[[#This Row],[Unit Price]]</f>
        <v>2324.84</v>
      </c>
      <c r="Q6">
        <f>tblOrders[[#This Row],[TotalSales]]-tblOrders[[#This Row],[Calculated Sales]]</f>
        <v>0</v>
      </c>
    </row>
    <row r="7" spans="1:17" x14ac:dyDescent="0.25">
      <c r="A7">
        <v>881</v>
      </c>
      <c r="B7">
        <v>36</v>
      </c>
      <c r="C7" t="str">
        <f>_xlfn.XLOOKUP(tblOrders[[#This Row],[CustomerID]],tblCustomers[CustomerID],tblCustomers[CustomerName],"not found")</f>
        <v>Christopher Thomas</v>
      </c>
      <c r="D7">
        <f>_xlfn.XLOOKUP(tblOrders[[#This Row],[CustomerID]],tblCustomers[CustomerID],tblCustomers[Age],"not found")</f>
        <v>49</v>
      </c>
      <c r="E7" t="str">
        <f>_xlfn.XLOOKUP(tblOrders[[#This Row],[CustomerID]],tblCustomers[CustomerID],tblCustomers[Gender],"not found")</f>
        <v>Female</v>
      </c>
      <c r="F7" t="str">
        <f>_xlfn.XLOOKUP(tblOrders[[#This Row],[CustomerID]],tblCustomers[CustomerID],tblCustomers[Region],"not found")</f>
        <v>East</v>
      </c>
      <c r="G7">
        <v>1005</v>
      </c>
      <c r="H7" t="str">
        <f>_xlfn.XLOOKUP(tblOrders[[#This Row],[ProductID]],tblProducts[ProductID],tblProducts[ProductName],"not found")</f>
        <v>Plan</v>
      </c>
      <c r="I7" t="str">
        <f>_xlfn.XLOOKUP(tblOrders[[#This Row],[ProductID]],tblProducts[ProductID],tblProducts[Category],"not found")</f>
        <v>Beauty</v>
      </c>
      <c r="J7">
        <f>_xlfn.XLOOKUP(tblOrders[[#This Row],[ProductID]],tblProducts[ProductID],tblProducts[UnitPrice],"not found")</f>
        <v>332.12</v>
      </c>
      <c r="K7" t="str">
        <f>_xlfn.XLOOKUP(tblOrders[[#This Row],[ProductID]],tblProducts[ProductID],tblProducts[Supplier],"not found")</f>
        <v>Gibson Inc</v>
      </c>
      <c r="L7" s="1" t="s">
        <v>2012</v>
      </c>
      <c r="M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44911</v>
      </c>
      <c r="N7">
        <v>7</v>
      </c>
      <c r="O7">
        <v>2324.84</v>
      </c>
      <c r="P7">
        <f>tblOrders[[#This Row],[Quantity]]*tblOrders[[#This Row],[Unit Price]]</f>
        <v>2324.84</v>
      </c>
      <c r="Q7">
        <f>tblOrders[[#This Row],[TotalSales]]-tblOrders[[#This Row],[Calculated Sales]]</f>
        <v>0</v>
      </c>
    </row>
    <row r="8" spans="1:17" x14ac:dyDescent="0.25">
      <c r="A8">
        <v>887</v>
      </c>
      <c r="B8">
        <v>961</v>
      </c>
      <c r="C8" t="str">
        <f>_xlfn.XLOOKUP(tblOrders[[#This Row],[CustomerID]],tblCustomers[CustomerID],tblCustomers[CustomerName],"not found")</f>
        <v>Justin Howard</v>
      </c>
      <c r="D8">
        <f>_xlfn.XLOOKUP(tblOrders[[#This Row],[CustomerID]],tblCustomers[CustomerID],tblCustomers[Age],"not found")</f>
        <v>45</v>
      </c>
      <c r="E8" t="str">
        <f>_xlfn.XLOOKUP(tblOrders[[#This Row],[CustomerID]],tblCustomers[CustomerID],tblCustomers[Gender],"not found")</f>
        <v>Female</v>
      </c>
      <c r="F8" t="str">
        <f>_xlfn.XLOOKUP(tblOrders[[#This Row],[CustomerID]],tblCustomers[CustomerID],tblCustomers[Region],"not found")</f>
        <v>West</v>
      </c>
      <c r="G8">
        <v>1005</v>
      </c>
      <c r="H8" t="str">
        <f>_xlfn.XLOOKUP(tblOrders[[#This Row],[ProductID]],tblProducts[ProductID],tblProducts[ProductName],"not found")</f>
        <v>Plan</v>
      </c>
      <c r="I8" t="str">
        <f>_xlfn.XLOOKUP(tblOrders[[#This Row],[ProductID]],tblProducts[ProductID],tblProducts[Category],"not found")</f>
        <v>Beauty</v>
      </c>
      <c r="J8">
        <f>_xlfn.XLOOKUP(tblOrders[[#This Row],[ProductID]],tblProducts[ProductID],tblProducts[UnitPrice],"not found")</f>
        <v>332.12</v>
      </c>
      <c r="K8" t="str">
        <f>_xlfn.XLOOKUP(tblOrders[[#This Row],[ProductID]],tblProducts[ProductID],tblProducts[Supplier],"not found")</f>
        <v>Gibson Inc</v>
      </c>
      <c r="L8" s="1">
        <v>45420</v>
      </c>
      <c r="M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45420</v>
      </c>
      <c r="N8">
        <v>9</v>
      </c>
      <c r="O8">
        <v>2989.08</v>
      </c>
      <c r="P8">
        <f>tblOrders[[#This Row],[Quantity]]*tblOrders[[#This Row],[Unit Price]]</f>
        <v>2989.08</v>
      </c>
      <c r="Q8">
        <f>tblOrders[[#This Row],[TotalSales]]-tblOrders[[#This Row],[Calculated Sales]]</f>
        <v>0</v>
      </c>
    </row>
    <row r="9" spans="1:17" x14ac:dyDescent="0.25">
      <c r="A9">
        <v>1035</v>
      </c>
      <c r="B9">
        <v>204</v>
      </c>
      <c r="C9" t="str">
        <f>_xlfn.XLOOKUP(tblOrders[[#This Row],[CustomerID]],tblCustomers[CustomerID],tblCustomers[CustomerName],"not found")</f>
        <v>Angela Watson</v>
      </c>
      <c r="D9">
        <f>_xlfn.XLOOKUP(tblOrders[[#This Row],[CustomerID]],tblCustomers[CustomerID],tblCustomers[Age],"not found")</f>
        <v>31</v>
      </c>
      <c r="E9" t="str">
        <f>_xlfn.XLOOKUP(tblOrders[[#This Row],[CustomerID]],tblCustomers[CustomerID],tblCustomers[Gender],"not found")</f>
        <v>Male</v>
      </c>
      <c r="F9" t="str">
        <f>_xlfn.XLOOKUP(tblOrders[[#This Row],[CustomerID]],tblCustomers[CustomerID],tblCustomers[Region],"not found")</f>
        <v>North</v>
      </c>
      <c r="G9">
        <v>1005</v>
      </c>
      <c r="H9" t="str">
        <f>_xlfn.XLOOKUP(tblOrders[[#This Row],[ProductID]],tblProducts[ProductID],tblProducts[ProductName],"not found")</f>
        <v>Plan</v>
      </c>
      <c r="I9" t="str">
        <f>_xlfn.XLOOKUP(tblOrders[[#This Row],[ProductID]],tblProducts[ProductID],tblProducts[Category],"not found")</f>
        <v>Beauty</v>
      </c>
      <c r="J9">
        <f>_xlfn.XLOOKUP(tblOrders[[#This Row],[ProductID]],tblProducts[ProductID],tblProducts[UnitPrice],"not found")</f>
        <v>332.12</v>
      </c>
      <c r="K9" t="str">
        <f>_xlfn.XLOOKUP(tblOrders[[#This Row],[ProductID]],tblProducts[ProductID],tblProducts[Supplier],"not found")</f>
        <v>Gibson Inc</v>
      </c>
      <c r="L9" s="1">
        <v>45418</v>
      </c>
      <c r="M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45418</v>
      </c>
      <c r="N9">
        <v>5</v>
      </c>
      <c r="O9">
        <v>1660.6</v>
      </c>
      <c r="P9">
        <f>tblOrders[[#This Row],[Quantity]]*tblOrders[[#This Row],[Unit Price]]</f>
        <v>1660.6</v>
      </c>
      <c r="Q9">
        <f>tblOrders[[#This Row],[TotalSales]]-tblOrders[[#This Row],[Calculated Sales]]</f>
        <v>0</v>
      </c>
    </row>
    <row r="10" spans="1:17" x14ac:dyDescent="0.25">
      <c r="A10">
        <v>1160</v>
      </c>
      <c r="B10">
        <v>75</v>
      </c>
      <c r="C10" t="str">
        <f>_xlfn.XLOOKUP(tblOrders[[#This Row],[CustomerID]],tblCustomers[CustomerID],tblCustomers[CustomerName],"not found")</f>
        <v>Kelsey Reed</v>
      </c>
      <c r="D10">
        <f>_xlfn.XLOOKUP(tblOrders[[#This Row],[CustomerID]],tblCustomers[CustomerID],tblCustomers[Age],"not found")</f>
        <v>44</v>
      </c>
      <c r="E10" t="str">
        <f>_xlfn.XLOOKUP(tblOrders[[#This Row],[CustomerID]],tblCustomers[CustomerID],tblCustomers[Gender],"not found")</f>
        <v>Female</v>
      </c>
      <c r="F10" t="str">
        <f>_xlfn.XLOOKUP(tblOrders[[#This Row],[CustomerID]],tblCustomers[CustomerID],tblCustomers[Region],"not found")</f>
        <v>North</v>
      </c>
      <c r="G10">
        <v>1005</v>
      </c>
      <c r="H10" t="str">
        <f>_xlfn.XLOOKUP(tblOrders[[#This Row],[ProductID]],tblProducts[ProductID],tblProducts[ProductName],"not found")</f>
        <v>Plan</v>
      </c>
      <c r="I10" t="str">
        <f>_xlfn.XLOOKUP(tblOrders[[#This Row],[ProductID]],tblProducts[ProductID],tblProducts[Category],"not found")</f>
        <v>Beauty</v>
      </c>
      <c r="J10">
        <f>_xlfn.XLOOKUP(tblOrders[[#This Row],[ProductID]],tblProducts[ProductID],tblProducts[UnitPrice],"not found")</f>
        <v>332.12</v>
      </c>
      <c r="K10" t="str">
        <f>_xlfn.XLOOKUP(tblOrders[[#This Row],[ProductID]],tblProducts[ProductID],tblProducts[Supplier],"not found")</f>
        <v>Gibson Inc</v>
      </c>
      <c r="L10" s="1" t="s">
        <v>2013</v>
      </c>
      <c r="M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45319</v>
      </c>
      <c r="N10">
        <v>9</v>
      </c>
      <c r="O10">
        <v>2989.08</v>
      </c>
      <c r="P10">
        <f>tblOrders[[#This Row],[Quantity]]*tblOrders[[#This Row],[Unit Price]]</f>
        <v>2989.08</v>
      </c>
      <c r="Q10">
        <f>tblOrders[[#This Row],[TotalSales]]-tblOrders[[#This Row],[Calculated Sales]]</f>
        <v>0</v>
      </c>
    </row>
    <row r="11" spans="1:17" x14ac:dyDescent="0.25">
      <c r="A11">
        <v>1196</v>
      </c>
      <c r="B11">
        <v>60</v>
      </c>
      <c r="C11" t="str">
        <f>_xlfn.XLOOKUP(tblOrders[[#This Row],[CustomerID]],tblCustomers[CustomerID],tblCustomers[CustomerName],"not found")</f>
        <v>Christopher Obrien</v>
      </c>
      <c r="D11">
        <f>_xlfn.XLOOKUP(tblOrders[[#This Row],[CustomerID]],tblCustomers[CustomerID],tblCustomers[Age],"not found")</f>
        <v>46</v>
      </c>
      <c r="E11" t="str">
        <f>_xlfn.XLOOKUP(tblOrders[[#This Row],[CustomerID]],tblCustomers[CustomerID],tblCustomers[Gender],"not found")</f>
        <v>Male</v>
      </c>
      <c r="F11" t="str">
        <f>_xlfn.XLOOKUP(tblOrders[[#This Row],[CustomerID]],tblCustomers[CustomerID],tblCustomers[Region],"not found")</f>
        <v>East</v>
      </c>
      <c r="G11">
        <v>1005</v>
      </c>
      <c r="H11" t="str">
        <f>_xlfn.XLOOKUP(tblOrders[[#This Row],[ProductID]],tblProducts[ProductID],tblProducts[ProductName],"not found")</f>
        <v>Plan</v>
      </c>
      <c r="I11" t="str">
        <f>_xlfn.XLOOKUP(tblOrders[[#This Row],[ProductID]],tblProducts[ProductID],tblProducts[Category],"not found")</f>
        <v>Beauty</v>
      </c>
      <c r="J11">
        <f>_xlfn.XLOOKUP(tblOrders[[#This Row],[ProductID]],tblProducts[ProductID],tblProducts[UnitPrice],"not found")</f>
        <v>332.12</v>
      </c>
      <c r="K11" t="str">
        <f>_xlfn.XLOOKUP(tblOrders[[#This Row],[ProductID]],tblProducts[ProductID],tblProducts[Supplier],"not found")</f>
        <v>Gibson Inc</v>
      </c>
      <c r="L11" s="1">
        <v>45027</v>
      </c>
      <c r="M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45027</v>
      </c>
      <c r="N11">
        <v>5</v>
      </c>
      <c r="O11">
        <v>1660.6</v>
      </c>
      <c r="P11">
        <f>tblOrders[[#This Row],[Quantity]]*tblOrders[[#This Row],[Unit Price]]</f>
        <v>1660.6</v>
      </c>
      <c r="Q11">
        <f>tblOrders[[#This Row],[TotalSales]]-tblOrders[[#This Row],[Calculated Sales]]</f>
        <v>0</v>
      </c>
    </row>
    <row r="12" spans="1:17" x14ac:dyDescent="0.25">
      <c r="A12">
        <v>1285</v>
      </c>
      <c r="B12">
        <v>517</v>
      </c>
      <c r="C12" t="str">
        <f>_xlfn.XLOOKUP(tblOrders[[#This Row],[CustomerID]],tblCustomers[CustomerID],tblCustomers[CustomerName],"not found")</f>
        <v>Gina Brown</v>
      </c>
      <c r="D12">
        <f>_xlfn.XLOOKUP(tblOrders[[#This Row],[CustomerID]],tblCustomers[CustomerID],tblCustomers[Age],"not found")</f>
        <v>26</v>
      </c>
      <c r="E12" t="str">
        <f>_xlfn.XLOOKUP(tblOrders[[#This Row],[CustomerID]],tblCustomers[CustomerID],tblCustomers[Gender],"not found")</f>
        <v>Male</v>
      </c>
      <c r="F12" t="str">
        <f>_xlfn.XLOOKUP(tblOrders[[#This Row],[CustomerID]],tblCustomers[CustomerID],tblCustomers[Region],"not found")</f>
        <v>Central</v>
      </c>
      <c r="G12">
        <v>1005</v>
      </c>
      <c r="H12" t="str">
        <f>_xlfn.XLOOKUP(tblOrders[[#This Row],[ProductID]],tblProducts[ProductID],tblProducts[ProductName],"not found")</f>
        <v>Plan</v>
      </c>
      <c r="I12" t="str">
        <f>_xlfn.XLOOKUP(tblOrders[[#This Row],[ProductID]],tblProducts[ProductID],tblProducts[Category],"not found")</f>
        <v>Beauty</v>
      </c>
      <c r="J12">
        <f>_xlfn.XLOOKUP(tblOrders[[#This Row],[ProductID]],tblProducts[ProductID],tblProducts[UnitPrice],"not found")</f>
        <v>332.12</v>
      </c>
      <c r="K12" t="str">
        <f>_xlfn.XLOOKUP(tblOrders[[#This Row],[ProductID]],tblProducts[ProductID],tblProducts[Supplier],"not found")</f>
        <v>Gibson Inc</v>
      </c>
      <c r="L12" s="1" t="s">
        <v>2014</v>
      </c>
      <c r="M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45373</v>
      </c>
      <c r="N12">
        <v>2</v>
      </c>
      <c r="O12">
        <v>664.24</v>
      </c>
      <c r="P12">
        <f>tblOrders[[#This Row],[Quantity]]*tblOrders[[#This Row],[Unit Price]]</f>
        <v>664.24</v>
      </c>
      <c r="Q12">
        <f>tblOrders[[#This Row],[TotalSales]]-tblOrders[[#This Row],[Calculated Sales]]</f>
        <v>0</v>
      </c>
    </row>
    <row r="13" spans="1:17" x14ac:dyDescent="0.25">
      <c r="A13">
        <v>1299</v>
      </c>
      <c r="B13">
        <v>388</v>
      </c>
      <c r="C13" t="str">
        <f>_xlfn.XLOOKUP(tblOrders[[#This Row],[CustomerID]],tblCustomers[CustomerID],tblCustomers[CustomerName],"not found")</f>
        <v>Todd Garcia</v>
      </c>
      <c r="D13">
        <f>_xlfn.XLOOKUP(tblOrders[[#This Row],[CustomerID]],tblCustomers[CustomerID],tblCustomers[Age],"not found")</f>
        <v>29</v>
      </c>
      <c r="E13" t="str">
        <f>_xlfn.XLOOKUP(tblOrders[[#This Row],[CustomerID]],tblCustomers[CustomerID],tblCustomers[Gender],"not found")</f>
        <v>Male</v>
      </c>
      <c r="F13" t="str">
        <f>_xlfn.XLOOKUP(tblOrders[[#This Row],[CustomerID]],tblCustomers[CustomerID],tblCustomers[Region],"not found")</f>
        <v>South</v>
      </c>
      <c r="G13">
        <v>1005</v>
      </c>
      <c r="H13" t="str">
        <f>_xlfn.XLOOKUP(tblOrders[[#This Row],[ProductID]],tblProducts[ProductID],tblProducts[ProductName],"not found")</f>
        <v>Plan</v>
      </c>
      <c r="I13" t="str">
        <f>_xlfn.XLOOKUP(tblOrders[[#This Row],[ProductID]],tblProducts[ProductID],tblProducts[Category],"not found")</f>
        <v>Beauty</v>
      </c>
      <c r="J13">
        <f>_xlfn.XLOOKUP(tblOrders[[#This Row],[ProductID]],tblProducts[ProductID],tblProducts[UnitPrice],"not found")</f>
        <v>332.12</v>
      </c>
      <c r="K13" t="str">
        <f>_xlfn.XLOOKUP(tblOrders[[#This Row],[ProductID]],tblProducts[ProductID],tblProducts[Supplier],"not found")</f>
        <v>Gibson Inc</v>
      </c>
      <c r="L13" s="1" t="s">
        <v>2015</v>
      </c>
      <c r="M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45556</v>
      </c>
      <c r="N13">
        <v>6</v>
      </c>
      <c r="O13">
        <v>1992.72</v>
      </c>
      <c r="P13">
        <f>tblOrders[[#This Row],[Quantity]]*tblOrders[[#This Row],[Unit Price]]</f>
        <v>1992.72</v>
      </c>
      <c r="Q13">
        <f>tblOrders[[#This Row],[TotalSales]]-tblOrders[[#This Row],[Calculated Sales]]</f>
        <v>0</v>
      </c>
    </row>
    <row r="14" spans="1:17" x14ac:dyDescent="0.25">
      <c r="A14">
        <v>1377</v>
      </c>
      <c r="B14">
        <v>20</v>
      </c>
      <c r="C14" t="str">
        <f>_xlfn.XLOOKUP(tblOrders[[#This Row],[CustomerID]],tblCustomers[CustomerID],tblCustomers[CustomerName],"not found")</f>
        <v>Kimberly Acosta</v>
      </c>
      <c r="D14">
        <f>_xlfn.XLOOKUP(tblOrders[[#This Row],[CustomerID]],tblCustomers[CustomerID],tblCustomers[Age],"not found")</f>
        <v>48</v>
      </c>
      <c r="E14" t="str">
        <f>_xlfn.XLOOKUP(tblOrders[[#This Row],[CustomerID]],tblCustomers[CustomerID],tblCustomers[Gender],"not found")</f>
        <v>Male</v>
      </c>
      <c r="F14" t="str">
        <f>_xlfn.XLOOKUP(tblOrders[[#This Row],[CustomerID]],tblCustomers[CustomerID],tblCustomers[Region],"not found")</f>
        <v>North</v>
      </c>
      <c r="G14">
        <v>1005</v>
      </c>
      <c r="H14" t="str">
        <f>_xlfn.XLOOKUP(tblOrders[[#This Row],[ProductID]],tblProducts[ProductID],tblProducts[ProductName],"not found")</f>
        <v>Plan</v>
      </c>
      <c r="I14" t="str">
        <f>_xlfn.XLOOKUP(tblOrders[[#This Row],[ProductID]],tblProducts[ProductID],tblProducts[Category],"not found")</f>
        <v>Beauty</v>
      </c>
      <c r="J14">
        <f>_xlfn.XLOOKUP(tblOrders[[#This Row],[ProductID]],tblProducts[ProductID],tblProducts[UnitPrice],"not found")</f>
        <v>332.12</v>
      </c>
      <c r="K14" t="str">
        <f>_xlfn.XLOOKUP(tblOrders[[#This Row],[ProductID]],tblProducts[ProductID],tblProducts[Supplier],"not found")</f>
        <v>Gibson Inc</v>
      </c>
      <c r="L14" s="1">
        <v>45329</v>
      </c>
      <c r="M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45329</v>
      </c>
      <c r="N14">
        <v>2</v>
      </c>
      <c r="O14">
        <v>664.24</v>
      </c>
      <c r="P14">
        <f>tblOrders[[#This Row],[Quantity]]*tblOrders[[#This Row],[Unit Price]]</f>
        <v>664.24</v>
      </c>
      <c r="Q14">
        <f>tblOrders[[#This Row],[TotalSales]]-tblOrders[[#This Row],[Calculated Sales]]</f>
        <v>0</v>
      </c>
    </row>
    <row r="15" spans="1:17" x14ac:dyDescent="0.25">
      <c r="A15">
        <v>1450</v>
      </c>
      <c r="B15">
        <v>710</v>
      </c>
      <c r="C15" t="str">
        <f>_xlfn.XLOOKUP(tblOrders[[#This Row],[CustomerID]],tblCustomers[CustomerID],tblCustomers[CustomerName],"not found")</f>
        <v>Clinton Smith</v>
      </c>
      <c r="D15">
        <f>_xlfn.XLOOKUP(tblOrders[[#This Row],[CustomerID]],tblCustomers[CustomerID],tblCustomers[Age],"not found")</f>
        <v>40</v>
      </c>
      <c r="E15" t="str">
        <f>_xlfn.XLOOKUP(tblOrders[[#This Row],[CustomerID]],tblCustomers[CustomerID],tblCustomers[Gender],"not found")</f>
        <v>Female</v>
      </c>
      <c r="F15" t="str">
        <f>_xlfn.XLOOKUP(tblOrders[[#This Row],[CustomerID]],tblCustomers[CustomerID],tblCustomers[Region],"not found")</f>
        <v>North</v>
      </c>
      <c r="G15">
        <v>1005</v>
      </c>
      <c r="H15" t="str">
        <f>_xlfn.XLOOKUP(tblOrders[[#This Row],[ProductID]],tblProducts[ProductID],tblProducts[ProductName],"not found")</f>
        <v>Plan</v>
      </c>
      <c r="I15" t="str">
        <f>_xlfn.XLOOKUP(tblOrders[[#This Row],[ProductID]],tblProducts[ProductID],tblProducts[Category],"not found")</f>
        <v>Beauty</v>
      </c>
      <c r="J15">
        <f>_xlfn.XLOOKUP(tblOrders[[#This Row],[ProductID]],tblProducts[ProductID],tblProducts[UnitPrice],"not found")</f>
        <v>332.12</v>
      </c>
      <c r="K15" t="str">
        <f>_xlfn.XLOOKUP(tblOrders[[#This Row],[ProductID]],tblProducts[ProductID],tblProducts[Supplier],"not found")</f>
        <v>Gibson Inc</v>
      </c>
      <c r="L15" s="1" t="s">
        <v>2016</v>
      </c>
      <c r="M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45163</v>
      </c>
      <c r="N15">
        <v>4</v>
      </c>
      <c r="O15">
        <v>1328.48</v>
      </c>
      <c r="P15">
        <f>tblOrders[[#This Row],[Quantity]]*tblOrders[[#This Row],[Unit Price]]</f>
        <v>1328.48</v>
      </c>
      <c r="Q15">
        <f>tblOrders[[#This Row],[TotalSales]]-tblOrders[[#This Row],[Calculated Sales]]</f>
        <v>0</v>
      </c>
    </row>
    <row r="16" spans="1:17" x14ac:dyDescent="0.25">
      <c r="A16">
        <v>1749</v>
      </c>
      <c r="B16">
        <v>73</v>
      </c>
      <c r="C16" t="str">
        <f>_xlfn.XLOOKUP(tblOrders[[#This Row],[CustomerID]],tblCustomers[CustomerID],tblCustomers[CustomerName],"not found")</f>
        <v>Troy Hicks</v>
      </c>
      <c r="D16">
        <f>_xlfn.XLOOKUP(tblOrders[[#This Row],[CustomerID]],tblCustomers[CustomerID],tblCustomers[Age],"not found")</f>
        <v>20</v>
      </c>
      <c r="E16" t="str">
        <f>_xlfn.XLOOKUP(tblOrders[[#This Row],[CustomerID]],tblCustomers[CustomerID],tblCustomers[Gender],"not found")</f>
        <v>Male</v>
      </c>
      <c r="F16" t="str">
        <f>_xlfn.XLOOKUP(tblOrders[[#This Row],[CustomerID]],tblCustomers[CustomerID],tblCustomers[Region],"not found")</f>
        <v>North</v>
      </c>
      <c r="G16">
        <v>1005</v>
      </c>
      <c r="H16" t="str">
        <f>_xlfn.XLOOKUP(tblOrders[[#This Row],[ProductID]],tblProducts[ProductID],tblProducts[ProductName],"not found")</f>
        <v>Plan</v>
      </c>
      <c r="I16" t="str">
        <f>_xlfn.XLOOKUP(tblOrders[[#This Row],[ProductID]],tblProducts[ProductID],tblProducts[Category],"not found")</f>
        <v>Beauty</v>
      </c>
      <c r="J16">
        <f>_xlfn.XLOOKUP(tblOrders[[#This Row],[ProductID]],tblProducts[ProductID],tblProducts[UnitPrice],"not found")</f>
        <v>332.12</v>
      </c>
      <c r="K16" t="str">
        <f>_xlfn.XLOOKUP(tblOrders[[#This Row],[ProductID]],tblProducts[ProductID],tblProducts[Supplier],"not found")</f>
        <v>Gibson Inc</v>
      </c>
      <c r="L16" s="1" t="s">
        <v>2017</v>
      </c>
      <c r="M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45129</v>
      </c>
      <c r="N16">
        <v>3</v>
      </c>
      <c r="O16">
        <v>996.36</v>
      </c>
      <c r="P16">
        <f>tblOrders[[#This Row],[Quantity]]*tblOrders[[#This Row],[Unit Price]]</f>
        <v>996.36</v>
      </c>
      <c r="Q16">
        <f>tblOrders[[#This Row],[TotalSales]]-tblOrders[[#This Row],[Calculated Sales]]</f>
        <v>0</v>
      </c>
    </row>
    <row r="17" spans="1:17" x14ac:dyDescent="0.25">
      <c r="A17">
        <v>1767</v>
      </c>
      <c r="B17">
        <v>255</v>
      </c>
      <c r="C17" t="str">
        <f>_xlfn.XLOOKUP(tblOrders[[#This Row],[CustomerID]],tblCustomers[CustomerID],tblCustomers[CustomerName],"not found")</f>
        <v>Amber Mann DVM</v>
      </c>
      <c r="D17">
        <f>_xlfn.XLOOKUP(tblOrders[[#This Row],[CustomerID]],tblCustomers[CustomerID],tblCustomers[Age],"not found")</f>
        <v>25</v>
      </c>
      <c r="E17" t="str">
        <f>_xlfn.XLOOKUP(tblOrders[[#This Row],[CustomerID]],tblCustomers[CustomerID],tblCustomers[Gender],"not found")</f>
        <v>Male</v>
      </c>
      <c r="F17" t="str">
        <f>_xlfn.XLOOKUP(tblOrders[[#This Row],[CustomerID]],tblCustomers[CustomerID],tblCustomers[Region],"not found")</f>
        <v>Central</v>
      </c>
      <c r="G17">
        <v>1005</v>
      </c>
      <c r="H17" t="str">
        <f>_xlfn.XLOOKUP(tblOrders[[#This Row],[ProductID]],tblProducts[ProductID],tblProducts[ProductName],"not found")</f>
        <v>Plan</v>
      </c>
      <c r="I17" t="str">
        <f>_xlfn.XLOOKUP(tblOrders[[#This Row],[ProductID]],tblProducts[ProductID],tblProducts[Category],"not found")</f>
        <v>Beauty</v>
      </c>
      <c r="J17">
        <f>_xlfn.XLOOKUP(tblOrders[[#This Row],[ProductID]],tblProducts[ProductID],tblProducts[UnitPrice],"not found")</f>
        <v>332.12</v>
      </c>
      <c r="K17" t="str">
        <f>_xlfn.XLOOKUP(tblOrders[[#This Row],[ProductID]],tblProducts[ProductID],tblProducts[Supplier],"not found")</f>
        <v>Gibson Inc</v>
      </c>
      <c r="L17" s="1">
        <v>44604</v>
      </c>
      <c r="M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44604</v>
      </c>
      <c r="N17">
        <v>6</v>
      </c>
      <c r="O17">
        <v>1992.72</v>
      </c>
      <c r="P17">
        <f>tblOrders[[#This Row],[Quantity]]*tblOrders[[#This Row],[Unit Price]]</f>
        <v>1992.72</v>
      </c>
      <c r="Q17">
        <f>tblOrders[[#This Row],[TotalSales]]-tblOrders[[#This Row],[Calculated Sales]]</f>
        <v>0</v>
      </c>
    </row>
    <row r="18" spans="1:17" x14ac:dyDescent="0.25">
      <c r="A18">
        <v>1816</v>
      </c>
      <c r="B18">
        <v>724</v>
      </c>
      <c r="C18" t="str">
        <f>_xlfn.XLOOKUP(tblOrders[[#This Row],[CustomerID]],tblCustomers[CustomerID],tblCustomers[CustomerName],"not found")</f>
        <v>Janice Wood</v>
      </c>
      <c r="D18">
        <f>_xlfn.XLOOKUP(tblOrders[[#This Row],[CustomerID]],tblCustomers[CustomerID],tblCustomers[Age],"not found")</f>
        <v>31</v>
      </c>
      <c r="E18" t="str">
        <f>_xlfn.XLOOKUP(tblOrders[[#This Row],[CustomerID]],tblCustomers[CustomerID],tblCustomers[Gender],"not found")</f>
        <v>Male</v>
      </c>
      <c r="F18" t="str">
        <f>_xlfn.XLOOKUP(tblOrders[[#This Row],[CustomerID]],tblCustomers[CustomerID],tblCustomers[Region],"not found")</f>
        <v>Central</v>
      </c>
      <c r="G18">
        <v>1005</v>
      </c>
      <c r="H18" t="str">
        <f>_xlfn.XLOOKUP(tblOrders[[#This Row],[ProductID]],tblProducts[ProductID],tblProducts[ProductName],"not found")</f>
        <v>Plan</v>
      </c>
      <c r="I18" t="str">
        <f>_xlfn.XLOOKUP(tblOrders[[#This Row],[ProductID]],tblProducts[ProductID],tblProducts[Category],"not found")</f>
        <v>Beauty</v>
      </c>
      <c r="J18">
        <f>_xlfn.XLOOKUP(tblOrders[[#This Row],[ProductID]],tblProducts[ProductID],tblProducts[UnitPrice],"not found")</f>
        <v>332.12</v>
      </c>
      <c r="K18" t="str">
        <f>_xlfn.XLOOKUP(tblOrders[[#This Row],[ProductID]],tblProducts[ProductID],tblProducts[Supplier],"not found")</f>
        <v>Gibson Inc</v>
      </c>
      <c r="L18" s="1" t="s">
        <v>2018</v>
      </c>
      <c r="M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45457</v>
      </c>
      <c r="N18">
        <v>9</v>
      </c>
      <c r="O18">
        <v>2989.08</v>
      </c>
      <c r="P18">
        <f>tblOrders[[#This Row],[Quantity]]*tblOrders[[#This Row],[Unit Price]]</f>
        <v>2989.08</v>
      </c>
      <c r="Q18">
        <f>tblOrders[[#This Row],[TotalSales]]-tblOrders[[#This Row],[Calculated Sales]]</f>
        <v>0</v>
      </c>
    </row>
    <row r="19" spans="1:17" x14ac:dyDescent="0.25">
      <c r="A19">
        <v>2</v>
      </c>
      <c r="B19">
        <v>145</v>
      </c>
      <c r="C19" t="str">
        <f>_xlfn.XLOOKUP(tblOrders[[#This Row],[CustomerID]],tblCustomers[CustomerID],tblCustomers[CustomerName],"not found")</f>
        <v>Daniel Allen</v>
      </c>
      <c r="D19">
        <f>_xlfn.XLOOKUP(tblOrders[[#This Row],[CustomerID]],tblCustomers[CustomerID],tblCustomers[Age],"not found")</f>
        <v>38</v>
      </c>
      <c r="E19" t="str">
        <f>_xlfn.XLOOKUP(tblOrders[[#This Row],[CustomerID]],tblCustomers[CustomerID],tblCustomers[Gender],"not found")</f>
        <v>Female</v>
      </c>
      <c r="F19" t="str">
        <f>_xlfn.XLOOKUP(tblOrders[[#This Row],[CustomerID]],tblCustomers[CustomerID],tblCustomers[Region],"not found")</f>
        <v>West</v>
      </c>
      <c r="G19">
        <v>1041</v>
      </c>
      <c r="H19" t="str">
        <f>_xlfn.XLOOKUP(tblOrders[[#This Row],[ProductID]],tblProducts[ProductID],tblProducts[ProductName],"not found")</f>
        <v>Fish</v>
      </c>
      <c r="I19" t="str">
        <f>_xlfn.XLOOKUP(tblOrders[[#This Row],[ProductID]],tblProducts[ProductID],tblProducts[Category],"not found")</f>
        <v>Beauty</v>
      </c>
      <c r="J19">
        <f>_xlfn.XLOOKUP(tblOrders[[#This Row],[ProductID]],tblProducts[ProductID],tblProducts[UnitPrice],"not found")</f>
        <v>290.95999999999998</v>
      </c>
      <c r="K19" t="str">
        <f>_xlfn.XLOOKUP(tblOrders[[#This Row],[ProductID]],tblProducts[ProductID],tblProducts[Supplier],"not found")</f>
        <v>Williams Group</v>
      </c>
      <c r="L19" s="1">
        <v>44993</v>
      </c>
      <c r="M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44993</v>
      </c>
      <c r="N19">
        <v>2</v>
      </c>
      <c r="O19">
        <v>581.91999999999996</v>
      </c>
      <c r="P19">
        <f>tblOrders[[#This Row],[Quantity]]*tblOrders[[#This Row],[Unit Price]]</f>
        <v>581.91999999999996</v>
      </c>
      <c r="Q19">
        <f>tblOrders[[#This Row],[TotalSales]]-tblOrders[[#This Row],[Calculated Sales]]</f>
        <v>0</v>
      </c>
    </row>
    <row r="20" spans="1:17" x14ac:dyDescent="0.25">
      <c r="A20">
        <v>57</v>
      </c>
      <c r="B20">
        <v>109</v>
      </c>
      <c r="C20" t="str">
        <f>_xlfn.XLOOKUP(tblOrders[[#This Row],[CustomerID]],tblCustomers[CustomerID],tblCustomers[CustomerName],"not found")</f>
        <v>Jessica Brown</v>
      </c>
      <c r="D20">
        <f>_xlfn.XLOOKUP(tblOrders[[#This Row],[CustomerID]],tblCustomers[CustomerID],tblCustomers[Age],"not found")</f>
        <v>42</v>
      </c>
      <c r="E20" t="str">
        <f>_xlfn.XLOOKUP(tblOrders[[#This Row],[CustomerID]],tblCustomers[CustomerID],tblCustomers[Gender],"not found")</f>
        <v>Male</v>
      </c>
      <c r="F20" t="str">
        <f>_xlfn.XLOOKUP(tblOrders[[#This Row],[CustomerID]],tblCustomers[CustomerID],tblCustomers[Region],"not found")</f>
        <v>West</v>
      </c>
      <c r="G20">
        <v>1041</v>
      </c>
      <c r="H20" t="str">
        <f>_xlfn.XLOOKUP(tblOrders[[#This Row],[ProductID]],tblProducts[ProductID],tblProducts[ProductName],"not found")</f>
        <v>Fish</v>
      </c>
      <c r="I20" t="str">
        <f>_xlfn.XLOOKUP(tblOrders[[#This Row],[ProductID]],tblProducts[ProductID],tblProducts[Category],"not found")</f>
        <v>Beauty</v>
      </c>
      <c r="J20">
        <f>_xlfn.XLOOKUP(tblOrders[[#This Row],[ProductID]],tblProducts[ProductID],tblProducts[UnitPrice],"not found")</f>
        <v>290.95999999999998</v>
      </c>
      <c r="K20" t="str">
        <f>_xlfn.XLOOKUP(tblOrders[[#This Row],[ProductID]],tblProducts[ProductID],tblProducts[Supplier],"not found")</f>
        <v>Williams Group</v>
      </c>
      <c r="L20" s="1" t="s">
        <v>2019</v>
      </c>
      <c r="M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45559</v>
      </c>
      <c r="N20">
        <v>3</v>
      </c>
      <c r="O20">
        <v>872.88</v>
      </c>
      <c r="P20">
        <f>tblOrders[[#This Row],[Quantity]]*tblOrders[[#This Row],[Unit Price]]</f>
        <v>872.87999999999988</v>
      </c>
      <c r="Q20">
        <f>tblOrders[[#This Row],[TotalSales]]-tblOrders[[#This Row],[Calculated Sales]]</f>
        <v>0</v>
      </c>
    </row>
    <row r="21" spans="1:17" x14ac:dyDescent="0.25">
      <c r="A21">
        <v>470</v>
      </c>
      <c r="B21">
        <v>160</v>
      </c>
      <c r="C21" t="str">
        <f>_xlfn.XLOOKUP(tblOrders[[#This Row],[CustomerID]],tblCustomers[CustomerID],tblCustomers[CustomerName],"not found")</f>
        <v>Yvette Henry</v>
      </c>
      <c r="D21">
        <f>_xlfn.XLOOKUP(tblOrders[[#This Row],[CustomerID]],tblCustomers[CustomerID],tblCustomers[Age],"not found")</f>
        <v>38</v>
      </c>
      <c r="E21" t="str">
        <f>_xlfn.XLOOKUP(tblOrders[[#This Row],[CustomerID]],tblCustomers[CustomerID],tblCustomers[Gender],"not found")</f>
        <v>Female</v>
      </c>
      <c r="F21" t="str">
        <f>_xlfn.XLOOKUP(tblOrders[[#This Row],[CustomerID]],tblCustomers[CustomerID],tblCustomers[Region],"not found")</f>
        <v>East</v>
      </c>
      <c r="G21">
        <v>1041</v>
      </c>
      <c r="H21" t="str">
        <f>_xlfn.XLOOKUP(tblOrders[[#This Row],[ProductID]],tblProducts[ProductID],tblProducts[ProductName],"not found")</f>
        <v>Fish</v>
      </c>
      <c r="I21" t="str">
        <f>_xlfn.XLOOKUP(tblOrders[[#This Row],[ProductID]],tblProducts[ProductID],tblProducts[Category],"not found")</f>
        <v>Beauty</v>
      </c>
      <c r="J21">
        <f>_xlfn.XLOOKUP(tblOrders[[#This Row],[ProductID]],tblProducts[ProductID],tblProducts[UnitPrice],"not found")</f>
        <v>290.95999999999998</v>
      </c>
      <c r="K21" t="str">
        <f>_xlfn.XLOOKUP(tblOrders[[#This Row],[ProductID]],tblProducts[ProductID],tblProducts[Supplier],"not found")</f>
        <v>Williams Group</v>
      </c>
      <c r="L21" s="1">
        <v>45021</v>
      </c>
      <c r="M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45021</v>
      </c>
      <c r="N21">
        <v>9</v>
      </c>
      <c r="O21">
        <v>2618.64</v>
      </c>
      <c r="P21">
        <f>tblOrders[[#This Row],[Quantity]]*tblOrders[[#This Row],[Unit Price]]</f>
        <v>2618.64</v>
      </c>
      <c r="Q21">
        <f>tblOrders[[#This Row],[TotalSales]]-tblOrders[[#This Row],[Calculated Sales]]</f>
        <v>0</v>
      </c>
    </row>
    <row r="22" spans="1:17" x14ac:dyDescent="0.25">
      <c r="A22">
        <v>511</v>
      </c>
      <c r="B22">
        <v>245</v>
      </c>
      <c r="C22" t="str">
        <f>_xlfn.XLOOKUP(tblOrders[[#This Row],[CustomerID]],tblCustomers[CustomerID],tblCustomers[CustomerName],"not found")</f>
        <v>Linda Johnson</v>
      </c>
      <c r="D22">
        <f>_xlfn.XLOOKUP(tblOrders[[#This Row],[CustomerID]],tblCustomers[CustomerID],tblCustomers[Age],"not found")</f>
        <v>66</v>
      </c>
      <c r="E22" t="str">
        <f>_xlfn.XLOOKUP(tblOrders[[#This Row],[CustomerID]],tblCustomers[CustomerID],tblCustomers[Gender],"not found")</f>
        <v>Female</v>
      </c>
      <c r="F22" t="str">
        <f>_xlfn.XLOOKUP(tblOrders[[#This Row],[CustomerID]],tblCustomers[CustomerID],tblCustomers[Region],"not found")</f>
        <v>North</v>
      </c>
      <c r="G22">
        <v>1041</v>
      </c>
      <c r="H22" t="str">
        <f>_xlfn.XLOOKUP(tblOrders[[#This Row],[ProductID]],tblProducts[ProductID],tblProducts[ProductName],"not found")</f>
        <v>Fish</v>
      </c>
      <c r="I22" t="str">
        <f>_xlfn.XLOOKUP(tblOrders[[#This Row],[ProductID]],tblProducts[ProductID],tblProducts[Category],"not found")</f>
        <v>Beauty</v>
      </c>
      <c r="J22">
        <f>_xlfn.XLOOKUP(tblOrders[[#This Row],[ProductID]],tblProducts[ProductID],tblProducts[UnitPrice],"not found")</f>
        <v>290.95999999999998</v>
      </c>
      <c r="K22" t="str">
        <f>_xlfn.XLOOKUP(tblOrders[[#This Row],[ProductID]],tblProducts[ProductID],tblProducts[Supplier],"not found")</f>
        <v>Williams Group</v>
      </c>
      <c r="L22" s="1" t="s">
        <v>2020</v>
      </c>
      <c r="M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45565</v>
      </c>
      <c r="N22">
        <v>6</v>
      </c>
      <c r="O22">
        <v>1745.76</v>
      </c>
      <c r="P22">
        <f>tblOrders[[#This Row],[Quantity]]*tblOrders[[#This Row],[Unit Price]]</f>
        <v>1745.7599999999998</v>
      </c>
      <c r="Q22">
        <f>tblOrders[[#This Row],[TotalSales]]-tblOrders[[#This Row],[Calculated Sales]]</f>
        <v>0</v>
      </c>
    </row>
    <row r="23" spans="1:17" x14ac:dyDescent="0.25">
      <c r="A23">
        <v>547</v>
      </c>
      <c r="B23">
        <v>325</v>
      </c>
      <c r="C23" t="str">
        <f>_xlfn.XLOOKUP(tblOrders[[#This Row],[CustomerID]],tblCustomers[CustomerID],tblCustomers[CustomerName],"not found")</f>
        <v>Manuel Patrick</v>
      </c>
      <c r="D23">
        <f>_xlfn.XLOOKUP(tblOrders[[#This Row],[CustomerID]],tblCustomers[CustomerID],tblCustomers[Age],"not found")</f>
        <v>50</v>
      </c>
      <c r="E23" t="str">
        <f>_xlfn.XLOOKUP(tblOrders[[#This Row],[CustomerID]],tblCustomers[CustomerID],tblCustomers[Gender],"not found")</f>
        <v>Female</v>
      </c>
      <c r="F23" t="str">
        <f>_xlfn.XLOOKUP(tblOrders[[#This Row],[CustomerID]],tblCustomers[CustomerID],tblCustomers[Region],"not found")</f>
        <v>East</v>
      </c>
      <c r="G23">
        <v>1041</v>
      </c>
      <c r="H23" t="str">
        <f>_xlfn.XLOOKUP(tblOrders[[#This Row],[ProductID]],tblProducts[ProductID],tblProducts[ProductName],"not found")</f>
        <v>Fish</v>
      </c>
      <c r="I23" t="str">
        <f>_xlfn.XLOOKUP(tblOrders[[#This Row],[ProductID]],tblProducts[ProductID],tblProducts[Category],"not found")</f>
        <v>Beauty</v>
      </c>
      <c r="J23">
        <f>_xlfn.XLOOKUP(tblOrders[[#This Row],[ProductID]],tblProducts[ProductID],tblProducts[UnitPrice],"not found")</f>
        <v>290.95999999999998</v>
      </c>
      <c r="K23" t="str">
        <f>_xlfn.XLOOKUP(tblOrders[[#This Row],[ProductID]],tblProducts[ProductID],tblProducts[Supplier],"not found")</f>
        <v>Williams Group</v>
      </c>
      <c r="L23" s="1" t="s">
        <v>2021</v>
      </c>
      <c r="M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44984</v>
      </c>
      <c r="N23">
        <v>9</v>
      </c>
      <c r="O23">
        <v>2618.64</v>
      </c>
      <c r="P23">
        <f>tblOrders[[#This Row],[Quantity]]*tblOrders[[#This Row],[Unit Price]]</f>
        <v>2618.64</v>
      </c>
      <c r="Q23">
        <f>tblOrders[[#This Row],[TotalSales]]-tblOrders[[#This Row],[Calculated Sales]]</f>
        <v>0</v>
      </c>
    </row>
    <row r="24" spans="1:17" x14ac:dyDescent="0.25">
      <c r="A24">
        <v>641</v>
      </c>
      <c r="B24">
        <v>295</v>
      </c>
      <c r="C24" t="str">
        <f>_xlfn.XLOOKUP(tblOrders[[#This Row],[CustomerID]],tblCustomers[CustomerID],tblCustomers[CustomerName],"not found")</f>
        <v>Walter Zuniga</v>
      </c>
      <c r="D24">
        <f>_xlfn.XLOOKUP(tblOrders[[#This Row],[CustomerID]],tblCustomers[CustomerID],tblCustomers[Age],"not found")</f>
        <v>38</v>
      </c>
      <c r="E24" t="str">
        <f>_xlfn.XLOOKUP(tblOrders[[#This Row],[CustomerID]],tblCustomers[CustomerID],tblCustomers[Gender],"not found")</f>
        <v>Female</v>
      </c>
      <c r="F24" t="str">
        <f>_xlfn.XLOOKUP(tblOrders[[#This Row],[CustomerID]],tblCustomers[CustomerID],tblCustomers[Region],"not found")</f>
        <v>South</v>
      </c>
      <c r="G24">
        <v>1041</v>
      </c>
      <c r="H24" t="str">
        <f>_xlfn.XLOOKUP(tblOrders[[#This Row],[ProductID]],tblProducts[ProductID],tblProducts[ProductName],"not found")</f>
        <v>Fish</v>
      </c>
      <c r="I24" t="str">
        <f>_xlfn.XLOOKUP(tblOrders[[#This Row],[ProductID]],tblProducts[ProductID],tblProducts[Category],"not found")</f>
        <v>Beauty</v>
      </c>
      <c r="J24">
        <f>_xlfn.XLOOKUP(tblOrders[[#This Row],[ProductID]],tblProducts[ProductID],tblProducts[UnitPrice],"not found")</f>
        <v>290.95999999999998</v>
      </c>
      <c r="K24" t="str">
        <f>_xlfn.XLOOKUP(tblOrders[[#This Row],[ProductID]],tblProducts[ProductID],tblProducts[Supplier],"not found")</f>
        <v>Williams Group</v>
      </c>
      <c r="L24" s="1" t="s">
        <v>2022</v>
      </c>
      <c r="M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45066</v>
      </c>
      <c r="N24">
        <v>2</v>
      </c>
      <c r="O24">
        <v>581.91999999999996</v>
      </c>
      <c r="P24">
        <f>tblOrders[[#This Row],[Quantity]]*tblOrders[[#This Row],[Unit Price]]</f>
        <v>581.91999999999996</v>
      </c>
      <c r="Q24">
        <f>tblOrders[[#This Row],[TotalSales]]-tblOrders[[#This Row],[Calculated Sales]]</f>
        <v>0</v>
      </c>
    </row>
    <row r="25" spans="1:17" x14ac:dyDescent="0.25">
      <c r="A25">
        <v>672</v>
      </c>
      <c r="B25">
        <v>553</v>
      </c>
      <c r="C25" t="str">
        <f>_xlfn.XLOOKUP(tblOrders[[#This Row],[CustomerID]],tblCustomers[CustomerID],tblCustomers[CustomerName],"not found")</f>
        <v>Sandra Rojas</v>
      </c>
      <c r="D25">
        <f>_xlfn.XLOOKUP(tblOrders[[#This Row],[CustomerID]],tblCustomers[CustomerID],tblCustomers[Age],"not found")</f>
        <v>51</v>
      </c>
      <c r="E25" t="str">
        <f>_xlfn.XLOOKUP(tblOrders[[#This Row],[CustomerID]],tblCustomers[CustomerID],tblCustomers[Gender],"not found")</f>
        <v>Male</v>
      </c>
      <c r="F25" t="str">
        <f>_xlfn.XLOOKUP(tblOrders[[#This Row],[CustomerID]],tblCustomers[CustomerID],tblCustomers[Region],"not found")</f>
        <v>North</v>
      </c>
      <c r="G25">
        <v>1041</v>
      </c>
      <c r="H25" t="str">
        <f>_xlfn.XLOOKUP(tblOrders[[#This Row],[ProductID]],tblProducts[ProductID],tblProducts[ProductName],"not found")</f>
        <v>Fish</v>
      </c>
      <c r="I25" t="str">
        <f>_xlfn.XLOOKUP(tblOrders[[#This Row],[ProductID]],tblProducts[ProductID],tblProducts[Category],"not found")</f>
        <v>Beauty</v>
      </c>
      <c r="J25">
        <f>_xlfn.XLOOKUP(tblOrders[[#This Row],[ProductID]],tblProducts[ProductID],tblProducts[UnitPrice],"not found")</f>
        <v>290.95999999999998</v>
      </c>
      <c r="K25" t="str">
        <f>_xlfn.XLOOKUP(tblOrders[[#This Row],[ProductID]],tblProducts[ProductID],tblProducts[Supplier],"not found")</f>
        <v>Williams Group</v>
      </c>
      <c r="L25" s="1" t="s">
        <v>2023</v>
      </c>
      <c r="M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45312</v>
      </c>
      <c r="N25">
        <v>2</v>
      </c>
      <c r="O25">
        <v>581.91999999999996</v>
      </c>
      <c r="P25">
        <f>tblOrders[[#This Row],[Quantity]]*tblOrders[[#This Row],[Unit Price]]</f>
        <v>581.91999999999996</v>
      </c>
      <c r="Q25">
        <f>tblOrders[[#This Row],[TotalSales]]-tblOrders[[#This Row],[Calculated Sales]]</f>
        <v>0</v>
      </c>
    </row>
    <row r="26" spans="1:17" x14ac:dyDescent="0.25">
      <c r="A26">
        <v>1062</v>
      </c>
      <c r="B26">
        <v>764</v>
      </c>
      <c r="C26" t="str">
        <f>_xlfn.XLOOKUP(tblOrders[[#This Row],[CustomerID]],tblCustomers[CustomerID],tblCustomers[CustomerName],"not found")</f>
        <v>Joshua Thompson</v>
      </c>
      <c r="D26">
        <f>_xlfn.XLOOKUP(tblOrders[[#This Row],[CustomerID]],tblCustomers[CustomerID],tblCustomers[Age],"not found")</f>
        <v>62</v>
      </c>
      <c r="E26" t="str">
        <f>_xlfn.XLOOKUP(tblOrders[[#This Row],[CustomerID]],tblCustomers[CustomerID],tblCustomers[Gender],"not found")</f>
        <v>Female</v>
      </c>
      <c r="F26" t="str">
        <f>_xlfn.XLOOKUP(tblOrders[[#This Row],[CustomerID]],tblCustomers[CustomerID],tblCustomers[Region],"not found")</f>
        <v>East</v>
      </c>
      <c r="G26">
        <v>1041</v>
      </c>
      <c r="H26" t="str">
        <f>_xlfn.XLOOKUP(tblOrders[[#This Row],[ProductID]],tblProducts[ProductID],tblProducts[ProductName],"not found")</f>
        <v>Fish</v>
      </c>
      <c r="I26" t="str">
        <f>_xlfn.XLOOKUP(tblOrders[[#This Row],[ProductID]],tblProducts[ProductID],tblProducts[Category],"not found")</f>
        <v>Beauty</v>
      </c>
      <c r="J26">
        <f>_xlfn.XLOOKUP(tblOrders[[#This Row],[ProductID]],tblProducts[ProductID],tblProducts[UnitPrice],"not found")</f>
        <v>290.95999999999998</v>
      </c>
      <c r="K26" t="str">
        <f>_xlfn.XLOOKUP(tblOrders[[#This Row],[ProductID]],tblProducts[ProductID],tblProducts[Supplier],"not found")</f>
        <v>Williams Group</v>
      </c>
      <c r="L26" s="1">
        <v>45140</v>
      </c>
      <c r="M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45140</v>
      </c>
      <c r="N26">
        <v>2</v>
      </c>
      <c r="O26">
        <v>581.91999999999996</v>
      </c>
      <c r="P26">
        <f>tblOrders[[#This Row],[Quantity]]*tblOrders[[#This Row],[Unit Price]]</f>
        <v>581.91999999999996</v>
      </c>
      <c r="Q26">
        <f>tblOrders[[#This Row],[TotalSales]]-tblOrders[[#This Row],[Calculated Sales]]</f>
        <v>0</v>
      </c>
    </row>
    <row r="27" spans="1:17" x14ac:dyDescent="0.25">
      <c r="A27">
        <v>1288</v>
      </c>
      <c r="B27">
        <v>908</v>
      </c>
      <c r="C27" t="str">
        <f>_xlfn.XLOOKUP(tblOrders[[#This Row],[CustomerID]],tblCustomers[CustomerID],tblCustomers[CustomerName],"not found")</f>
        <v>Jennifer Joseph MD</v>
      </c>
      <c r="D27">
        <f>_xlfn.XLOOKUP(tblOrders[[#This Row],[CustomerID]],tblCustomers[CustomerID],tblCustomers[Age],"not found")</f>
        <v>32</v>
      </c>
      <c r="E27" t="str">
        <f>_xlfn.XLOOKUP(tblOrders[[#This Row],[CustomerID]],tblCustomers[CustomerID],tblCustomers[Gender],"not found")</f>
        <v>Female</v>
      </c>
      <c r="F27" t="str">
        <f>_xlfn.XLOOKUP(tblOrders[[#This Row],[CustomerID]],tblCustomers[CustomerID],tblCustomers[Region],"not found")</f>
        <v>West</v>
      </c>
      <c r="G27">
        <v>1041</v>
      </c>
      <c r="H27" t="str">
        <f>_xlfn.XLOOKUP(tblOrders[[#This Row],[ProductID]],tblProducts[ProductID],tblProducts[ProductName],"not found")</f>
        <v>Fish</v>
      </c>
      <c r="I27" t="str">
        <f>_xlfn.XLOOKUP(tblOrders[[#This Row],[ProductID]],tblProducts[ProductID],tblProducts[Category],"not found")</f>
        <v>Beauty</v>
      </c>
      <c r="J27">
        <f>_xlfn.XLOOKUP(tblOrders[[#This Row],[ProductID]],tblProducts[ProductID],tblProducts[UnitPrice],"not found")</f>
        <v>290.95999999999998</v>
      </c>
      <c r="K27" t="str">
        <f>_xlfn.XLOOKUP(tblOrders[[#This Row],[ProductID]],tblProducts[ProductID],tblProducts[Supplier],"not found")</f>
        <v>Williams Group</v>
      </c>
      <c r="L27" s="1">
        <v>45477</v>
      </c>
      <c r="M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45477</v>
      </c>
      <c r="N27">
        <v>5</v>
      </c>
      <c r="O27">
        <v>1454.8</v>
      </c>
      <c r="P27">
        <f>tblOrders[[#This Row],[Quantity]]*tblOrders[[#This Row],[Unit Price]]</f>
        <v>1454.8</v>
      </c>
      <c r="Q27">
        <f>tblOrders[[#This Row],[TotalSales]]-tblOrders[[#This Row],[Calculated Sales]]</f>
        <v>0</v>
      </c>
    </row>
    <row r="28" spans="1:17" x14ac:dyDescent="0.25">
      <c r="A28">
        <v>1340</v>
      </c>
      <c r="B28">
        <v>43</v>
      </c>
      <c r="C28" t="str">
        <f>_xlfn.XLOOKUP(tblOrders[[#This Row],[CustomerID]],tblCustomers[CustomerID],tblCustomers[CustomerName],"not found")</f>
        <v>Carlos Reeves</v>
      </c>
      <c r="D28">
        <f>_xlfn.XLOOKUP(tblOrders[[#This Row],[CustomerID]],tblCustomers[CustomerID],tblCustomers[Age],"not found")</f>
        <v>41</v>
      </c>
      <c r="E28" t="str">
        <f>_xlfn.XLOOKUP(tblOrders[[#This Row],[CustomerID]],tblCustomers[CustomerID],tblCustomers[Gender],"not found")</f>
        <v>Male</v>
      </c>
      <c r="F28" t="str">
        <f>_xlfn.XLOOKUP(tblOrders[[#This Row],[CustomerID]],tblCustomers[CustomerID],tblCustomers[Region],"not found")</f>
        <v>West</v>
      </c>
      <c r="G28">
        <v>1041</v>
      </c>
      <c r="H28" t="str">
        <f>_xlfn.XLOOKUP(tblOrders[[#This Row],[ProductID]],tblProducts[ProductID],tblProducts[ProductName],"not found")</f>
        <v>Fish</v>
      </c>
      <c r="I28" t="str">
        <f>_xlfn.XLOOKUP(tblOrders[[#This Row],[ProductID]],tblProducts[ProductID],tblProducts[Category],"not found")</f>
        <v>Beauty</v>
      </c>
      <c r="J28">
        <f>_xlfn.XLOOKUP(tblOrders[[#This Row],[ProductID]],tblProducts[ProductID],tblProducts[UnitPrice],"not found")</f>
        <v>290.95999999999998</v>
      </c>
      <c r="K28" t="str">
        <f>_xlfn.XLOOKUP(tblOrders[[#This Row],[ProductID]],tblProducts[ProductID],tblProducts[Supplier],"not found")</f>
        <v>Williams Group</v>
      </c>
      <c r="L28" s="1">
        <v>45332</v>
      </c>
      <c r="M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45332</v>
      </c>
      <c r="N28">
        <v>9</v>
      </c>
      <c r="O28">
        <v>2618.64</v>
      </c>
      <c r="P28">
        <f>tblOrders[[#This Row],[Quantity]]*tblOrders[[#This Row],[Unit Price]]</f>
        <v>2618.64</v>
      </c>
      <c r="Q28">
        <f>tblOrders[[#This Row],[TotalSales]]-tblOrders[[#This Row],[Calculated Sales]]</f>
        <v>0</v>
      </c>
    </row>
    <row r="29" spans="1:17" x14ac:dyDescent="0.25">
      <c r="A29">
        <v>1540</v>
      </c>
      <c r="B29">
        <v>806</v>
      </c>
      <c r="C29" t="str">
        <f>_xlfn.XLOOKUP(tblOrders[[#This Row],[CustomerID]],tblCustomers[CustomerID],tblCustomers[CustomerName],"not found")</f>
        <v>Jennifer Arellano</v>
      </c>
      <c r="D29">
        <f>_xlfn.XLOOKUP(tblOrders[[#This Row],[CustomerID]],tblCustomers[CustomerID],tblCustomers[Age],"not found")</f>
        <v>55</v>
      </c>
      <c r="E29" t="str">
        <f>_xlfn.XLOOKUP(tblOrders[[#This Row],[CustomerID]],tblCustomers[CustomerID],tblCustomers[Gender],"not found")</f>
        <v>Female</v>
      </c>
      <c r="F29" t="str">
        <f>_xlfn.XLOOKUP(tblOrders[[#This Row],[CustomerID]],tblCustomers[CustomerID],tblCustomers[Region],"not found")</f>
        <v>East</v>
      </c>
      <c r="G29">
        <v>1041</v>
      </c>
      <c r="H29" t="str">
        <f>_xlfn.XLOOKUP(tblOrders[[#This Row],[ProductID]],tblProducts[ProductID],tblProducts[ProductName],"not found")</f>
        <v>Fish</v>
      </c>
      <c r="I29" t="str">
        <f>_xlfn.XLOOKUP(tblOrders[[#This Row],[ProductID]],tblProducts[ProductID],tblProducts[Category],"not found")</f>
        <v>Beauty</v>
      </c>
      <c r="J29">
        <f>_xlfn.XLOOKUP(tblOrders[[#This Row],[ProductID]],tblProducts[ProductID],tblProducts[UnitPrice],"not found")</f>
        <v>290.95999999999998</v>
      </c>
      <c r="K29" t="str">
        <f>_xlfn.XLOOKUP(tblOrders[[#This Row],[ProductID]],tblProducts[ProductID],tblProducts[Supplier],"not found")</f>
        <v>Williams Group</v>
      </c>
      <c r="L29" s="1">
        <v>45389</v>
      </c>
      <c r="M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45389</v>
      </c>
      <c r="N29">
        <v>5</v>
      </c>
      <c r="O29">
        <v>1454.8</v>
      </c>
      <c r="P29">
        <f>tblOrders[[#This Row],[Quantity]]*tblOrders[[#This Row],[Unit Price]]</f>
        <v>1454.8</v>
      </c>
      <c r="Q29">
        <f>tblOrders[[#This Row],[TotalSales]]-tblOrders[[#This Row],[Calculated Sales]]</f>
        <v>0</v>
      </c>
    </row>
    <row r="30" spans="1:17" x14ac:dyDescent="0.25">
      <c r="A30">
        <v>1910</v>
      </c>
      <c r="B30">
        <v>373</v>
      </c>
      <c r="C30" t="str">
        <f>_xlfn.XLOOKUP(tblOrders[[#This Row],[CustomerID]],tblCustomers[CustomerID],tblCustomers[CustomerName],"not found")</f>
        <v>Robert Barrera</v>
      </c>
      <c r="D30">
        <f>_xlfn.XLOOKUP(tblOrders[[#This Row],[CustomerID]],tblCustomers[CustomerID],tblCustomers[Age],"not found")</f>
        <v>27</v>
      </c>
      <c r="E30" t="str">
        <f>_xlfn.XLOOKUP(tblOrders[[#This Row],[CustomerID]],tblCustomers[CustomerID],tblCustomers[Gender],"not found")</f>
        <v>Female</v>
      </c>
      <c r="F30" t="str">
        <f>_xlfn.XLOOKUP(tblOrders[[#This Row],[CustomerID]],tblCustomers[CustomerID],tblCustomers[Region],"not found")</f>
        <v>Central</v>
      </c>
      <c r="G30">
        <v>1041</v>
      </c>
      <c r="H30" t="str">
        <f>_xlfn.XLOOKUP(tblOrders[[#This Row],[ProductID]],tblProducts[ProductID],tblProducts[ProductName],"not found")</f>
        <v>Fish</v>
      </c>
      <c r="I30" t="str">
        <f>_xlfn.XLOOKUP(tblOrders[[#This Row],[ProductID]],tblProducts[ProductID],tblProducts[Category],"not found")</f>
        <v>Beauty</v>
      </c>
      <c r="J30">
        <f>_xlfn.XLOOKUP(tblOrders[[#This Row],[ProductID]],tblProducts[ProductID],tblProducts[UnitPrice],"not found")</f>
        <v>290.95999999999998</v>
      </c>
      <c r="K30" t="str">
        <f>_xlfn.XLOOKUP(tblOrders[[#This Row],[ProductID]],tblProducts[ProductID],tblProducts[Supplier],"not found")</f>
        <v>Williams Group</v>
      </c>
      <c r="L30" s="1" t="s">
        <v>2024</v>
      </c>
      <c r="M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44941</v>
      </c>
      <c r="N30">
        <v>5</v>
      </c>
      <c r="O30">
        <v>1454.8</v>
      </c>
      <c r="P30">
        <f>tblOrders[[#This Row],[Quantity]]*tblOrders[[#This Row],[Unit Price]]</f>
        <v>1454.8</v>
      </c>
      <c r="Q30">
        <f>tblOrders[[#This Row],[TotalSales]]-tblOrders[[#This Row],[Calculated Sales]]</f>
        <v>0</v>
      </c>
    </row>
    <row r="31" spans="1:17" x14ac:dyDescent="0.25">
      <c r="A31">
        <v>1986</v>
      </c>
      <c r="B31">
        <v>96</v>
      </c>
      <c r="C31" t="str">
        <f>_xlfn.XLOOKUP(tblOrders[[#This Row],[CustomerID]],tblCustomers[CustomerID],tblCustomers[CustomerName],"not found")</f>
        <v>Seth Santiago</v>
      </c>
      <c r="D31">
        <f>_xlfn.XLOOKUP(tblOrders[[#This Row],[CustomerID]],tblCustomers[CustomerID],tblCustomers[Age],"not found")</f>
        <v>28</v>
      </c>
      <c r="E31" t="str">
        <f>_xlfn.XLOOKUP(tblOrders[[#This Row],[CustomerID]],tblCustomers[CustomerID],tblCustomers[Gender],"not found")</f>
        <v>Female</v>
      </c>
      <c r="F31" t="str">
        <f>_xlfn.XLOOKUP(tblOrders[[#This Row],[CustomerID]],tblCustomers[CustomerID],tblCustomers[Region],"not found")</f>
        <v>West</v>
      </c>
      <c r="G31">
        <v>1041</v>
      </c>
      <c r="H31" t="str">
        <f>_xlfn.XLOOKUP(tblOrders[[#This Row],[ProductID]],tblProducts[ProductID],tblProducts[ProductName],"not found")</f>
        <v>Fish</v>
      </c>
      <c r="I31" t="str">
        <f>_xlfn.XLOOKUP(tblOrders[[#This Row],[ProductID]],tblProducts[ProductID],tblProducts[Category],"not found")</f>
        <v>Beauty</v>
      </c>
      <c r="J31">
        <f>_xlfn.XLOOKUP(tblOrders[[#This Row],[ProductID]],tblProducts[ProductID],tblProducts[UnitPrice],"not found")</f>
        <v>290.95999999999998</v>
      </c>
      <c r="K31" t="str">
        <f>_xlfn.XLOOKUP(tblOrders[[#This Row],[ProductID]],tblProducts[ProductID],tblProducts[Supplier],"not found")</f>
        <v>Williams Group</v>
      </c>
      <c r="L31" s="1" t="s">
        <v>2025</v>
      </c>
      <c r="M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45407</v>
      </c>
      <c r="N31">
        <v>5</v>
      </c>
      <c r="O31">
        <v>1454.8</v>
      </c>
      <c r="P31">
        <f>tblOrders[[#This Row],[Quantity]]*tblOrders[[#This Row],[Unit Price]]</f>
        <v>1454.8</v>
      </c>
      <c r="Q31">
        <f>tblOrders[[#This Row],[TotalSales]]-tblOrders[[#This Row],[Calculated Sales]]</f>
        <v>0</v>
      </c>
    </row>
    <row r="32" spans="1:17" x14ac:dyDescent="0.25">
      <c r="A32">
        <v>1990</v>
      </c>
      <c r="B32">
        <v>87</v>
      </c>
      <c r="C32" t="str">
        <f>_xlfn.XLOOKUP(tblOrders[[#This Row],[CustomerID]],tblCustomers[CustomerID],tblCustomers[CustomerName],"not found")</f>
        <v>Marcus Lucas</v>
      </c>
      <c r="D32">
        <f>_xlfn.XLOOKUP(tblOrders[[#This Row],[CustomerID]],tblCustomers[CustomerID],tblCustomers[Age],"not found")</f>
        <v>65</v>
      </c>
      <c r="E32" t="str">
        <f>_xlfn.XLOOKUP(tblOrders[[#This Row],[CustomerID]],tblCustomers[CustomerID],tblCustomers[Gender],"not found")</f>
        <v>Male</v>
      </c>
      <c r="F32" t="str">
        <f>_xlfn.XLOOKUP(tblOrders[[#This Row],[CustomerID]],tblCustomers[CustomerID],tblCustomers[Region],"not found")</f>
        <v>West</v>
      </c>
      <c r="G32">
        <v>1041</v>
      </c>
      <c r="H32" t="str">
        <f>_xlfn.XLOOKUP(tblOrders[[#This Row],[ProductID]],tblProducts[ProductID],tblProducts[ProductName],"not found")</f>
        <v>Fish</v>
      </c>
      <c r="I32" t="str">
        <f>_xlfn.XLOOKUP(tblOrders[[#This Row],[ProductID]],tblProducts[ProductID],tblProducts[Category],"not found")</f>
        <v>Beauty</v>
      </c>
      <c r="J32">
        <f>_xlfn.XLOOKUP(tblOrders[[#This Row],[ProductID]],tblProducts[ProductID],tblProducts[UnitPrice],"not found")</f>
        <v>290.95999999999998</v>
      </c>
      <c r="K32" t="str">
        <f>_xlfn.XLOOKUP(tblOrders[[#This Row],[ProductID]],tblProducts[ProductID],tblProducts[Supplier],"not found")</f>
        <v>Williams Group</v>
      </c>
      <c r="L32" s="1">
        <v>45049</v>
      </c>
      <c r="M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45049</v>
      </c>
      <c r="N32">
        <v>4</v>
      </c>
      <c r="O32">
        <v>1163.8399999999999</v>
      </c>
      <c r="P32">
        <f>tblOrders[[#This Row],[Quantity]]*tblOrders[[#This Row],[Unit Price]]</f>
        <v>1163.8399999999999</v>
      </c>
      <c r="Q32">
        <f>tblOrders[[#This Row],[TotalSales]]-tblOrders[[#This Row],[Calculated Sales]]</f>
        <v>0</v>
      </c>
    </row>
    <row r="33" spans="1:17" x14ac:dyDescent="0.25">
      <c r="A33">
        <v>3</v>
      </c>
      <c r="B33">
        <v>816</v>
      </c>
      <c r="C33" t="str">
        <f>_xlfn.XLOOKUP(tblOrders[[#This Row],[CustomerID]],tblCustomers[CustomerID],tblCustomers[CustomerName],"not found")</f>
        <v>Anna Nguyen</v>
      </c>
      <c r="D33">
        <f>_xlfn.XLOOKUP(tblOrders[[#This Row],[CustomerID]],tblCustomers[CustomerID],tblCustomers[Age],"not found")</f>
        <v>36</v>
      </c>
      <c r="E33" t="str">
        <f>_xlfn.XLOOKUP(tblOrders[[#This Row],[CustomerID]],tblCustomers[CustomerID],tblCustomers[Gender],"not found")</f>
        <v>Female</v>
      </c>
      <c r="F33" t="str">
        <f>_xlfn.XLOOKUP(tblOrders[[#This Row],[CustomerID]],tblCustomers[CustomerID],tblCustomers[Region],"not found")</f>
        <v>South</v>
      </c>
      <c r="G33">
        <v>1074</v>
      </c>
      <c r="H33" t="str">
        <f>_xlfn.XLOOKUP(tblOrders[[#This Row],[ProductID]],tblProducts[ProductID],tblProducts[ProductName],"not found")</f>
        <v>State</v>
      </c>
      <c r="I33" t="str">
        <f>_xlfn.XLOOKUP(tblOrders[[#This Row],[ProductID]],tblProducts[ProductID],tblProducts[Category],"not found")</f>
        <v>Furniture</v>
      </c>
      <c r="J33">
        <f>_xlfn.XLOOKUP(tblOrders[[#This Row],[ProductID]],tblProducts[ProductID],tblProducts[UnitPrice],"not found")</f>
        <v>347.87</v>
      </c>
      <c r="K33" t="str">
        <f>_xlfn.XLOOKUP(tblOrders[[#This Row],[ProductID]],tblProducts[ProductID],tblProducts[Supplier],"not found")</f>
        <v>Hall Inc</v>
      </c>
      <c r="L33" s="1" t="s">
        <v>2026</v>
      </c>
      <c r="M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44940</v>
      </c>
      <c r="N33">
        <v>1</v>
      </c>
      <c r="O33">
        <v>347.87</v>
      </c>
      <c r="P33">
        <f>tblOrders[[#This Row],[Quantity]]*tblOrders[[#This Row],[Unit Price]]</f>
        <v>347.87</v>
      </c>
      <c r="Q33">
        <f>tblOrders[[#This Row],[TotalSales]]-tblOrders[[#This Row],[Calculated Sales]]</f>
        <v>0</v>
      </c>
    </row>
    <row r="34" spans="1:17" x14ac:dyDescent="0.25">
      <c r="A34">
        <v>40</v>
      </c>
      <c r="B34">
        <v>247</v>
      </c>
      <c r="C34" t="str">
        <f>_xlfn.XLOOKUP(tblOrders[[#This Row],[CustomerID]],tblCustomers[CustomerID],tblCustomers[CustomerName],"not found")</f>
        <v>Lindsay White</v>
      </c>
      <c r="D34">
        <f>_xlfn.XLOOKUP(tblOrders[[#This Row],[CustomerID]],tblCustomers[CustomerID],tblCustomers[Age],"not found")</f>
        <v>65</v>
      </c>
      <c r="E34" t="str">
        <f>_xlfn.XLOOKUP(tblOrders[[#This Row],[CustomerID]],tblCustomers[CustomerID],tblCustomers[Gender],"not found")</f>
        <v>Male</v>
      </c>
      <c r="F34" t="str">
        <f>_xlfn.XLOOKUP(tblOrders[[#This Row],[CustomerID]],tblCustomers[CustomerID],tblCustomers[Region],"not found")</f>
        <v>East</v>
      </c>
      <c r="G34">
        <v>1074</v>
      </c>
      <c r="H34" t="str">
        <f>_xlfn.XLOOKUP(tblOrders[[#This Row],[ProductID]],tblProducts[ProductID],tblProducts[ProductName],"not found")</f>
        <v>State</v>
      </c>
      <c r="I34" t="str">
        <f>_xlfn.XLOOKUP(tblOrders[[#This Row],[ProductID]],tblProducts[ProductID],tblProducts[Category],"not found")</f>
        <v>Furniture</v>
      </c>
      <c r="J34">
        <f>_xlfn.XLOOKUP(tblOrders[[#This Row],[ProductID]],tblProducts[ProductID],tblProducts[UnitPrice],"not found")</f>
        <v>347.87</v>
      </c>
      <c r="K34" t="str">
        <f>_xlfn.XLOOKUP(tblOrders[[#This Row],[ProductID]],tblProducts[ProductID],tblProducts[Supplier],"not found")</f>
        <v>Hall Inc</v>
      </c>
      <c r="L34" s="1" t="s">
        <v>2027</v>
      </c>
      <c r="M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45030</v>
      </c>
      <c r="N34">
        <v>1</v>
      </c>
      <c r="O34">
        <v>347.87</v>
      </c>
      <c r="P34">
        <f>tblOrders[[#This Row],[Quantity]]*tblOrders[[#This Row],[Unit Price]]</f>
        <v>347.87</v>
      </c>
      <c r="Q34">
        <f>tblOrders[[#This Row],[TotalSales]]-tblOrders[[#This Row],[Calculated Sales]]</f>
        <v>0</v>
      </c>
    </row>
    <row r="35" spans="1:17" x14ac:dyDescent="0.25">
      <c r="A35">
        <v>321</v>
      </c>
      <c r="B35">
        <v>623</v>
      </c>
      <c r="C35" t="str">
        <f>_xlfn.XLOOKUP(tblOrders[[#This Row],[CustomerID]],tblCustomers[CustomerID],tblCustomers[CustomerName],"not found")</f>
        <v>Timothy Williams</v>
      </c>
      <c r="D35">
        <f>_xlfn.XLOOKUP(tblOrders[[#This Row],[CustomerID]],tblCustomers[CustomerID],tblCustomers[Age],"not found")</f>
        <v>44</v>
      </c>
      <c r="E35" t="str">
        <f>_xlfn.XLOOKUP(tblOrders[[#This Row],[CustomerID]],tblCustomers[CustomerID],tblCustomers[Gender],"not found")</f>
        <v>Female</v>
      </c>
      <c r="F35" t="str">
        <f>_xlfn.XLOOKUP(tblOrders[[#This Row],[CustomerID]],tblCustomers[CustomerID],tblCustomers[Region],"not found")</f>
        <v>North</v>
      </c>
      <c r="G35">
        <v>1074</v>
      </c>
      <c r="H35" t="str">
        <f>_xlfn.XLOOKUP(tblOrders[[#This Row],[ProductID]],tblProducts[ProductID],tblProducts[ProductName],"not found")</f>
        <v>State</v>
      </c>
      <c r="I35" t="str">
        <f>_xlfn.XLOOKUP(tblOrders[[#This Row],[ProductID]],tblProducts[ProductID],tblProducts[Category],"not found")</f>
        <v>Furniture</v>
      </c>
      <c r="J35">
        <f>_xlfn.XLOOKUP(tblOrders[[#This Row],[ProductID]],tblProducts[ProductID],tblProducts[UnitPrice],"not found")</f>
        <v>347.87</v>
      </c>
      <c r="K35" t="str">
        <f>_xlfn.XLOOKUP(tblOrders[[#This Row],[ProductID]],tblProducts[ProductID],tblProducts[Supplier],"not found")</f>
        <v>Hall Inc</v>
      </c>
      <c r="L35" s="1" t="s">
        <v>2028</v>
      </c>
      <c r="M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45596</v>
      </c>
      <c r="N35">
        <v>7</v>
      </c>
      <c r="O35">
        <v>2435.09</v>
      </c>
      <c r="P35">
        <f>tblOrders[[#This Row],[Quantity]]*tblOrders[[#This Row],[Unit Price]]</f>
        <v>2435.09</v>
      </c>
      <c r="Q35">
        <f>tblOrders[[#This Row],[TotalSales]]-tblOrders[[#This Row],[Calculated Sales]]</f>
        <v>0</v>
      </c>
    </row>
    <row r="36" spans="1:17" x14ac:dyDescent="0.25">
      <c r="A36">
        <v>474</v>
      </c>
      <c r="B36">
        <v>674</v>
      </c>
      <c r="C36" t="str">
        <f>_xlfn.XLOOKUP(tblOrders[[#This Row],[CustomerID]],tblCustomers[CustomerID],tblCustomers[CustomerName],"not found")</f>
        <v>Raymond Oconnor</v>
      </c>
      <c r="D36">
        <f>_xlfn.XLOOKUP(tblOrders[[#This Row],[CustomerID]],tblCustomers[CustomerID],tblCustomers[Age],"not found")</f>
        <v>44</v>
      </c>
      <c r="E36" t="str">
        <f>_xlfn.XLOOKUP(tblOrders[[#This Row],[CustomerID]],tblCustomers[CustomerID],tblCustomers[Gender],"not found")</f>
        <v>Female</v>
      </c>
      <c r="F36" t="str">
        <f>_xlfn.XLOOKUP(tblOrders[[#This Row],[CustomerID]],tblCustomers[CustomerID],tblCustomers[Region],"not found")</f>
        <v>Central</v>
      </c>
      <c r="G36">
        <v>1074</v>
      </c>
      <c r="H36" t="str">
        <f>_xlfn.XLOOKUP(tblOrders[[#This Row],[ProductID]],tblProducts[ProductID],tblProducts[ProductName],"not found")</f>
        <v>State</v>
      </c>
      <c r="I36" t="str">
        <f>_xlfn.XLOOKUP(tblOrders[[#This Row],[ProductID]],tblProducts[ProductID],tblProducts[Category],"not found")</f>
        <v>Furniture</v>
      </c>
      <c r="J36">
        <f>_xlfn.XLOOKUP(tblOrders[[#This Row],[ProductID]],tblProducts[ProductID],tblProducts[UnitPrice],"not found")</f>
        <v>347.87</v>
      </c>
      <c r="K36" t="str">
        <f>_xlfn.XLOOKUP(tblOrders[[#This Row],[ProductID]],tblProducts[ProductID],tblProducts[Supplier],"not found")</f>
        <v>Hall Inc</v>
      </c>
      <c r="L36" s="1">
        <v>44815</v>
      </c>
      <c r="M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44815</v>
      </c>
      <c r="N36">
        <v>9</v>
      </c>
      <c r="O36">
        <v>3130.83</v>
      </c>
      <c r="P36">
        <f>tblOrders[[#This Row],[Quantity]]*tblOrders[[#This Row],[Unit Price]]</f>
        <v>3130.83</v>
      </c>
      <c r="Q36">
        <f>tblOrders[[#This Row],[TotalSales]]-tblOrders[[#This Row],[Calculated Sales]]</f>
        <v>0</v>
      </c>
    </row>
    <row r="37" spans="1:17" x14ac:dyDescent="0.25">
      <c r="A37">
        <v>520</v>
      </c>
      <c r="B37">
        <v>74</v>
      </c>
      <c r="C37" t="str">
        <f>_xlfn.XLOOKUP(tblOrders[[#This Row],[CustomerID]],tblCustomers[CustomerID],tblCustomers[CustomerName],"not found")</f>
        <v>Gregory Miller</v>
      </c>
      <c r="D37">
        <f>_xlfn.XLOOKUP(tblOrders[[#This Row],[CustomerID]],tblCustomers[CustomerID],tblCustomers[Age],"not found")</f>
        <v>57</v>
      </c>
      <c r="E37" t="str">
        <f>_xlfn.XLOOKUP(tblOrders[[#This Row],[CustomerID]],tblCustomers[CustomerID],tblCustomers[Gender],"not found")</f>
        <v>Male</v>
      </c>
      <c r="F37" t="str">
        <f>_xlfn.XLOOKUP(tblOrders[[#This Row],[CustomerID]],tblCustomers[CustomerID],tblCustomers[Region],"not found")</f>
        <v>East</v>
      </c>
      <c r="G37">
        <v>1074</v>
      </c>
      <c r="H37" t="str">
        <f>_xlfn.XLOOKUP(tblOrders[[#This Row],[ProductID]],tblProducts[ProductID],tblProducts[ProductName],"not found")</f>
        <v>State</v>
      </c>
      <c r="I37" t="str">
        <f>_xlfn.XLOOKUP(tblOrders[[#This Row],[ProductID]],tblProducts[ProductID],tblProducts[Category],"not found")</f>
        <v>Furniture</v>
      </c>
      <c r="J37">
        <f>_xlfn.XLOOKUP(tblOrders[[#This Row],[ProductID]],tblProducts[ProductID],tblProducts[UnitPrice],"not found")</f>
        <v>347.87</v>
      </c>
      <c r="K37" t="str">
        <f>_xlfn.XLOOKUP(tblOrders[[#This Row],[ProductID]],tblProducts[ProductID],tblProducts[Supplier],"not found")</f>
        <v>Hall Inc</v>
      </c>
      <c r="L37" s="1" t="s">
        <v>2029</v>
      </c>
      <c r="M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45348</v>
      </c>
      <c r="N37">
        <v>4</v>
      </c>
      <c r="O37">
        <v>1391.48</v>
      </c>
      <c r="P37">
        <f>tblOrders[[#This Row],[Quantity]]*tblOrders[[#This Row],[Unit Price]]</f>
        <v>1391.48</v>
      </c>
      <c r="Q37">
        <f>tblOrders[[#This Row],[TotalSales]]-tblOrders[[#This Row],[Calculated Sales]]</f>
        <v>0</v>
      </c>
    </row>
    <row r="38" spans="1:17" x14ac:dyDescent="0.25">
      <c r="A38">
        <v>584</v>
      </c>
      <c r="B38">
        <v>171</v>
      </c>
      <c r="C38" t="str">
        <f>_xlfn.XLOOKUP(tblOrders[[#This Row],[CustomerID]],tblCustomers[CustomerID],tblCustomers[CustomerName],"not found")</f>
        <v>Donald Smith</v>
      </c>
      <c r="D38">
        <f>_xlfn.XLOOKUP(tblOrders[[#This Row],[CustomerID]],tblCustomers[CustomerID],tblCustomers[Age],"not found")</f>
        <v>29</v>
      </c>
      <c r="E38" t="str">
        <f>_xlfn.XLOOKUP(tblOrders[[#This Row],[CustomerID]],tblCustomers[CustomerID],tblCustomers[Gender],"not found")</f>
        <v>Female</v>
      </c>
      <c r="F38" t="str">
        <f>_xlfn.XLOOKUP(tblOrders[[#This Row],[CustomerID]],tblCustomers[CustomerID],tblCustomers[Region],"not found")</f>
        <v>South</v>
      </c>
      <c r="G38">
        <v>1074</v>
      </c>
      <c r="H38" t="str">
        <f>_xlfn.XLOOKUP(tblOrders[[#This Row],[ProductID]],tblProducts[ProductID],tblProducts[ProductName],"not found")</f>
        <v>State</v>
      </c>
      <c r="I38" t="str">
        <f>_xlfn.XLOOKUP(tblOrders[[#This Row],[ProductID]],tblProducts[ProductID],tblProducts[Category],"not found")</f>
        <v>Furniture</v>
      </c>
      <c r="J38">
        <f>_xlfn.XLOOKUP(tblOrders[[#This Row],[ProductID]],tblProducts[ProductID],tblProducts[UnitPrice],"not found")</f>
        <v>347.87</v>
      </c>
      <c r="K38" t="str">
        <f>_xlfn.XLOOKUP(tblOrders[[#This Row],[ProductID]],tblProducts[ProductID],tblProducts[Supplier],"not found")</f>
        <v>Hall Inc</v>
      </c>
      <c r="L38" s="1" t="s">
        <v>2013</v>
      </c>
      <c r="M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45319</v>
      </c>
      <c r="N38">
        <v>9</v>
      </c>
      <c r="O38">
        <v>3130.83</v>
      </c>
      <c r="P38">
        <f>tblOrders[[#This Row],[Quantity]]*tblOrders[[#This Row],[Unit Price]]</f>
        <v>3130.83</v>
      </c>
      <c r="Q38">
        <f>tblOrders[[#This Row],[TotalSales]]-tblOrders[[#This Row],[Calculated Sales]]</f>
        <v>0</v>
      </c>
    </row>
    <row r="39" spans="1:17" x14ac:dyDescent="0.25">
      <c r="A39">
        <v>598</v>
      </c>
      <c r="B39">
        <v>306</v>
      </c>
      <c r="C39" t="str">
        <f>_xlfn.XLOOKUP(tblOrders[[#This Row],[CustomerID]],tblCustomers[CustomerID],tblCustomers[CustomerName],"not found")</f>
        <v>Philip Meyers</v>
      </c>
      <c r="D39">
        <f>_xlfn.XLOOKUP(tblOrders[[#This Row],[CustomerID]],tblCustomers[CustomerID],tblCustomers[Age],"not found")</f>
        <v>56</v>
      </c>
      <c r="E39" t="str">
        <f>_xlfn.XLOOKUP(tblOrders[[#This Row],[CustomerID]],tblCustomers[CustomerID],tblCustomers[Gender],"not found")</f>
        <v>Male</v>
      </c>
      <c r="F39" t="str">
        <f>_xlfn.XLOOKUP(tblOrders[[#This Row],[CustomerID]],tblCustomers[CustomerID],tblCustomers[Region],"not found")</f>
        <v>West</v>
      </c>
      <c r="G39">
        <v>1074</v>
      </c>
      <c r="H39" t="str">
        <f>_xlfn.XLOOKUP(tblOrders[[#This Row],[ProductID]],tblProducts[ProductID],tblProducts[ProductName],"not found")</f>
        <v>State</v>
      </c>
      <c r="I39" t="str">
        <f>_xlfn.XLOOKUP(tblOrders[[#This Row],[ProductID]],tblProducts[ProductID],tblProducts[Category],"not found")</f>
        <v>Furniture</v>
      </c>
      <c r="J39">
        <f>_xlfn.XLOOKUP(tblOrders[[#This Row],[ProductID]],tblProducts[ProductID],tblProducts[UnitPrice],"not found")</f>
        <v>347.87</v>
      </c>
      <c r="K39" t="str">
        <f>_xlfn.XLOOKUP(tblOrders[[#This Row],[ProductID]],tblProducts[ProductID],tblProducts[Supplier],"not found")</f>
        <v>Hall Inc</v>
      </c>
      <c r="L39" s="1">
        <v>45416</v>
      </c>
      <c r="M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45416</v>
      </c>
      <c r="N39">
        <v>6</v>
      </c>
      <c r="O39">
        <v>2087.2199999999998</v>
      </c>
      <c r="P39">
        <f>tblOrders[[#This Row],[Quantity]]*tblOrders[[#This Row],[Unit Price]]</f>
        <v>2087.2200000000003</v>
      </c>
      <c r="Q39">
        <f>tblOrders[[#This Row],[TotalSales]]-tblOrders[[#This Row],[Calculated Sales]]</f>
        <v>0</v>
      </c>
    </row>
    <row r="40" spans="1:17" x14ac:dyDescent="0.25">
      <c r="A40">
        <v>618</v>
      </c>
      <c r="B40">
        <v>557</v>
      </c>
      <c r="C40" t="str">
        <f>_xlfn.XLOOKUP(tblOrders[[#This Row],[CustomerID]],tblCustomers[CustomerID],tblCustomers[CustomerName],"not found")</f>
        <v>Max Mayo</v>
      </c>
      <c r="D40">
        <f>_xlfn.XLOOKUP(tblOrders[[#This Row],[CustomerID]],tblCustomers[CustomerID],tblCustomers[Age],"not found")</f>
        <v>41</v>
      </c>
      <c r="E40" t="str">
        <f>_xlfn.XLOOKUP(tblOrders[[#This Row],[CustomerID]],tblCustomers[CustomerID],tblCustomers[Gender],"not found")</f>
        <v>Female</v>
      </c>
      <c r="F40" t="str">
        <f>_xlfn.XLOOKUP(tblOrders[[#This Row],[CustomerID]],tblCustomers[CustomerID],tblCustomers[Region],"not found")</f>
        <v>South</v>
      </c>
      <c r="G40">
        <v>1074</v>
      </c>
      <c r="H40" t="str">
        <f>_xlfn.XLOOKUP(tblOrders[[#This Row],[ProductID]],tblProducts[ProductID],tblProducts[ProductName],"not found")</f>
        <v>State</v>
      </c>
      <c r="I40" t="str">
        <f>_xlfn.XLOOKUP(tblOrders[[#This Row],[ProductID]],tblProducts[ProductID],tblProducts[Category],"not found")</f>
        <v>Furniture</v>
      </c>
      <c r="J40">
        <f>_xlfn.XLOOKUP(tblOrders[[#This Row],[ProductID]],tblProducts[ProductID],tblProducts[UnitPrice],"not found")</f>
        <v>347.87</v>
      </c>
      <c r="K40" t="str">
        <f>_xlfn.XLOOKUP(tblOrders[[#This Row],[ProductID]],tblProducts[ProductID],tblProducts[Supplier],"not found")</f>
        <v>Hall Inc</v>
      </c>
      <c r="L40" s="1">
        <v>45299</v>
      </c>
      <c r="M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45299</v>
      </c>
      <c r="N40">
        <v>5</v>
      </c>
      <c r="O40">
        <v>1739.35</v>
      </c>
      <c r="P40">
        <f>tblOrders[[#This Row],[Quantity]]*tblOrders[[#This Row],[Unit Price]]</f>
        <v>1739.35</v>
      </c>
      <c r="Q40">
        <f>tblOrders[[#This Row],[TotalSales]]-tblOrders[[#This Row],[Calculated Sales]]</f>
        <v>0</v>
      </c>
    </row>
    <row r="41" spans="1:17" x14ac:dyDescent="0.25">
      <c r="A41">
        <v>661</v>
      </c>
      <c r="B41">
        <v>934</v>
      </c>
      <c r="C41" t="str">
        <f>_xlfn.XLOOKUP(tblOrders[[#This Row],[CustomerID]],tblCustomers[CustomerID],tblCustomers[CustomerName],"not found")</f>
        <v>Michael Sanchez</v>
      </c>
      <c r="D41">
        <f>_xlfn.XLOOKUP(tblOrders[[#This Row],[CustomerID]],tblCustomers[CustomerID],tblCustomers[Age],"not found")</f>
        <v>56</v>
      </c>
      <c r="E41" t="str">
        <f>_xlfn.XLOOKUP(tblOrders[[#This Row],[CustomerID]],tblCustomers[CustomerID],tblCustomers[Gender],"not found")</f>
        <v>Female</v>
      </c>
      <c r="F41" t="str">
        <f>_xlfn.XLOOKUP(tblOrders[[#This Row],[CustomerID]],tblCustomers[CustomerID],tblCustomers[Region],"not found")</f>
        <v>West</v>
      </c>
      <c r="G41">
        <v>1074</v>
      </c>
      <c r="H41" t="str">
        <f>_xlfn.XLOOKUP(tblOrders[[#This Row],[ProductID]],tblProducts[ProductID],tblProducts[ProductName],"not found")</f>
        <v>State</v>
      </c>
      <c r="I41" t="str">
        <f>_xlfn.XLOOKUP(tblOrders[[#This Row],[ProductID]],tblProducts[ProductID],tblProducts[Category],"not found")</f>
        <v>Furniture</v>
      </c>
      <c r="J41">
        <f>_xlfn.XLOOKUP(tblOrders[[#This Row],[ProductID]],tblProducts[ProductID],tblProducts[UnitPrice],"not found")</f>
        <v>347.87</v>
      </c>
      <c r="K41" t="str">
        <f>_xlfn.XLOOKUP(tblOrders[[#This Row],[ProductID]],tblProducts[ProductID],tblProducts[Supplier],"not found")</f>
        <v>Hall Inc</v>
      </c>
      <c r="L41" s="1" t="s">
        <v>2030</v>
      </c>
      <c r="M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45465</v>
      </c>
      <c r="N41">
        <v>8</v>
      </c>
      <c r="O41">
        <v>2782.96</v>
      </c>
      <c r="P41">
        <f>tblOrders[[#This Row],[Quantity]]*tblOrders[[#This Row],[Unit Price]]</f>
        <v>2782.96</v>
      </c>
      <c r="Q41">
        <f>tblOrders[[#This Row],[TotalSales]]-tblOrders[[#This Row],[Calculated Sales]]</f>
        <v>0</v>
      </c>
    </row>
    <row r="42" spans="1:17" x14ac:dyDescent="0.25">
      <c r="A42">
        <v>711</v>
      </c>
      <c r="B42">
        <v>480</v>
      </c>
      <c r="C42" t="str">
        <f>_xlfn.XLOOKUP(tblOrders[[#This Row],[CustomerID]],tblCustomers[CustomerID],tblCustomers[CustomerName],"not found")</f>
        <v>Robert Wilson</v>
      </c>
      <c r="D42">
        <f>_xlfn.XLOOKUP(tblOrders[[#This Row],[CustomerID]],tblCustomers[CustomerID],tblCustomers[Age],"not found")</f>
        <v>22</v>
      </c>
      <c r="E42" t="str">
        <f>_xlfn.XLOOKUP(tblOrders[[#This Row],[CustomerID]],tblCustomers[CustomerID],tblCustomers[Gender],"not found")</f>
        <v>Male</v>
      </c>
      <c r="F42" t="str">
        <f>_xlfn.XLOOKUP(tblOrders[[#This Row],[CustomerID]],tblCustomers[CustomerID],tblCustomers[Region],"not found")</f>
        <v>South</v>
      </c>
      <c r="G42">
        <v>1074</v>
      </c>
      <c r="H42" t="str">
        <f>_xlfn.XLOOKUP(tblOrders[[#This Row],[ProductID]],tblProducts[ProductID],tblProducts[ProductName],"not found")</f>
        <v>State</v>
      </c>
      <c r="I42" t="str">
        <f>_xlfn.XLOOKUP(tblOrders[[#This Row],[ProductID]],tblProducts[ProductID],tblProducts[Category],"not found")</f>
        <v>Furniture</v>
      </c>
      <c r="J42">
        <f>_xlfn.XLOOKUP(tblOrders[[#This Row],[ProductID]],tblProducts[ProductID],tblProducts[UnitPrice],"not found")</f>
        <v>347.87</v>
      </c>
      <c r="K42" t="str">
        <f>_xlfn.XLOOKUP(tblOrders[[#This Row],[ProductID]],tblProducts[ProductID],tblProducts[Supplier],"not found")</f>
        <v>Hall Inc</v>
      </c>
      <c r="L42" s="1">
        <v>45630</v>
      </c>
      <c r="M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45630</v>
      </c>
      <c r="N42">
        <v>6</v>
      </c>
      <c r="O42">
        <v>2087.2199999999998</v>
      </c>
      <c r="P42">
        <f>tblOrders[[#This Row],[Quantity]]*tblOrders[[#This Row],[Unit Price]]</f>
        <v>2087.2200000000003</v>
      </c>
      <c r="Q42">
        <f>tblOrders[[#This Row],[TotalSales]]-tblOrders[[#This Row],[Calculated Sales]]</f>
        <v>0</v>
      </c>
    </row>
    <row r="43" spans="1:17" x14ac:dyDescent="0.25">
      <c r="A43">
        <v>732</v>
      </c>
      <c r="B43">
        <v>204</v>
      </c>
      <c r="C43" t="str">
        <f>_xlfn.XLOOKUP(tblOrders[[#This Row],[CustomerID]],tblCustomers[CustomerID],tblCustomers[CustomerName],"not found")</f>
        <v>Angela Watson</v>
      </c>
      <c r="D43">
        <f>_xlfn.XLOOKUP(tblOrders[[#This Row],[CustomerID]],tblCustomers[CustomerID],tblCustomers[Age],"not found")</f>
        <v>31</v>
      </c>
      <c r="E43" t="str">
        <f>_xlfn.XLOOKUP(tblOrders[[#This Row],[CustomerID]],tblCustomers[CustomerID],tblCustomers[Gender],"not found")</f>
        <v>Male</v>
      </c>
      <c r="F43" t="str">
        <f>_xlfn.XLOOKUP(tblOrders[[#This Row],[CustomerID]],tblCustomers[CustomerID],tblCustomers[Region],"not found")</f>
        <v>North</v>
      </c>
      <c r="G43">
        <v>1074</v>
      </c>
      <c r="H43" t="str">
        <f>_xlfn.XLOOKUP(tblOrders[[#This Row],[ProductID]],tblProducts[ProductID],tblProducts[ProductName],"not found")</f>
        <v>State</v>
      </c>
      <c r="I43" t="str">
        <f>_xlfn.XLOOKUP(tblOrders[[#This Row],[ProductID]],tblProducts[ProductID],tblProducts[Category],"not found")</f>
        <v>Furniture</v>
      </c>
      <c r="J43">
        <f>_xlfn.XLOOKUP(tblOrders[[#This Row],[ProductID]],tblProducts[ProductID],tblProducts[UnitPrice],"not found")</f>
        <v>347.87</v>
      </c>
      <c r="K43" t="str">
        <f>_xlfn.XLOOKUP(tblOrders[[#This Row],[ProductID]],tblProducts[ProductID],tblProducts[Supplier],"not found")</f>
        <v>Hall Inc</v>
      </c>
      <c r="L43" s="1">
        <v>44994</v>
      </c>
      <c r="M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44994</v>
      </c>
      <c r="N43">
        <v>3</v>
      </c>
      <c r="O43">
        <v>1043.6099999999999</v>
      </c>
      <c r="P43">
        <f>tblOrders[[#This Row],[Quantity]]*tblOrders[[#This Row],[Unit Price]]</f>
        <v>1043.6100000000001</v>
      </c>
      <c r="Q43">
        <f>tblOrders[[#This Row],[TotalSales]]-tblOrders[[#This Row],[Calculated Sales]]</f>
        <v>0</v>
      </c>
    </row>
    <row r="44" spans="1:17" x14ac:dyDescent="0.25">
      <c r="A44">
        <v>781</v>
      </c>
      <c r="B44">
        <v>236</v>
      </c>
      <c r="C44" t="str">
        <f>_xlfn.XLOOKUP(tblOrders[[#This Row],[CustomerID]],tblCustomers[CustomerID],tblCustomers[CustomerName],"not found")</f>
        <v>Joe Preston</v>
      </c>
      <c r="D44">
        <f>_xlfn.XLOOKUP(tblOrders[[#This Row],[CustomerID]],tblCustomers[CustomerID],tblCustomers[Age],"not found")</f>
        <v>38</v>
      </c>
      <c r="E44" t="str">
        <f>_xlfn.XLOOKUP(tblOrders[[#This Row],[CustomerID]],tblCustomers[CustomerID],tblCustomers[Gender],"not found")</f>
        <v>Male</v>
      </c>
      <c r="F44" t="str">
        <f>_xlfn.XLOOKUP(tblOrders[[#This Row],[CustomerID]],tblCustomers[CustomerID],tblCustomers[Region],"not found")</f>
        <v>East</v>
      </c>
      <c r="G44">
        <v>1074</v>
      </c>
      <c r="H44" t="str">
        <f>_xlfn.XLOOKUP(tblOrders[[#This Row],[ProductID]],tblProducts[ProductID],tblProducts[ProductName],"not found")</f>
        <v>State</v>
      </c>
      <c r="I44" t="str">
        <f>_xlfn.XLOOKUP(tblOrders[[#This Row],[ProductID]],tblProducts[ProductID],tblProducts[Category],"not found")</f>
        <v>Furniture</v>
      </c>
      <c r="J44">
        <f>_xlfn.XLOOKUP(tblOrders[[#This Row],[ProductID]],tblProducts[ProductID],tblProducts[UnitPrice],"not found")</f>
        <v>347.87</v>
      </c>
      <c r="K44" t="str">
        <f>_xlfn.XLOOKUP(tblOrders[[#This Row],[ProductID]],tblProducts[ProductID],tblProducts[Supplier],"not found")</f>
        <v>Hall Inc</v>
      </c>
      <c r="L44" s="1">
        <v>45450</v>
      </c>
      <c r="M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45450</v>
      </c>
      <c r="N44">
        <v>5</v>
      </c>
      <c r="O44">
        <v>1739.35</v>
      </c>
      <c r="P44">
        <f>tblOrders[[#This Row],[Quantity]]*tblOrders[[#This Row],[Unit Price]]</f>
        <v>1739.35</v>
      </c>
      <c r="Q44">
        <f>tblOrders[[#This Row],[TotalSales]]-tblOrders[[#This Row],[Calculated Sales]]</f>
        <v>0</v>
      </c>
    </row>
    <row r="45" spans="1:17" x14ac:dyDescent="0.25">
      <c r="A45">
        <v>1041</v>
      </c>
      <c r="B45">
        <v>987</v>
      </c>
      <c r="C45" t="str">
        <f>_xlfn.XLOOKUP(tblOrders[[#This Row],[CustomerID]],tblCustomers[CustomerID],tblCustomers[CustomerName],"not found")</f>
        <v>David Wells</v>
      </c>
      <c r="D45">
        <f>_xlfn.XLOOKUP(tblOrders[[#This Row],[CustomerID]],tblCustomers[CustomerID],tblCustomers[Age],"not found")</f>
        <v>69</v>
      </c>
      <c r="E45" t="str">
        <f>_xlfn.XLOOKUP(tblOrders[[#This Row],[CustomerID]],tblCustomers[CustomerID],tblCustomers[Gender],"not found")</f>
        <v>Male</v>
      </c>
      <c r="F45" t="str">
        <f>_xlfn.XLOOKUP(tblOrders[[#This Row],[CustomerID]],tblCustomers[CustomerID],tblCustomers[Region],"not found")</f>
        <v>South</v>
      </c>
      <c r="G45">
        <v>1074</v>
      </c>
      <c r="H45" t="str">
        <f>_xlfn.XLOOKUP(tblOrders[[#This Row],[ProductID]],tblProducts[ProductID],tblProducts[ProductName],"not found")</f>
        <v>State</v>
      </c>
      <c r="I45" t="str">
        <f>_xlfn.XLOOKUP(tblOrders[[#This Row],[ProductID]],tblProducts[ProductID],tblProducts[Category],"not found")</f>
        <v>Furniture</v>
      </c>
      <c r="J45">
        <f>_xlfn.XLOOKUP(tblOrders[[#This Row],[ProductID]],tblProducts[ProductID],tblProducts[UnitPrice],"not found")</f>
        <v>347.87</v>
      </c>
      <c r="K45" t="str">
        <f>_xlfn.XLOOKUP(tblOrders[[#This Row],[ProductID]],tblProducts[ProductID],tblProducts[Supplier],"not found")</f>
        <v>Hall Inc</v>
      </c>
      <c r="L45" s="1" t="s">
        <v>2031</v>
      </c>
      <c r="M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45280</v>
      </c>
      <c r="N45">
        <v>4</v>
      </c>
      <c r="O45">
        <v>1391.48</v>
      </c>
      <c r="P45">
        <f>tblOrders[[#This Row],[Quantity]]*tblOrders[[#This Row],[Unit Price]]</f>
        <v>1391.48</v>
      </c>
      <c r="Q45">
        <f>tblOrders[[#This Row],[TotalSales]]-tblOrders[[#This Row],[Calculated Sales]]</f>
        <v>0</v>
      </c>
    </row>
    <row r="46" spans="1:17" x14ac:dyDescent="0.25">
      <c r="A46">
        <v>1058</v>
      </c>
      <c r="B46">
        <v>464</v>
      </c>
      <c r="C46" t="str">
        <f>_xlfn.XLOOKUP(tblOrders[[#This Row],[CustomerID]],tblCustomers[CustomerID],tblCustomers[CustomerName],"not found")</f>
        <v>Benjamin Gates</v>
      </c>
      <c r="D46">
        <f>_xlfn.XLOOKUP(tblOrders[[#This Row],[CustomerID]],tblCustomers[CustomerID],tblCustomers[Age],"not found")</f>
        <v>39</v>
      </c>
      <c r="E46" t="str">
        <f>_xlfn.XLOOKUP(tblOrders[[#This Row],[CustomerID]],tblCustomers[CustomerID],tblCustomers[Gender],"not found")</f>
        <v>Female</v>
      </c>
      <c r="F46" t="str">
        <f>_xlfn.XLOOKUP(tblOrders[[#This Row],[CustomerID]],tblCustomers[CustomerID],tblCustomers[Region],"not found")</f>
        <v>Central</v>
      </c>
      <c r="G46">
        <v>1074</v>
      </c>
      <c r="H46" t="str">
        <f>_xlfn.XLOOKUP(tblOrders[[#This Row],[ProductID]],tblProducts[ProductID],tblProducts[ProductName],"not found")</f>
        <v>State</v>
      </c>
      <c r="I46" t="str">
        <f>_xlfn.XLOOKUP(tblOrders[[#This Row],[ProductID]],tblProducts[ProductID],tblProducts[Category],"not found")</f>
        <v>Furniture</v>
      </c>
      <c r="J46">
        <f>_xlfn.XLOOKUP(tblOrders[[#This Row],[ProductID]],tblProducts[ProductID],tblProducts[UnitPrice],"not found")</f>
        <v>347.87</v>
      </c>
      <c r="K46" t="str">
        <f>_xlfn.XLOOKUP(tblOrders[[#This Row],[ProductID]],tblProducts[ProductID],tblProducts[Supplier],"not found")</f>
        <v>Hall Inc</v>
      </c>
      <c r="L46" s="1">
        <v>45050</v>
      </c>
      <c r="M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45050</v>
      </c>
      <c r="N46">
        <v>7</v>
      </c>
      <c r="O46">
        <v>2435.09</v>
      </c>
      <c r="P46">
        <f>tblOrders[[#This Row],[Quantity]]*tblOrders[[#This Row],[Unit Price]]</f>
        <v>2435.09</v>
      </c>
      <c r="Q46">
        <f>tblOrders[[#This Row],[TotalSales]]-tblOrders[[#This Row],[Calculated Sales]]</f>
        <v>0</v>
      </c>
    </row>
    <row r="47" spans="1:17" x14ac:dyDescent="0.25">
      <c r="A47">
        <v>1150</v>
      </c>
      <c r="B47">
        <v>442</v>
      </c>
      <c r="C47" t="str">
        <f>_xlfn.XLOOKUP(tblOrders[[#This Row],[CustomerID]],tblCustomers[CustomerID],tblCustomers[CustomerName],"not found")</f>
        <v>Jessica Garcia</v>
      </c>
      <c r="D47">
        <f>_xlfn.XLOOKUP(tblOrders[[#This Row],[CustomerID]],tblCustomers[CustomerID],tblCustomers[Age],"not found")</f>
        <v>37</v>
      </c>
      <c r="E47" t="str">
        <f>_xlfn.XLOOKUP(tblOrders[[#This Row],[CustomerID]],tblCustomers[CustomerID],tblCustomers[Gender],"not found")</f>
        <v>Female</v>
      </c>
      <c r="F47" t="str">
        <f>_xlfn.XLOOKUP(tblOrders[[#This Row],[CustomerID]],tblCustomers[CustomerID],tblCustomers[Region],"not found")</f>
        <v>West</v>
      </c>
      <c r="G47">
        <v>1074</v>
      </c>
      <c r="H47" t="str">
        <f>_xlfn.XLOOKUP(tblOrders[[#This Row],[ProductID]],tblProducts[ProductID],tblProducts[ProductName],"not found")</f>
        <v>State</v>
      </c>
      <c r="I47" t="str">
        <f>_xlfn.XLOOKUP(tblOrders[[#This Row],[ProductID]],tblProducts[ProductID],tblProducts[Category],"not found")</f>
        <v>Furniture</v>
      </c>
      <c r="J47">
        <f>_xlfn.XLOOKUP(tblOrders[[#This Row],[ProductID]],tblProducts[ProductID],tblProducts[UnitPrice],"not found")</f>
        <v>347.87</v>
      </c>
      <c r="K47" t="str">
        <f>_xlfn.XLOOKUP(tblOrders[[#This Row],[ProductID]],tblProducts[ProductID],tblProducts[Supplier],"not found")</f>
        <v>Hall Inc</v>
      </c>
      <c r="L47" s="1">
        <v>45415</v>
      </c>
      <c r="M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45415</v>
      </c>
      <c r="N47">
        <v>7</v>
      </c>
      <c r="O47">
        <v>2435.09</v>
      </c>
      <c r="P47">
        <f>tblOrders[[#This Row],[Quantity]]*tblOrders[[#This Row],[Unit Price]]</f>
        <v>2435.09</v>
      </c>
      <c r="Q47">
        <f>tblOrders[[#This Row],[TotalSales]]-tblOrders[[#This Row],[Calculated Sales]]</f>
        <v>0</v>
      </c>
    </row>
    <row r="48" spans="1:17" x14ac:dyDescent="0.25">
      <c r="A48">
        <v>1291</v>
      </c>
      <c r="B48">
        <v>297</v>
      </c>
      <c r="C48" t="str">
        <f>_xlfn.XLOOKUP(tblOrders[[#This Row],[CustomerID]],tblCustomers[CustomerID],tblCustomers[CustomerName],"not found")</f>
        <v>Lauren Le</v>
      </c>
      <c r="D48">
        <f>_xlfn.XLOOKUP(tblOrders[[#This Row],[CustomerID]],tblCustomers[CustomerID],tblCustomers[Age],"not found")</f>
        <v>27</v>
      </c>
      <c r="E48" t="str">
        <f>_xlfn.XLOOKUP(tblOrders[[#This Row],[CustomerID]],tblCustomers[CustomerID],tblCustomers[Gender],"not found")</f>
        <v>Female</v>
      </c>
      <c r="F48" t="str">
        <f>_xlfn.XLOOKUP(tblOrders[[#This Row],[CustomerID]],tblCustomers[CustomerID],tblCustomers[Region],"not found")</f>
        <v>South</v>
      </c>
      <c r="G48">
        <v>1074</v>
      </c>
      <c r="H48" t="str">
        <f>_xlfn.XLOOKUP(tblOrders[[#This Row],[ProductID]],tblProducts[ProductID],tblProducts[ProductName],"not found")</f>
        <v>State</v>
      </c>
      <c r="I48" t="str">
        <f>_xlfn.XLOOKUP(tblOrders[[#This Row],[ProductID]],tblProducts[ProductID],tblProducts[Category],"not found")</f>
        <v>Furniture</v>
      </c>
      <c r="J48">
        <f>_xlfn.XLOOKUP(tblOrders[[#This Row],[ProductID]],tblProducts[ProductID],tblProducts[UnitPrice],"not found")</f>
        <v>347.87</v>
      </c>
      <c r="K48" t="str">
        <f>_xlfn.XLOOKUP(tblOrders[[#This Row],[ProductID]],tblProducts[ProductID],tblProducts[Supplier],"not found")</f>
        <v>Hall Inc</v>
      </c>
      <c r="L48" s="1" t="s">
        <v>2032</v>
      </c>
      <c r="M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45497</v>
      </c>
      <c r="N48">
        <v>6</v>
      </c>
      <c r="O48">
        <v>2087.2199999999998</v>
      </c>
      <c r="P48">
        <f>tblOrders[[#This Row],[Quantity]]*tblOrders[[#This Row],[Unit Price]]</f>
        <v>2087.2200000000003</v>
      </c>
      <c r="Q48">
        <f>tblOrders[[#This Row],[TotalSales]]-tblOrders[[#This Row],[Calculated Sales]]</f>
        <v>0</v>
      </c>
    </row>
    <row r="49" spans="1:17" x14ac:dyDescent="0.25">
      <c r="A49">
        <v>1320</v>
      </c>
      <c r="B49">
        <v>276</v>
      </c>
      <c r="C49" t="str">
        <f>_xlfn.XLOOKUP(tblOrders[[#This Row],[CustomerID]],tblCustomers[CustomerID],tblCustomers[CustomerName],"not found")</f>
        <v>Javier Ochoa</v>
      </c>
      <c r="D49">
        <f>_xlfn.XLOOKUP(tblOrders[[#This Row],[CustomerID]],tblCustomers[CustomerID],tblCustomers[Age],"not found")</f>
        <v>47</v>
      </c>
      <c r="E49" t="str">
        <f>_xlfn.XLOOKUP(tblOrders[[#This Row],[CustomerID]],tblCustomers[CustomerID],tblCustomers[Gender],"not found")</f>
        <v>Male</v>
      </c>
      <c r="F49" t="str">
        <f>_xlfn.XLOOKUP(tblOrders[[#This Row],[CustomerID]],tblCustomers[CustomerID],tblCustomers[Region],"not found")</f>
        <v>East</v>
      </c>
      <c r="G49">
        <v>1074</v>
      </c>
      <c r="H49" t="str">
        <f>_xlfn.XLOOKUP(tblOrders[[#This Row],[ProductID]],tblProducts[ProductID],tblProducts[ProductName],"not found")</f>
        <v>State</v>
      </c>
      <c r="I49" t="str">
        <f>_xlfn.XLOOKUP(tblOrders[[#This Row],[ProductID]],tblProducts[ProductID],tblProducts[Category],"not found")</f>
        <v>Furniture</v>
      </c>
      <c r="J49">
        <f>_xlfn.XLOOKUP(tblOrders[[#This Row],[ProductID]],tblProducts[ProductID],tblProducts[UnitPrice],"not found")</f>
        <v>347.87</v>
      </c>
      <c r="K49" t="str">
        <f>_xlfn.XLOOKUP(tblOrders[[#This Row],[ProductID]],tblProducts[ProductID],tblProducts[Supplier],"not found")</f>
        <v>Hall Inc</v>
      </c>
      <c r="L49" s="1" t="s">
        <v>2033</v>
      </c>
      <c r="M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45519</v>
      </c>
      <c r="N49">
        <v>7</v>
      </c>
      <c r="O49">
        <v>2435.09</v>
      </c>
      <c r="P49">
        <f>tblOrders[[#This Row],[Quantity]]*tblOrders[[#This Row],[Unit Price]]</f>
        <v>2435.09</v>
      </c>
      <c r="Q49">
        <f>tblOrders[[#This Row],[TotalSales]]-tblOrders[[#This Row],[Calculated Sales]]</f>
        <v>0</v>
      </c>
    </row>
    <row r="50" spans="1:17" x14ac:dyDescent="0.25">
      <c r="A50">
        <v>1341</v>
      </c>
      <c r="B50">
        <v>531</v>
      </c>
      <c r="C50" t="str">
        <f>_xlfn.XLOOKUP(tblOrders[[#This Row],[CustomerID]],tblCustomers[CustomerID],tblCustomers[CustomerName],"not found")</f>
        <v>Joseph Lutz</v>
      </c>
      <c r="D50">
        <f>_xlfn.XLOOKUP(tblOrders[[#This Row],[CustomerID]],tblCustomers[CustomerID],tblCustomers[Age],"not found")</f>
        <v>40</v>
      </c>
      <c r="E50" t="str">
        <f>_xlfn.XLOOKUP(tblOrders[[#This Row],[CustomerID]],tblCustomers[CustomerID],tblCustomers[Gender],"not found")</f>
        <v>Female</v>
      </c>
      <c r="F50" t="str">
        <f>_xlfn.XLOOKUP(tblOrders[[#This Row],[CustomerID]],tblCustomers[CustomerID],tblCustomers[Region],"not found")</f>
        <v>North</v>
      </c>
      <c r="G50">
        <v>1074</v>
      </c>
      <c r="H50" t="str">
        <f>_xlfn.XLOOKUP(tblOrders[[#This Row],[ProductID]],tblProducts[ProductID],tblProducts[ProductName],"not found")</f>
        <v>State</v>
      </c>
      <c r="I50" t="str">
        <f>_xlfn.XLOOKUP(tblOrders[[#This Row],[ProductID]],tblProducts[ProductID],tblProducts[Category],"not found")</f>
        <v>Furniture</v>
      </c>
      <c r="J50">
        <f>_xlfn.XLOOKUP(tblOrders[[#This Row],[ProductID]],tblProducts[ProductID],tblProducts[UnitPrice],"not found")</f>
        <v>347.87</v>
      </c>
      <c r="K50" t="str">
        <f>_xlfn.XLOOKUP(tblOrders[[#This Row],[ProductID]],tblProducts[ProductID],tblProducts[Supplier],"not found")</f>
        <v>Hall Inc</v>
      </c>
      <c r="L50" s="1">
        <v>45174</v>
      </c>
      <c r="M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45174</v>
      </c>
      <c r="N50">
        <v>9</v>
      </c>
      <c r="O50">
        <v>3130.83</v>
      </c>
      <c r="P50">
        <f>tblOrders[[#This Row],[Quantity]]*tblOrders[[#This Row],[Unit Price]]</f>
        <v>3130.83</v>
      </c>
      <c r="Q50">
        <f>tblOrders[[#This Row],[TotalSales]]-tblOrders[[#This Row],[Calculated Sales]]</f>
        <v>0</v>
      </c>
    </row>
    <row r="51" spans="1:17" x14ac:dyDescent="0.25">
      <c r="A51">
        <v>1446</v>
      </c>
      <c r="B51">
        <v>750</v>
      </c>
      <c r="C51" t="str">
        <f>_xlfn.XLOOKUP(tblOrders[[#This Row],[CustomerID]],tblCustomers[CustomerID],tblCustomers[CustomerName],"not found")</f>
        <v>James Hughes</v>
      </c>
      <c r="D51">
        <f>_xlfn.XLOOKUP(tblOrders[[#This Row],[CustomerID]],tblCustomers[CustomerID],tblCustomers[Age],"not found")</f>
        <v>60</v>
      </c>
      <c r="E51" t="str">
        <f>_xlfn.XLOOKUP(tblOrders[[#This Row],[CustomerID]],tblCustomers[CustomerID],tblCustomers[Gender],"not found")</f>
        <v>Female</v>
      </c>
      <c r="F51" t="str">
        <f>_xlfn.XLOOKUP(tblOrders[[#This Row],[CustomerID]],tblCustomers[CustomerID],tblCustomers[Region],"not found")</f>
        <v>West</v>
      </c>
      <c r="G51">
        <v>1074</v>
      </c>
      <c r="H51" t="str">
        <f>_xlfn.XLOOKUP(tblOrders[[#This Row],[ProductID]],tblProducts[ProductID],tblProducts[ProductName],"not found")</f>
        <v>State</v>
      </c>
      <c r="I51" t="str">
        <f>_xlfn.XLOOKUP(tblOrders[[#This Row],[ProductID]],tblProducts[ProductID],tblProducts[Category],"not found")</f>
        <v>Furniture</v>
      </c>
      <c r="J51">
        <f>_xlfn.XLOOKUP(tblOrders[[#This Row],[ProductID]],tblProducts[ProductID],tblProducts[UnitPrice],"not found")</f>
        <v>347.87</v>
      </c>
      <c r="K51" t="str">
        <f>_xlfn.XLOOKUP(tblOrders[[#This Row],[ProductID]],tblProducts[ProductID],tblProducts[Supplier],"not found")</f>
        <v>Hall Inc</v>
      </c>
      <c r="L51" s="1" t="s">
        <v>2034</v>
      </c>
      <c r="M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45035</v>
      </c>
      <c r="N51">
        <v>9</v>
      </c>
      <c r="O51">
        <v>3130.83</v>
      </c>
      <c r="P51">
        <f>tblOrders[[#This Row],[Quantity]]*tblOrders[[#This Row],[Unit Price]]</f>
        <v>3130.83</v>
      </c>
      <c r="Q51">
        <f>tblOrders[[#This Row],[TotalSales]]-tblOrders[[#This Row],[Calculated Sales]]</f>
        <v>0</v>
      </c>
    </row>
    <row r="52" spans="1:17" x14ac:dyDescent="0.25">
      <c r="A52">
        <v>1494</v>
      </c>
      <c r="B52">
        <v>373</v>
      </c>
      <c r="C52" t="str">
        <f>_xlfn.XLOOKUP(tblOrders[[#This Row],[CustomerID]],tblCustomers[CustomerID],tblCustomers[CustomerName],"not found")</f>
        <v>Robert Barrera</v>
      </c>
      <c r="D52">
        <f>_xlfn.XLOOKUP(tblOrders[[#This Row],[CustomerID]],tblCustomers[CustomerID],tblCustomers[Age],"not found")</f>
        <v>27</v>
      </c>
      <c r="E52" t="str">
        <f>_xlfn.XLOOKUP(tblOrders[[#This Row],[CustomerID]],tblCustomers[CustomerID],tblCustomers[Gender],"not found")</f>
        <v>Female</v>
      </c>
      <c r="F52" t="str">
        <f>_xlfn.XLOOKUP(tblOrders[[#This Row],[CustomerID]],tblCustomers[CustomerID],tblCustomers[Region],"not found")</f>
        <v>Central</v>
      </c>
      <c r="G52">
        <v>1074</v>
      </c>
      <c r="H52" t="str">
        <f>_xlfn.XLOOKUP(tblOrders[[#This Row],[ProductID]],tblProducts[ProductID],tblProducts[ProductName],"not found")</f>
        <v>State</v>
      </c>
      <c r="I52" t="str">
        <f>_xlfn.XLOOKUP(tblOrders[[#This Row],[ProductID]],tblProducts[ProductID],tblProducts[Category],"not found")</f>
        <v>Furniture</v>
      </c>
      <c r="J52">
        <f>_xlfn.XLOOKUP(tblOrders[[#This Row],[ProductID]],tblProducts[ProductID],tblProducts[UnitPrice],"not found")</f>
        <v>347.87</v>
      </c>
      <c r="K52" t="str">
        <f>_xlfn.XLOOKUP(tblOrders[[#This Row],[ProductID]],tblProducts[ProductID],tblProducts[Supplier],"not found")</f>
        <v>Hall Inc</v>
      </c>
      <c r="L52" s="1" t="s">
        <v>2035</v>
      </c>
      <c r="M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44908</v>
      </c>
      <c r="N52">
        <v>4</v>
      </c>
      <c r="O52">
        <v>1391.48</v>
      </c>
      <c r="P52">
        <f>tblOrders[[#This Row],[Quantity]]*tblOrders[[#This Row],[Unit Price]]</f>
        <v>1391.48</v>
      </c>
      <c r="Q52">
        <f>tblOrders[[#This Row],[TotalSales]]-tblOrders[[#This Row],[Calculated Sales]]</f>
        <v>0</v>
      </c>
    </row>
    <row r="53" spans="1:17" x14ac:dyDescent="0.25">
      <c r="A53">
        <v>1567</v>
      </c>
      <c r="B53">
        <v>525</v>
      </c>
      <c r="C53" t="str">
        <f>_xlfn.XLOOKUP(tblOrders[[#This Row],[CustomerID]],tblCustomers[CustomerID],tblCustomers[CustomerName],"not found")</f>
        <v>Jacob Robertson Jr.</v>
      </c>
      <c r="D53">
        <f>_xlfn.XLOOKUP(tblOrders[[#This Row],[CustomerID]],tblCustomers[CustomerID],tblCustomers[Age],"not found")</f>
        <v>61</v>
      </c>
      <c r="E53" t="str">
        <f>_xlfn.XLOOKUP(tblOrders[[#This Row],[CustomerID]],tblCustomers[CustomerID],tblCustomers[Gender],"not found")</f>
        <v>Male</v>
      </c>
      <c r="F53" t="str">
        <f>_xlfn.XLOOKUP(tblOrders[[#This Row],[CustomerID]],tblCustomers[CustomerID],tblCustomers[Region],"not found")</f>
        <v>Central</v>
      </c>
      <c r="G53">
        <v>1074</v>
      </c>
      <c r="H53" t="str">
        <f>_xlfn.XLOOKUP(tblOrders[[#This Row],[ProductID]],tblProducts[ProductID],tblProducts[ProductName],"not found")</f>
        <v>State</v>
      </c>
      <c r="I53" t="str">
        <f>_xlfn.XLOOKUP(tblOrders[[#This Row],[ProductID]],tblProducts[ProductID],tblProducts[Category],"not found")</f>
        <v>Furniture</v>
      </c>
      <c r="J53">
        <f>_xlfn.XLOOKUP(tblOrders[[#This Row],[ProductID]],tblProducts[ProductID],tblProducts[UnitPrice],"not found")</f>
        <v>347.87</v>
      </c>
      <c r="K53" t="str">
        <f>_xlfn.XLOOKUP(tblOrders[[#This Row],[ProductID]],tblProducts[ProductID],tblProducts[Supplier],"not found")</f>
        <v>Hall Inc</v>
      </c>
      <c r="L53" s="1">
        <v>45385</v>
      </c>
      <c r="M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45385</v>
      </c>
      <c r="N53">
        <v>4</v>
      </c>
      <c r="O53">
        <v>1391.48</v>
      </c>
      <c r="P53">
        <f>tblOrders[[#This Row],[Quantity]]*tblOrders[[#This Row],[Unit Price]]</f>
        <v>1391.48</v>
      </c>
      <c r="Q53">
        <f>tblOrders[[#This Row],[TotalSales]]-tblOrders[[#This Row],[Calculated Sales]]</f>
        <v>0</v>
      </c>
    </row>
    <row r="54" spans="1:17" x14ac:dyDescent="0.25">
      <c r="A54">
        <v>1624</v>
      </c>
      <c r="B54">
        <v>216</v>
      </c>
      <c r="C54" t="str">
        <f>_xlfn.XLOOKUP(tblOrders[[#This Row],[CustomerID]],tblCustomers[CustomerID],tblCustomers[CustomerName],"not found")</f>
        <v>Kayla Cox</v>
      </c>
      <c r="D54">
        <f>_xlfn.XLOOKUP(tblOrders[[#This Row],[CustomerID]],tblCustomers[CustomerID],tblCustomers[Age],"not found")</f>
        <v>48</v>
      </c>
      <c r="E54" t="str">
        <f>_xlfn.XLOOKUP(tblOrders[[#This Row],[CustomerID]],tblCustomers[CustomerID],tblCustomers[Gender],"not found")</f>
        <v>Female</v>
      </c>
      <c r="F54" t="str">
        <f>_xlfn.XLOOKUP(tblOrders[[#This Row],[CustomerID]],tblCustomers[CustomerID],tblCustomers[Region],"not found")</f>
        <v>Central</v>
      </c>
      <c r="G54">
        <v>1074</v>
      </c>
      <c r="H54" t="str">
        <f>_xlfn.XLOOKUP(tblOrders[[#This Row],[ProductID]],tblProducts[ProductID],tblProducts[ProductName],"not found")</f>
        <v>State</v>
      </c>
      <c r="I54" t="str">
        <f>_xlfn.XLOOKUP(tblOrders[[#This Row],[ProductID]],tblProducts[ProductID],tblProducts[Category],"not found")</f>
        <v>Furniture</v>
      </c>
      <c r="J54">
        <f>_xlfn.XLOOKUP(tblOrders[[#This Row],[ProductID]],tblProducts[ProductID],tblProducts[UnitPrice],"not found")</f>
        <v>347.87</v>
      </c>
      <c r="K54" t="str">
        <f>_xlfn.XLOOKUP(tblOrders[[#This Row],[ProductID]],tblProducts[ProductID],tblProducts[Supplier],"not found")</f>
        <v>Hall Inc</v>
      </c>
      <c r="L54" s="1">
        <v>45116</v>
      </c>
      <c r="M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45116</v>
      </c>
      <c r="N54">
        <v>5</v>
      </c>
      <c r="O54">
        <v>1739.35</v>
      </c>
      <c r="P54">
        <f>tblOrders[[#This Row],[Quantity]]*tblOrders[[#This Row],[Unit Price]]</f>
        <v>1739.35</v>
      </c>
      <c r="Q54">
        <f>tblOrders[[#This Row],[TotalSales]]-tblOrders[[#This Row],[Calculated Sales]]</f>
        <v>0</v>
      </c>
    </row>
    <row r="55" spans="1:17" x14ac:dyDescent="0.25">
      <c r="A55">
        <v>1660</v>
      </c>
      <c r="B55">
        <v>108</v>
      </c>
      <c r="C55" t="str">
        <f>_xlfn.XLOOKUP(tblOrders[[#This Row],[CustomerID]],tblCustomers[CustomerID],tblCustomers[CustomerName],"not found")</f>
        <v>Sharon Underwood</v>
      </c>
      <c r="D55">
        <f>_xlfn.XLOOKUP(tblOrders[[#This Row],[CustomerID]],tblCustomers[CustomerID],tblCustomers[Age],"not found")</f>
        <v>62</v>
      </c>
      <c r="E55" t="str">
        <f>_xlfn.XLOOKUP(tblOrders[[#This Row],[CustomerID]],tblCustomers[CustomerID],tblCustomers[Gender],"not found")</f>
        <v>Female</v>
      </c>
      <c r="F55" t="str">
        <f>_xlfn.XLOOKUP(tblOrders[[#This Row],[CustomerID]],tblCustomers[CustomerID],tblCustomers[Region],"not found")</f>
        <v>East</v>
      </c>
      <c r="G55">
        <v>1074</v>
      </c>
      <c r="H55" t="str">
        <f>_xlfn.XLOOKUP(tblOrders[[#This Row],[ProductID]],tblProducts[ProductID],tblProducts[ProductName],"not found")</f>
        <v>State</v>
      </c>
      <c r="I55" t="str">
        <f>_xlfn.XLOOKUP(tblOrders[[#This Row],[ProductID]],tblProducts[ProductID],tblProducts[Category],"not found")</f>
        <v>Furniture</v>
      </c>
      <c r="J55">
        <f>_xlfn.XLOOKUP(tblOrders[[#This Row],[ProductID]],tblProducts[ProductID],tblProducts[UnitPrice],"not found")</f>
        <v>347.87</v>
      </c>
      <c r="K55" t="str">
        <f>_xlfn.XLOOKUP(tblOrders[[#This Row],[ProductID]],tblProducts[ProductID],tblProducts[Supplier],"not found")</f>
        <v>Hall Inc</v>
      </c>
      <c r="L55" s="1" t="s">
        <v>2036</v>
      </c>
      <c r="M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44926</v>
      </c>
      <c r="N55">
        <v>6</v>
      </c>
      <c r="O55">
        <v>2087.2199999999998</v>
      </c>
      <c r="P55">
        <f>tblOrders[[#This Row],[Quantity]]*tblOrders[[#This Row],[Unit Price]]</f>
        <v>2087.2200000000003</v>
      </c>
      <c r="Q55">
        <f>tblOrders[[#This Row],[TotalSales]]-tblOrders[[#This Row],[Calculated Sales]]</f>
        <v>0</v>
      </c>
    </row>
    <row r="56" spans="1:17" x14ac:dyDescent="0.25">
      <c r="A56">
        <v>1713</v>
      </c>
      <c r="B56">
        <v>598</v>
      </c>
      <c r="C56" t="str">
        <f>_xlfn.XLOOKUP(tblOrders[[#This Row],[CustomerID]],tblCustomers[CustomerID],tblCustomers[CustomerName],"not found")</f>
        <v>Alfred Pierce</v>
      </c>
      <c r="D56">
        <f>_xlfn.XLOOKUP(tblOrders[[#This Row],[CustomerID]],tblCustomers[CustomerID],tblCustomers[Age],"not found")</f>
        <v>51</v>
      </c>
      <c r="E56" t="str">
        <f>_xlfn.XLOOKUP(tblOrders[[#This Row],[CustomerID]],tblCustomers[CustomerID],tblCustomers[Gender],"not found")</f>
        <v>Female</v>
      </c>
      <c r="F56" t="str">
        <f>_xlfn.XLOOKUP(tblOrders[[#This Row],[CustomerID]],tblCustomers[CustomerID],tblCustomers[Region],"not found")</f>
        <v>East</v>
      </c>
      <c r="G56">
        <v>1074</v>
      </c>
      <c r="H56" t="str">
        <f>_xlfn.XLOOKUP(tblOrders[[#This Row],[ProductID]],tblProducts[ProductID],tblProducts[ProductName],"not found")</f>
        <v>State</v>
      </c>
      <c r="I56" t="str">
        <f>_xlfn.XLOOKUP(tblOrders[[#This Row],[ProductID]],tblProducts[ProductID],tblProducts[Category],"not found")</f>
        <v>Furniture</v>
      </c>
      <c r="J56">
        <f>_xlfn.XLOOKUP(tblOrders[[#This Row],[ProductID]],tblProducts[ProductID],tblProducts[UnitPrice],"not found")</f>
        <v>347.87</v>
      </c>
      <c r="K56" t="str">
        <f>_xlfn.XLOOKUP(tblOrders[[#This Row],[ProductID]],tblProducts[ProductID],tblProducts[Supplier],"not found")</f>
        <v>Hall Inc</v>
      </c>
      <c r="L56" s="1" t="s">
        <v>2037</v>
      </c>
      <c r="M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45184</v>
      </c>
      <c r="N56">
        <v>7</v>
      </c>
      <c r="O56">
        <v>2435.09</v>
      </c>
      <c r="P56">
        <f>tblOrders[[#This Row],[Quantity]]*tblOrders[[#This Row],[Unit Price]]</f>
        <v>2435.09</v>
      </c>
      <c r="Q56">
        <f>tblOrders[[#This Row],[TotalSales]]-tblOrders[[#This Row],[Calculated Sales]]</f>
        <v>0</v>
      </c>
    </row>
    <row r="57" spans="1:17" x14ac:dyDescent="0.25">
      <c r="A57">
        <v>1809</v>
      </c>
      <c r="B57">
        <v>898</v>
      </c>
      <c r="C57" t="str">
        <f>_xlfn.XLOOKUP(tblOrders[[#This Row],[CustomerID]],tblCustomers[CustomerID],tblCustomers[CustomerName],"not found")</f>
        <v>Lauren Watson</v>
      </c>
      <c r="D57">
        <f>_xlfn.XLOOKUP(tblOrders[[#This Row],[CustomerID]],tblCustomers[CustomerID],tblCustomers[Age],"not found")</f>
        <v>50</v>
      </c>
      <c r="E57" t="str">
        <f>_xlfn.XLOOKUP(tblOrders[[#This Row],[CustomerID]],tblCustomers[CustomerID],tblCustomers[Gender],"not found")</f>
        <v>Female</v>
      </c>
      <c r="F57" t="str">
        <f>_xlfn.XLOOKUP(tblOrders[[#This Row],[CustomerID]],tblCustomers[CustomerID],tblCustomers[Region],"not found")</f>
        <v>East</v>
      </c>
      <c r="G57">
        <v>1074</v>
      </c>
      <c r="H57" t="str">
        <f>_xlfn.XLOOKUP(tblOrders[[#This Row],[ProductID]],tblProducts[ProductID],tblProducts[ProductName],"not found")</f>
        <v>State</v>
      </c>
      <c r="I57" t="str">
        <f>_xlfn.XLOOKUP(tblOrders[[#This Row],[ProductID]],tblProducts[ProductID],tblProducts[Category],"not found")</f>
        <v>Furniture</v>
      </c>
      <c r="J57">
        <f>_xlfn.XLOOKUP(tblOrders[[#This Row],[ProductID]],tblProducts[ProductID],tblProducts[UnitPrice],"not found")</f>
        <v>347.87</v>
      </c>
      <c r="K57" t="str">
        <f>_xlfn.XLOOKUP(tblOrders[[#This Row],[ProductID]],tblProducts[ProductID],tblProducts[Supplier],"not found")</f>
        <v>Hall Inc</v>
      </c>
      <c r="L57" s="1" t="s">
        <v>2038</v>
      </c>
      <c r="M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45063</v>
      </c>
      <c r="N57">
        <v>1</v>
      </c>
      <c r="O57">
        <v>347.87</v>
      </c>
      <c r="P57">
        <f>tblOrders[[#This Row],[Quantity]]*tblOrders[[#This Row],[Unit Price]]</f>
        <v>347.87</v>
      </c>
      <c r="Q57">
        <f>tblOrders[[#This Row],[TotalSales]]-tblOrders[[#This Row],[Calculated Sales]]</f>
        <v>0</v>
      </c>
    </row>
    <row r="58" spans="1:17" x14ac:dyDescent="0.25">
      <c r="A58">
        <v>1931</v>
      </c>
      <c r="B58">
        <v>216</v>
      </c>
      <c r="C58" t="str">
        <f>_xlfn.XLOOKUP(tblOrders[[#This Row],[CustomerID]],tblCustomers[CustomerID],tblCustomers[CustomerName],"not found")</f>
        <v>Kayla Cox</v>
      </c>
      <c r="D58">
        <f>_xlfn.XLOOKUP(tblOrders[[#This Row],[CustomerID]],tblCustomers[CustomerID],tblCustomers[Age],"not found")</f>
        <v>48</v>
      </c>
      <c r="E58" t="str">
        <f>_xlfn.XLOOKUP(tblOrders[[#This Row],[CustomerID]],tblCustomers[CustomerID],tblCustomers[Gender],"not found")</f>
        <v>Female</v>
      </c>
      <c r="F58" t="str">
        <f>_xlfn.XLOOKUP(tblOrders[[#This Row],[CustomerID]],tblCustomers[CustomerID],tblCustomers[Region],"not found")</f>
        <v>Central</v>
      </c>
      <c r="G58">
        <v>1074</v>
      </c>
      <c r="H58" t="str">
        <f>_xlfn.XLOOKUP(tblOrders[[#This Row],[ProductID]],tblProducts[ProductID],tblProducts[ProductName],"not found")</f>
        <v>State</v>
      </c>
      <c r="I58" t="str">
        <f>_xlfn.XLOOKUP(tblOrders[[#This Row],[ProductID]],tblProducts[ProductID],tblProducts[Category],"not found")</f>
        <v>Furniture</v>
      </c>
      <c r="J58">
        <f>_xlfn.XLOOKUP(tblOrders[[#This Row],[ProductID]],tblProducts[ProductID],tblProducts[UnitPrice],"not found")</f>
        <v>347.87</v>
      </c>
      <c r="K58" t="str">
        <f>_xlfn.XLOOKUP(tblOrders[[#This Row],[ProductID]],tblProducts[ProductID],tblProducts[Supplier],"not found")</f>
        <v>Hall Inc</v>
      </c>
      <c r="L58" s="1" t="s">
        <v>2039</v>
      </c>
      <c r="M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45215</v>
      </c>
      <c r="N58">
        <v>6</v>
      </c>
      <c r="O58">
        <v>2087.2199999999998</v>
      </c>
      <c r="P58">
        <f>tblOrders[[#This Row],[Quantity]]*tblOrders[[#This Row],[Unit Price]]</f>
        <v>2087.2200000000003</v>
      </c>
      <c r="Q58">
        <f>tblOrders[[#This Row],[TotalSales]]-tblOrders[[#This Row],[Calculated Sales]]</f>
        <v>0</v>
      </c>
    </row>
    <row r="59" spans="1:17" x14ac:dyDescent="0.25">
      <c r="A59">
        <v>4</v>
      </c>
      <c r="B59">
        <v>669</v>
      </c>
      <c r="C59" t="str">
        <f>_xlfn.XLOOKUP(tblOrders[[#This Row],[CustomerID]],tblCustomers[CustomerID],tblCustomers[CustomerName],"not found")</f>
        <v>Melanie Shaw</v>
      </c>
      <c r="D59">
        <f>_xlfn.XLOOKUP(tblOrders[[#This Row],[CustomerID]],tblCustomers[CustomerID],tblCustomers[Age],"not found")</f>
        <v>35</v>
      </c>
      <c r="E59" t="str">
        <f>_xlfn.XLOOKUP(tblOrders[[#This Row],[CustomerID]],tblCustomers[CustomerID],tblCustomers[Gender],"not found")</f>
        <v>Female</v>
      </c>
      <c r="F59" t="str">
        <f>_xlfn.XLOOKUP(tblOrders[[#This Row],[CustomerID]],tblCustomers[CustomerID],tblCustomers[Region],"not found")</f>
        <v>South</v>
      </c>
      <c r="G59">
        <v>1015</v>
      </c>
      <c r="H59" t="str">
        <f>_xlfn.XLOOKUP(tblOrders[[#This Row],[ProductID]],tblProducts[ProductID],tblProducts[ProductName],"not found")</f>
        <v>Wind</v>
      </c>
      <c r="I59" t="str">
        <f>_xlfn.XLOOKUP(tblOrders[[#This Row],[ProductID]],tblProducts[ProductID],tblProducts[Category],"not found")</f>
        <v>Toys</v>
      </c>
      <c r="J59">
        <f>_xlfn.XLOOKUP(tblOrders[[#This Row],[ProductID]],tblProducts[ProductID],tblProducts[UnitPrice],"not found")</f>
        <v>460.12</v>
      </c>
      <c r="K59" t="str">
        <f>_xlfn.XLOOKUP(tblOrders[[#This Row],[ProductID]],tblProducts[ProductID],tblProducts[Supplier],"not found")</f>
        <v>Allen-Hendricks</v>
      </c>
      <c r="L59" s="1" t="s">
        <v>2040</v>
      </c>
      <c r="M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45107</v>
      </c>
      <c r="N59">
        <v>3</v>
      </c>
      <c r="O59">
        <v>1380.36</v>
      </c>
      <c r="P59">
        <f>tblOrders[[#This Row],[Quantity]]*tblOrders[[#This Row],[Unit Price]]</f>
        <v>1380.3600000000001</v>
      </c>
      <c r="Q59">
        <f>tblOrders[[#This Row],[TotalSales]]-tblOrders[[#This Row],[Calculated Sales]]</f>
        <v>0</v>
      </c>
    </row>
    <row r="60" spans="1:17" x14ac:dyDescent="0.25">
      <c r="A60">
        <v>80</v>
      </c>
      <c r="B60">
        <v>46</v>
      </c>
      <c r="C60" t="str">
        <f>_xlfn.XLOOKUP(tblOrders[[#This Row],[CustomerID]],tblCustomers[CustomerID],tblCustomers[CustomerName],"not found")</f>
        <v>Mary Snyder</v>
      </c>
      <c r="D60">
        <f>_xlfn.XLOOKUP(tblOrders[[#This Row],[CustomerID]],tblCustomers[CustomerID],tblCustomers[Age],"not found")</f>
        <v>23</v>
      </c>
      <c r="E60" t="str">
        <f>_xlfn.XLOOKUP(tblOrders[[#This Row],[CustomerID]],tblCustomers[CustomerID],tblCustomers[Gender],"not found")</f>
        <v>Female</v>
      </c>
      <c r="F60" t="str">
        <f>_xlfn.XLOOKUP(tblOrders[[#This Row],[CustomerID]],tblCustomers[CustomerID],tblCustomers[Region],"not found")</f>
        <v>West</v>
      </c>
      <c r="G60">
        <v>1015</v>
      </c>
      <c r="H60" t="str">
        <f>_xlfn.XLOOKUP(tblOrders[[#This Row],[ProductID]],tblProducts[ProductID],tblProducts[ProductName],"not found")</f>
        <v>Wind</v>
      </c>
      <c r="I60" t="str">
        <f>_xlfn.XLOOKUP(tblOrders[[#This Row],[ProductID]],tblProducts[ProductID],tblProducts[Category],"not found")</f>
        <v>Toys</v>
      </c>
      <c r="J60">
        <f>_xlfn.XLOOKUP(tblOrders[[#This Row],[ProductID]],tblProducts[ProductID],tblProducts[UnitPrice],"not found")</f>
        <v>460.12</v>
      </c>
      <c r="K60" t="str">
        <f>_xlfn.XLOOKUP(tblOrders[[#This Row],[ProductID]],tblProducts[ProductID],tblProducts[Supplier],"not found")</f>
        <v>Allen-Hendricks</v>
      </c>
      <c r="L60" s="1">
        <v>44934</v>
      </c>
      <c r="M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44934</v>
      </c>
      <c r="N60">
        <v>8</v>
      </c>
      <c r="O60">
        <v>3680.96</v>
      </c>
      <c r="P60">
        <f>tblOrders[[#This Row],[Quantity]]*tblOrders[[#This Row],[Unit Price]]</f>
        <v>3680.96</v>
      </c>
      <c r="Q60">
        <f>tblOrders[[#This Row],[TotalSales]]-tblOrders[[#This Row],[Calculated Sales]]</f>
        <v>0</v>
      </c>
    </row>
    <row r="61" spans="1:17" x14ac:dyDescent="0.25">
      <c r="A61">
        <v>83</v>
      </c>
      <c r="B61">
        <v>430</v>
      </c>
      <c r="C61" t="str">
        <f>_xlfn.XLOOKUP(tblOrders[[#This Row],[CustomerID]],tblCustomers[CustomerID],tblCustomers[CustomerName],"not found")</f>
        <v>Emily Frazier</v>
      </c>
      <c r="D61">
        <f>_xlfn.XLOOKUP(tblOrders[[#This Row],[CustomerID]],tblCustomers[CustomerID],tblCustomers[Age],"not found")</f>
        <v>51</v>
      </c>
      <c r="E61" t="str">
        <f>_xlfn.XLOOKUP(tblOrders[[#This Row],[CustomerID]],tblCustomers[CustomerID],tblCustomers[Gender],"not found")</f>
        <v>Male</v>
      </c>
      <c r="F61" t="str">
        <f>_xlfn.XLOOKUP(tblOrders[[#This Row],[CustomerID]],tblCustomers[CustomerID],tblCustomers[Region],"not found")</f>
        <v>North</v>
      </c>
      <c r="G61">
        <v>1015</v>
      </c>
      <c r="H61" t="str">
        <f>_xlfn.XLOOKUP(tblOrders[[#This Row],[ProductID]],tblProducts[ProductID],tblProducts[ProductName],"not found")</f>
        <v>Wind</v>
      </c>
      <c r="I61" t="str">
        <f>_xlfn.XLOOKUP(tblOrders[[#This Row],[ProductID]],tblProducts[ProductID],tblProducts[Category],"not found")</f>
        <v>Toys</v>
      </c>
      <c r="J61">
        <f>_xlfn.XLOOKUP(tblOrders[[#This Row],[ProductID]],tblProducts[ProductID],tblProducts[UnitPrice],"not found")</f>
        <v>460.12</v>
      </c>
      <c r="K61" t="str">
        <f>_xlfn.XLOOKUP(tblOrders[[#This Row],[ProductID]],tblProducts[ProductID],tblProducts[Supplier],"not found")</f>
        <v>Allen-Hendricks</v>
      </c>
      <c r="L61" s="1">
        <v>44969</v>
      </c>
      <c r="M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61">
        <v>6</v>
      </c>
      <c r="O61">
        <v>2760.72</v>
      </c>
      <c r="P61">
        <f>tblOrders[[#This Row],[Quantity]]*tblOrders[[#This Row],[Unit Price]]</f>
        <v>2760.7200000000003</v>
      </c>
      <c r="Q61">
        <f>tblOrders[[#This Row],[TotalSales]]-tblOrders[[#This Row],[Calculated Sales]]</f>
        <v>0</v>
      </c>
    </row>
    <row r="62" spans="1:17" x14ac:dyDescent="0.25">
      <c r="A62">
        <v>248</v>
      </c>
      <c r="B62">
        <v>944</v>
      </c>
      <c r="C62" t="str">
        <f>_xlfn.XLOOKUP(tblOrders[[#This Row],[CustomerID]],tblCustomers[CustomerID],tblCustomers[CustomerName],"not found")</f>
        <v>Sarah Jones</v>
      </c>
      <c r="D62">
        <f>_xlfn.XLOOKUP(tblOrders[[#This Row],[CustomerID]],tblCustomers[CustomerID],tblCustomers[Age],"not found")</f>
        <v>24</v>
      </c>
      <c r="E62" t="str">
        <f>_xlfn.XLOOKUP(tblOrders[[#This Row],[CustomerID]],tblCustomers[CustomerID],tblCustomers[Gender],"not found")</f>
        <v>Female</v>
      </c>
      <c r="F62" t="str">
        <f>_xlfn.XLOOKUP(tblOrders[[#This Row],[CustomerID]],tblCustomers[CustomerID],tblCustomers[Region],"not found")</f>
        <v>West</v>
      </c>
      <c r="G62">
        <v>1015</v>
      </c>
      <c r="H62" t="str">
        <f>_xlfn.XLOOKUP(tblOrders[[#This Row],[ProductID]],tblProducts[ProductID],tblProducts[ProductName],"not found")</f>
        <v>Wind</v>
      </c>
      <c r="I62" t="str">
        <f>_xlfn.XLOOKUP(tblOrders[[#This Row],[ProductID]],tblProducts[ProductID],tblProducts[Category],"not found")</f>
        <v>Toys</v>
      </c>
      <c r="J62">
        <f>_xlfn.XLOOKUP(tblOrders[[#This Row],[ProductID]],tblProducts[ProductID],tblProducts[UnitPrice],"not found")</f>
        <v>460.12</v>
      </c>
      <c r="K62" t="str">
        <f>_xlfn.XLOOKUP(tblOrders[[#This Row],[ProductID]],tblProducts[ProductID],tblProducts[Supplier],"not found")</f>
        <v>Allen-Hendricks</v>
      </c>
      <c r="L62" s="1">
        <v>45110</v>
      </c>
      <c r="M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45110</v>
      </c>
      <c r="N62">
        <v>9</v>
      </c>
      <c r="O62">
        <v>4141.08</v>
      </c>
      <c r="P62">
        <f>tblOrders[[#This Row],[Quantity]]*tblOrders[[#This Row],[Unit Price]]</f>
        <v>4141.08</v>
      </c>
      <c r="Q62">
        <f>tblOrders[[#This Row],[TotalSales]]-tblOrders[[#This Row],[Calculated Sales]]</f>
        <v>0</v>
      </c>
    </row>
    <row r="63" spans="1:17" x14ac:dyDescent="0.25">
      <c r="A63">
        <v>275</v>
      </c>
      <c r="B63">
        <v>453</v>
      </c>
      <c r="C63" t="str">
        <f>_xlfn.XLOOKUP(tblOrders[[#This Row],[CustomerID]],tblCustomers[CustomerID],tblCustomers[CustomerName],"not found")</f>
        <v>Michael Hays</v>
      </c>
      <c r="D63">
        <f>_xlfn.XLOOKUP(tblOrders[[#This Row],[CustomerID]],tblCustomers[CustomerID],tblCustomers[Age],"not found")</f>
        <v>64</v>
      </c>
      <c r="E63" t="str">
        <f>_xlfn.XLOOKUP(tblOrders[[#This Row],[CustomerID]],tblCustomers[CustomerID],tblCustomers[Gender],"not found")</f>
        <v>Female</v>
      </c>
      <c r="F63" t="str">
        <f>_xlfn.XLOOKUP(tblOrders[[#This Row],[CustomerID]],tblCustomers[CustomerID],tblCustomers[Region],"not found")</f>
        <v>Central</v>
      </c>
      <c r="G63">
        <v>1015</v>
      </c>
      <c r="H63" t="str">
        <f>_xlfn.XLOOKUP(tblOrders[[#This Row],[ProductID]],tblProducts[ProductID],tblProducts[ProductName],"not found")</f>
        <v>Wind</v>
      </c>
      <c r="I63" t="str">
        <f>_xlfn.XLOOKUP(tblOrders[[#This Row],[ProductID]],tblProducts[ProductID],tblProducts[Category],"not found")</f>
        <v>Toys</v>
      </c>
      <c r="J63">
        <f>_xlfn.XLOOKUP(tblOrders[[#This Row],[ProductID]],tblProducts[ProductID],tblProducts[UnitPrice],"not found")</f>
        <v>460.12</v>
      </c>
      <c r="K63" t="str">
        <f>_xlfn.XLOOKUP(tblOrders[[#This Row],[ProductID]],tblProducts[ProductID],tblProducts[Supplier],"not found")</f>
        <v>Allen-Hendricks</v>
      </c>
      <c r="L63" s="1">
        <v>45390</v>
      </c>
      <c r="M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45390</v>
      </c>
      <c r="N63">
        <v>3</v>
      </c>
      <c r="O63">
        <v>1380.36</v>
      </c>
      <c r="P63">
        <f>tblOrders[[#This Row],[Quantity]]*tblOrders[[#This Row],[Unit Price]]</f>
        <v>1380.3600000000001</v>
      </c>
      <c r="Q63">
        <f>tblOrders[[#This Row],[TotalSales]]-tblOrders[[#This Row],[Calculated Sales]]</f>
        <v>0</v>
      </c>
    </row>
    <row r="64" spans="1:17" x14ac:dyDescent="0.25">
      <c r="A64">
        <v>347</v>
      </c>
      <c r="B64">
        <v>884</v>
      </c>
      <c r="C64" t="str">
        <f>_xlfn.XLOOKUP(tblOrders[[#This Row],[CustomerID]],tblCustomers[CustomerID],tblCustomers[CustomerName],"not found")</f>
        <v>Ashley Allen</v>
      </c>
      <c r="D64">
        <f>_xlfn.XLOOKUP(tblOrders[[#This Row],[CustomerID]],tblCustomers[CustomerID],tblCustomers[Age],"not found")</f>
        <v>50</v>
      </c>
      <c r="E64" t="str">
        <f>_xlfn.XLOOKUP(tblOrders[[#This Row],[CustomerID]],tblCustomers[CustomerID],tblCustomers[Gender],"not found")</f>
        <v>Female</v>
      </c>
      <c r="F64" t="str">
        <f>_xlfn.XLOOKUP(tblOrders[[#This Row],[CustomerID]],tblCustomers[CustomerID],tblCustomers[Region],"not found")</f>
        <v>Central</v>
      </c>
      <c r="G64">
        <v>1015</v>
      </c>
      <c r="H64" t="str">
        <f>_xlfn.XLOOKUP(tblOrders[[#This Row],[ProductID]],tblProducts[ProductID],tblProducts[ProductName],"not found")</f>
        <v>Wind</v>
      </c>
      <c r="I64" t="str">
        <f>_xlfn.XLOOKUP(tblOrders[[#This Row],[ProductID]],tblProducts[ProductID],tblProducts[Category],"not found")</f>
        <v>Toys</v>
      </c>
      <c r="J64">
        <f>_xlfn.XLOOKUP(tblOrders[[#This Row],[ProductID]],tblProducts[ProductID],tblProducts[UnitPrice],"not found")</f>
        <v>460.12</v>
      </c>
      <c r="K64" t="str">
        <f>_xlfn.XLOOKUP(tblOrders[[#This Row],[ProductID]],tblProducts[ProductID],tblProducts[Supplier],"not found")</f>
        <v>Allen-Hendricks</v>
      </c>
      <c r="L64" s="1">
        <v>45602</v>
      </c>
      <c r="M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45602</v>
      </c>
      <c r="N64">
        <v>4</v>
      </c>
      <c r="O64">
        <v>1840.48</v>
      </c>
      <c r="P64">
        <f>tblOrders[[#This Row],[Quantity]]*tblOrders[[#This Row],[Unit Price]]</f>
        <v>1840.48</v>
      </c>
      <c r="Q64">
        <f>tblOrders[[#This Row],[TotalSales]]-tblOrders[[#This Row],[Calculated Sales]]</f>
        <v>0</v>
      </c>
    </row>
    <row r="65" spans="1:17" x14ac:dyDescent="0.25">
      <c r="A65">
        <v>459</v>
      </c>
      <c r="B65">
        <v>761</v>
      </c>
      <c r="C65" t="str">
        <f>_xlfn.XLOOKUP(tblOrders[[#This Row],[CustomerID]],tblCustomers[CustomerID],tblCustomers[CustomerName],"not found")</f>
        <v>Michelle Becker</v>
      </c>
      <c r="D65">
        <f>_xlfn.XLOOKUP(tblOrders[[#This Row],[CustomerID]],tblCustomers[CustomerID],tblCustomers[Age],"not found")</f>
        <v>34</v>
      </c>
      <c r="E65" t="str">
        <f>_xlfn.XLOOKUP(tblOrders[[#This Row],[CustomerID]],tblCustomers[CustomerID],tblCustomers[Gender],"not found")</f>
        <v>Female</v>
      </c>
      <c r="F65" t="str">
        <f>_xlfn.XLOOKUP(tblOrders[[#This Row],[CustomerID]],tblCustomers[CustomerID],tblCustomers[Region],"not found")</f>
        <v>East</v>
      </c>
      <c r="G65">
        <v>1015</v>
      </c>
      <c r="H65" t="str">
        <f>_xlfn.XLOOKUP(tblOrders[[#This Row],[ProductID]],tblProducts[ProductID],tblProducts[ProductName],"not found")</f>
        <v>Wind</v>
      </c>
      <c r="I65" t="str">
        <f>_xlfn.XLOOKUP(tblOrders[[#This Row],[ProductID]],tblProducts[ProductID],tblProducts[Category],"not found")</f>
        <v>Toys</v>
      </c>
      <c r="J65">
        <f>_xlfn.XLOOKUP(tblOrders[[#This Row],[ProductID]],tblProducts[ProductID],tblProducts[UnitPrice],"not found")</f>
        <v>460.12</v>
      </c>
      <c r="K65" t="str">
        <f>_xlfn.XLOOKUP(tblOrders[[#This Row],[ProductID]],tblProducts[ProductID],tblProducts[Supplier],"not found")</f>
        <v>Allen-Hendricks</v>
      </c>
      <c r="L65" s="1">
        <v>45420</v>
      </c>
      <c r="M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45420</v>
      </c>
      <c r="N65">
        <v>5</v>
      </c>
      <c r="O65">
        <v>2300.6</v>
      </c>
      <c r="P65">
        <f>tblOrders[[#This Row],[Quantity]]*tblOrders[[#This Row],[Unit Price]]</f>
        <v>2300.6</v>
      </c>
      <c r="Q65">
        <f>tblOrders[[#This Row],[TotalSales]]-tblOrders[[#This Row],[Calculated Sales]]</f>
        <v>0</v>
      </c>
    </row>
    <row r="66" spans="1:17" x14ac:dyDescent="0.25">
      <c r="A66">
        <v>494</v>
      </c>
      <c r="B66">
        <v>770</v>
      </c>
      <c r="C66" t="str">
        <f>_xlfn.XLOOKUP(tblOrders[[#This Row],[CustomerID]],tblCustomers[CustomerID],tblCustomers[CustomerName],"not found")</f>
        <v>Laurie Jimenez</v>
      </c>
      <c r="D66">
        <f>_xlfn.XLOOKUP(tblOrders[[#This Row],[CustomerID]],tblCustomers[CustomerID],tblCustomers[Age],"not found")</f>
        <v>50</v>
      </c>
      <c r="E66" t="str">
        <f>_xlfn.XLOOKUP(tblOrders[[#This Row],[CustomerID]],tblCustomers[CustomerID],tblCustomers[Gender],"not found")</f>
        <v>Female</v>
      </c>
      <c r="F66" t="str">
        <f>_xlfn.XLOOKUP(tblOrders[[#This Row],[CustomerID]],tblCustomers[CustomerID],tblCustomers[Region],"not found")</f>
        <v>West</v>
      </c>
      <c r="G66">
        <v>1015</v>
      </c>
      <c r="H66" t="str">
        <f>_xlfn.XLOOKUP(tblOrders[[#This Row],[ProductID]],tblProducts[ProductID],tblProducts[ProductName],"not found")</f>
        <v>Wind</v>
      </c>
      <c r="I66" t="str">
        <f>_xlfn.XLOOKUP(tblOrders[[#This Row],[ProductID]],tblProducts[ProductID],tblProducts[Category],"not found")</f>
        <v>Toys</v>
      </c>
      <c r="J66">
        <f>_xlfn.XLOOKUP(tblOrders[[#This Row],[ProductID]],tblProducts[ProductID],tblProducts[UnitPrice],"not found")</f>
        <v>460.12</v>
      </c>
      <c r="K66" t="str">
        <f>_xlfn.XLOOKUP(tblOrders[[#This Row],[ProductID]],tblProducts[ProductID],tblProducts[Supplier],"not found")</f>
        <v>Allen-Hendricks</v>
      </c>
      <c r="L66" s="1">
        <v>45263</v>
      </c>
      <c r="M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45263</v>
      </c>
      <c r="N66">
        <v>7</v>
      </c>
      <c r="O66">
        <v>3220.84</v>
      </c>
      <c r="P66">
        <f>tblOrders[[#This Row],[Quantity]]*tblOrders[[#This Row],[Unit Price]]</f>
        <v>3220.84</v>
      </c>
      <c r="Q66">
        <f>tblOrders[[#This Row],[TotalSales]]-tblOrders[[#This Row],[Calculated Sales]]</f>
        <v>0</v>
      </c>
    </row>
    <row r="67" spans="1:17" x14ac:dyDescent="0.25">
      <c r="A67">
        <v>529</v>
      </c>
      <c r="B67">
        <v>550</v>
      </c>
      <c r="C67" t="str">
        <f>_xlfn.XLOOKUP(tblOrders[[#This Row],[CustomerID]],tblCustomers[CustomerID],tblCustomers[CustomerName],"not found")</f>
        <v>Tammy Hicks</v>
      </c>
      <c r="D67">
        <f>_xlfn.XLOOKUP(tblOrders[[#This Row],[CustomerID]],tblCustomers[CustomerID],tblCustomers[Age],"not found")</f>
        <v>28</v>
      </c>
      <c r="E67" t="str">
        <f>_xlfn.XLOOKUP(tblOrders[[#This Row],[CustomerID]],tblCustomers[CustomerID],tblCustomers[Gender],"not found")</f>
        <v>Male</v>
      </c>
      <c r="F67" t="str">
        <f>_xlfn.XLOOKUP(tblOrders[[#This Row],[CustomerID]],tblCustomers[CustomerID],tblCustomers[Region],"not found")</f>
        <v>Central</v>
      </c>
      <c r="G67">
        <v>1015</v>
      </c>
      <c r="H67" t="str">
        <f>_xlfn.XLOOKUP(tblOrders[[#This Row],[ProductID]],tblProducts[ProductID],tblProducts[ProductName],"not found")</f>
        <v>Wind</v>
      </c>
      <c r="I67" t="str">
        <f>_xlfn.XLOOKUP(tblOrders[[#This Row],[ProductID]],tblProducts[ProductID],tblProducts[Category],"not found")</f>
        <v>Toys</v>
      </c>
      <c r="J67">
        <f>_xlfn.XLOOKUP(tblOrders[[#This Row],[ProductID]],tblProducts[ProductID],tblProducts[UnitPrice],"not found")</f>
        <v>460.12</v>
      </c>
      <c r="K67" t="str">
        <f>_xlfn.XLOOKUP(tblOrders[[#This Row],[ProductID]],tblProducts[ProductID],tblProducts[Supplier],"not found")</f>
        <v>Allen-Hendricks</v>
      </c>
      <c r="L67" s="1">
        <v>45413</v>
      </c>
      <c r="M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45413</v>
      </c>
      <c r="N67">
        <v>5</v>
      </c>
      <c r="O67">
        <v>2300.6</v>
      </c>
      <c r="P67">
        <f>tblOrders[[#This Row],[Quantity]]*tblOrders[[#This Row],[Unit Price]]</f>
        <v>2300.6</v>
      </c>
      <c r="Q67">
        <f>tblOrders[[#This Row],[TotalSales]]-tblOrders[[#This Row],[Calculated Sales]]</f>
        <v>0</v>
      </c>
    </row>
    <row r="68" spans="1:17" x14ac:dyDescent="0.25">
      <c r="A68">
        <v>565</v>
      </c>
      <c r="B68">
        <v>77</v>
      </c>
      <c r="C68" t="str">
        <f>_xlfn.XLOOKUP(tblOrders[[#This Row],[CustomerID]],tblCustomers[CustomerID],tblCustomers[CustomerName],"not found")</f>
        <v>Melissa Flores</v>
      </c>
      <c r="D68">
        <f>_xlfn.XLOOKUP(tblOrders[[#This Row],[CustomerID]],tblCustomers[CustomerID],tblCustomers[Age],"not found")</f>
        <v>69</v>
      </c>
      <c r="E68" t="str">
        <f>_xlfn.XLOOKUP(tblOrders[[#This Row],[CustomerID]],tblCustomers[CustomerID],tblCustomers[Gender],"not found")</f>
        <v>Female</v>
      </c>
      <c r="F68" t="str">
        <f>_xlfn.XLOOKUP(tblOrders[[#This Row],[CustomerID]],tblCustomers[CustomerID],tblCustomers[Region],"not found")</f>
        <v>Central</v>
      </c>
      <c r="G68">
        <v>1015</v>
      </c>
      <c r="H68" t="str">
        <f>_xlfn.XLOOKUP(tblOrders[[#This Row],[ProductID]],tblProducts[ProductID],tblProducts[ProductName],"not found")</f>
        <v>Wind</v>
      </c>
      <c r="I68" t="str">
        <f>_xlfn.XLOOKUP(tblOrders[[#This Row],[ProductID]],tblProducts[ProductID],tblProducts[Category],"not found")</f>
        <v>Toys</v>
      </c>
      <c r="J68">
        <f>_xlfn.XLOOKUP(tblOrders[[#This Row],[ProductID]],tblProducts[ProductID],tblProducts[UnitPrice],"not found")</f>
        <v>460.12</v>
      </c>
      <c r="K68" t="str">
        <f>_xlfn.XLOOKUP(tblOrders[[#This Row],[ProductID]],tblProducts[ProductID],tblProducts[Supplier],"not found")</f>
        <v>Allen-Hendricks</v>
      </c>
      <c r="L68" s="1" t="s">
        <v>2041</v>
      </c>
      <c r="M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45164</v>
      </c>
      <c r="N68">
        <v>9</v>
      </c>
      <c r="O68">
        <v>4141.08</v>
      </c>
      <c r="P68">
        <f>tblOrders[[#This Row],[Quantity]]*tblOrders[[#This Row],[Unit Price]]</f>
        <v>4141.08</v>
      </c>
      <c r="Q68">
        <f>tblOrders[[#This Row],[TotalSales]]-tblOrders[[#This Row],[Calculated Sales]]</f>
        <v>0</v>
      </c>
    </row>
    <row r="69" spans="1:17" x14ac:dyDescent="0.25">
      <c r="A69">
        <v>566</v>
      </c>
      <c r="B69">
        <v>924</v>
      </c>
      <c r="C69" t="str">
        <f>_xlfn.XLOOKUP(tblOrders[[#This Row],[CustomerID]],tblCustomers[CustomerID],tblCustomers[CustomerName],"not found")</f>
        <v>Morgan Hunt</v>
      </c>
      <c r="D69">
        <f>_xlfn.XLOOKUP(tblOrders[[#This Row],[CustomerID]],tblCustomers[CustomerID],tblCustomers[Age],"not found")</f>
        <v>39</v>
      </c>
      <c r="E69" t="str">
        <f>_xlfn.XLOOKUP(tblOrders[[#This Row],[CustomerID]],tblCustomers[CustomerID],tblCustomers[Gender],"not found")</f>
        <v>Male</v>
      </c>
      <c r="F69" t="str">
        <f>_xlfn.XLOOKUP(tblOrders[[#This Row],[CustomerID]],tblCustomers[CustomerID],tblCustomers[Region],"not found")</f>
        <v>Central</v>
      </c>
      <c r="G69">
        <v>1015</v>
      </c>
      <c r="H69" t="str">
        <f>_xlfn.XLOOKUP(tblOrders[[#This Row],[ProductID]],tblProducts[ProductID],tblProducts[ProductName],"not found")</f>
        <v>Wind</v>
      </c>
      <c r="I69" t="str">
        <f>_xlfn.XLOOKUP(tblOrders[[#This Row],[ProductID]],tblProducts[ProductID],tblProducts[Category],"not found")</f>
        <v>Toys</v>
      </c>
      <c r="J69">
        <f>_xlfn.XLOOKUP(tblOrders[[#This Row],[ProductID]],tblProducts[ProductID],tblProducts[UnitPrice],"not found")</f>
        <v>460.12</v>
      </c>
      <c r="K69" t="str">
        <f>_xlfn.XLOOKUP(tblOrders[[#This Row],[ProductID]],tblProducts[ProductID],tblProducts[Supplier],"not found")</f>
        <v>Allen-Hendricks</v>
      </c>
      <c r="L69" s="1" t="s">
        <v>2042</v>
      </c>
      <c r="M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45029</v>
      </c>
      <c r="N69">
        <v>4</v>
      </c>
      <c r="O69">
        <v>1840.48</v>
      </c>
      <c r="P69">
        <f>tblOrders[[#This Row],[Quantity]]*tblOrders[[#This Row],[Unit Price]]</f>
        <v>1840.48</v>
      </c>
      <c r="Q69">
        <f>tblOrders[[#This Row],[TotalSales]]-tblOrders[[#This Row],[Calculated Sales]]</f>
        <v>0</v>
      </c>
    </row>
    <row r="70" spans="1:17" x14ac:dyDescent="0.25">
      <c r="A70">
        <v>597</v>
      </c>
      <c r="B70">
        <v>109</v>
      </c>
      <c r="C70" t="str">
        <f>_xlfn.XLOOKUP(tblOrders[[#This Row],[CustomerID]],tblCustomers[CustomerID],tblCustomers[CustomerName],"not found")</f>
        <v>Jessica Brown</v>
      </c>
      <c r="D70">
        <f>_xlfn.XLOOKUP(tblOrders[[#This Row],[CustomerID]],tblCustomers[CustomerID],tblCustomers[Age],"not found")</f>
        <v>42</v>
      </c>
      <c r="E70" t="str">
        <f>_xlfn.XLOOKUP(tblOrders[[#This Row],[CustomerID]],tblCustomers[CustomerID],tblCustomers[Gender],"not found")</f>
        <v>Male</v>
      </c>
      <c r="F70" t="str">
        <f>_xlfn.XLOOKUP(tblOrders[[#This Row],[CustomerID]],tblCustomers[CustomerID],tblCustomers[Region],"not found")</f>
        <v>West</v>
      </c>
      <c r="G70">
        <v>1015</v>
      </c>
      <c r="H70" t="str">
        <f>_xlfn.XLOOKUP(tblOrders[[#This Row],[ProductID]],tblProducts[ProductID],tblProducts[ProductName],"not found")</f>
        <v>Wind</v>
      </c>
      <c r="I70" t="str">
        <f>_xlfn.XLOOKUP(tblOrders[[#This Row],[ProductID]],tblProducts[ProductID],tblProducts[Category],"not found")</f>
        <v>Toys</v>
      </c>
      <c r="J70">
        <f>_xlfn.XLOOKUP(tblOrders[[#This Row],[ProductID]],tblProducts[ProductID],tblProducts[UnitPrice],"not found")</f>
        <v>460.12</v>
      </c>
      <c r="K70" t="str">
        <f>_xlfn.XLOOKUP(tblOrders[[#This Row],[ProductID]],tblProducts[ProductID],tblProducts[Supplier],"not found")</f>
        <v>Allen-Hendricks</v>
      </c>
      <c r="L70" s="1" t="s">
        <v>2043</v>
      </c>
      <c r="M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45349</v>
      </c>
      <c r="N70">
        <v>7</v>
      </c>
      <c r="O70">
        <v>3220.84</v>
      </c>
      <c r="P70">
        <f>tblOrders[[#This Row],[Quantity]]*tblOrders[[#This Row],[Unit Price]]</f>
        <v>3220.84</v>
      </c>
      <c r="Q70">
        <f>tblOrders[[#This Row],[TotalSales]]-tblOrders[[#This Row],[Calculated Sales]]</f>
        <v>0</v>
      </c>
    </row>
    <row r="71" spans="1:17" x14ac:dyDescent="0.25">
      <c r="A71">
        <v>604</v>
      </c>
      <c r="B71">
        <v>953</v>
      </c>
      <c r="C71" t="str">
        <f>_xlfn.XLOOKUP(tblOrders[[#This Row],[CustomerID]],tblCustomers[CustomerID],tblCustomers[CustomerName],"not found")</f>
        <v>Karen Anderson</v>
      </c>
      <c r="D71">
        <f>_xlfn.XLOOKUP(tblOrders[[#This Row],[CustomerID]],tblCustomers[CustomerID],tblCustomers[Age],"not found")</f>
        <v>44</v>
      </c>
      <c r="E71" t="str">
        <f>_xlfn.XLOOKUP(tblOrders[[#This Row],[CustomerID]],tblCustomers[CustomerID],tblCustomers[Gender],"not found")</f>
        <v>Male</v>
      </c>
      <c r="F71" t="str">
        <f>_xlfn.XLOOKUP(tblOrders[[#This Row],[CustomerID]],tblCustomers[CustomerID],tblCustomers[Region],"not found")</f>
        <v>West</v>
      </c>
      <c r="G71">
        <v>1015</v>
      </c>
      <c r="H71" t="str">
        <f>_xlfn.XLOOKUP(tblOrders[[#This Row],[ProductID]],tblProducts[ProductID],tblProducts[ProductName],"not found")</f>
        <v>Wind</v>
      </c>
      <c r="I71" t="str">
        <f>_xlfn.XLOOKUP(tblOrders[[#This Row],[ProductID]],tblProducts[ProductID],tblProducts[Category],"not found")</f>
        <v>Toys</v>
      </c>
      <c r="J71">
        <f>_xlfn.XLOOKUP(tblOrders[[#This Row],[ProductID]],tblProducts[ProductID],tblProducts[UnitPrice],"not found")</f>
        <v>460.12</v>
      </c>
      <c r="K71" t="str">
        <f>_xlfn.XLOOKUP(tblOrders[[#This Row],[ProductID]],tblProducts[ProductID],tblProducts[Supplier],"not found")</f>
        <v>Allen-Hendricks</v>
      </c>
      <c r="L71" s="1">
        <v>45538</v>
      </c>
      <c r="M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45538</v>
      </c>
      <c r="N71">
        <v>1</v>
      </c>
      <c r="O71">
        <v>460.12</v>
      </c>
      <c r="P71">
        <f>tblOrders[[#This Row],[Quantity]]*tblOrders[[#This Row],[Unit Price]]</f>
        <v>460.12</v>
      </c>
      <c r="Q71">
        <f>tblOrders[[#This Row],[TotalSales]]-tblOrders[[#This Row],[Calculated Sales]]</f>
        <v>0</v>
      </c>
    </row>
    <row r="72" spans="1:17" x14ac:dyDescent="0.25">
      <c r="A72">
        <v>685</v>
      </c>
      <c r="B72">
        <v>313</v>
      </c>
      <c r="C72" t="str">
        <f>_xlfn.XLOOKUP(tblOrders[[#This Row],[CustomerID]],tblCustomers[CustomerID],tblCustomers[CustomerName],"not found")</f>
        <v>Toni Sullivan</v>
      </c>
      <c r="D72">
        <f>_xlfn.XLOOKUP(tblOrders[[#This Row],[CustomerID]],tblCustomers[CustomerID],tblCustomers[Age],"not found")</f>
        <v>18</v>
      </c>
      <c r="E72" t="str">
        <f>_xlfn.XLOOKUP(tblOrders[[#This Row],[CustomerID]],tblCustomers[CustomerID],tblCustomers[Gender],"not found")</f>
        <v>Female</v>
      </c>
      <c r="F72" t="str">
        <f>_xlfn.XLOOKUP(tblOrders[[#This Row],[CustomerID]],tblCustomers[CustomerID],tblCustomers[Region],"not found")</f>
        <v>Central</v>
      </c>
      <c r="G72">
        <v>1015</v>
      </c>
      <c r="H72" t="str">
        <f>_xlfn.XLOOKUP(tblOrders[[#This Row],[ProductID]],tblProducts[ProductID],tblProducts[ProductName],"not found")</f>
        <v>Wind</v>
      </c>
      <c r="I72" t="str">
        <f>_xlfn.XLOOKUP(tblOrders[[#This Row],[ProductID]],tblProducts[ProductID],tblProducts[Category],"not found")</f>
        <v>Toys</v>
      </c>
      <c r="J72">
        <f>_xlfn.XLOOKUP(tblOrders[[#This Row],[ProductID]],tblProducts[ProductID],tblProducts[UnitPrice],"not found")</f>
        <v>460.12</v>
      </c>
      <c r="K72" t="str">
        <f>_xlfn.XLOOKUP(tblOrders[[#This Row],[ProductID]],tblProducts[ProductID],tblProducts[Supplier],"not found")</f>
        <v>Allen-Hendricks</v>
      </c>
      <c r="L72" s="1">
        <v>45568</v>
      </c>
      <c r="M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45568</v>
      </c>
      <c r="N72">
        <v>5</v>
      </c>
      <c r="O72">
        <v>2300.6</v>
      </c>
      <c r="P72">
        <f>tblOrders[[#This Row],[Quantity]]*tblOrders[[#This Row],[Unit Price]]</f>
        <v>2300.6</v>
      </c>
      <c r="Q72">
        <f>tblOrders[[#This Row],[TotalSales]]-tblOrders[[#This Row],[Calculated Sales]]</f>
        <v>0</v>
      </c>
    </row>
    <row r="73" spans="1:17" x14ac:dyDescent="0.25">
      <c r="A73">
        <v>752</v>
      </c>
      <c r="B73">
        <v>33</v>
      </c>
      <c r="C73" t="str">
        <f>_xlfn.XLOOKUP(tblOrders[[#This Row],[CustomerID]],tblCustomers[CustomerID],tblCustomers[CustomerName],"not found")</f>
        <v>Jared Hudson</v>
      </c>
      <c r="D73">
        <f>_xlfn.XLOOKUP(tblOrders[[#This Row],[CustomerID]],tblCustomers[CustomerID],tblCustomers[Age],"not found")</f>
        <v>39</v>
      </c>
      <c r="E73" t="str">
        <f>_xlfn.XLOOKUP(tblOrders[[#This Row],[CustomerID]],tblCustomers[CustomerID],tblCustomers[Gender],"not found")</f>
        <v>Female</v>
      </c>
      <c r="F73" t="str">
        <f>_xlfn.XLOOKUP(tblOrders[[#This Row],[CustomerID]],tblCustomers[CustomerID],tblCustomers[Region],"not found")</f>
        <v>North</v>
      </c>
      <c r="G73">
        <v>1015</v>
      </c>
      <c r="H73" t="str">
        <f>_xlfn.XLOOKUP(tblOrders[[#This Row],[ProductID]],tblProducts[ProductID],tblProducts[ProductName],"not found")</f>
        <v>Wind</v>
      </c>
      <c r="I73" t="str">
        <f>_xlfn.XLOOKUP(tblOrders[[#This Row],[ProductID]],tblProducts[ProductID],tblProducts[Category],"not found")</f>
        <v>Toys</v>
      </c>
      <c r="J73">
        <f>_xlfn.XLOOKUP(tblOrders[[#This Row],[ProductID]],tblProducts[ProductID],tblProducts[UnitPrice],"not found")</f>
        <v>460.12</v>
      </c>
      <c r="K73" t="str">
        <f>_xlfn.XLOOKUP(tblOrders[[#This Row],[ProductID]],tblProducts[ProductID],tblProducts[Supplier],"not found")</f>
        <v>Allen-Hendricks</v>
      </c>
      <c r="L73" s="1" t="s">
        <v>2044</v>
      </c>
      <c r="M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45160</v>
      </c>
      <c r="N73">
        <v>2</v>
      </c>
      <c r="O73">
        <v>920.24</v>
      </c>
      <c r="P73">
        <f>tblOrders[[#This Row],[Quantity]]*tblOrders[[#This Row],[Unit Price]]</f>
        <v>920.24</v>
      </c>
      <c r="Q73">
        <f>tblOrders[[#This Row],[TotalSales]]-tblOrders[[#This Row],[Calculated Sales]]</f>
        <v>0</v>
      </c>
    </row>
    <row r="74" spans="1:17" x14ac:dyDescent="0.25">
      <c r="A74">
        <v>950</v>
      </c>
      <c r="B74">
        <v>367</v>
      </c>
      <c r="C74" t="str">
        <f>_xlfn.XLOOKUP(tblOrders[[#This Row],[CustomerID]],tblCustomers[CustomerID],tblCustomers[CustomerName],"not found")</f>
        <v>Dwayne Arellano</v>
      </c>
      <c r="D74">
        <f>_xlfn.XLOOKUP(tblOrders[[#This Row],[CustomerID]],tblCustomers[CustomerID],tblCustomers[Age],"not found")</f>
        <v>32</v>
      </c>
      <c r="E74" t="str">
        <f>_xlfn.XLOOKUP(tblOrders[[#This Row],[CustomerID]],tblCustomers[CustomerID],tblCustomers[Gender],"not found")</f>
        <v>Male</v>
      </c>
      <c r="F74" t="str">
        <f>_xlfn.XLOOKUP(tblOrders[[#This Row],[CustomerID]],tblCustomers[CustomerID],tblCustomers[Region],"not found")</f>
        <v>East</v>
      </c>
      <c r="G74">
        <v>1015</v>
      </c>
      <c r="H74" t="str">
        <f>_xlfn.XLOOKUP(tblOrders[[#This Row],[ProductID]],tblProducts[ProductID],tblProducts[ProductName],"not found")</f>
        <v>Wind</v>
      </c>
      <c r="I74" t="str">
        <f>_xlfn.XLOOKUP(tblOrders[[#This Row],[ProductID]],tblProducts[ProductID],tblProducts[Category],"not found")</f>
        <v>Toys</v>
      </c>
      <c r="J74">
        <f>_xlfn.XLOOKUP(tblOrders[[#This Row],[ProductID]],tblProducts[ProductID],tblProducts[UnitPrice],"not found")</f>
        <v>460.12</v>
      </c>
      <c r="K74" t="str">
        <f>_xlfn.XLOOKUP(tblOrders[[#This Row],[ProductID]],tblProducts[ProductID],tblProducts[Supplier],"not found")</f>
        <v>Allen-Hendricks</v>
      </c>
      <c r="L74" s="1" t="s">
        <v>2045</v>
      </c>
      <c r="M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45168</v>
      </c>
      <c r="N74">
        <v>9</v>
      </c>
      <c r="O74">
        <v>4141.08</v>
      </c>
      <c r="P74">
        <f>tblOrders[[#This Row],[Quantity]]*tblOrders[[#This Row],[Unit Price]]</f>
        <v>4141.08</v>
      </c>
      <c r="Q74">
        <f>tblOrders[[#This Row],[TotalSales]]-tblOrders[[#This Row],[Calculated Sales]]</f>
        <v>0</v>
      </c>
    </row>
    <row r="75" spans="1:17" x14ac:dyDescent="0.25">
      <c r="A75">
        <v>1181</v>
      </c>
      <c r="B75">
        <v>340</v>
      </c>
      <c r="C75" t="str">
        <f>_xlfn.XLOOKUP(tblOrders[[#This Row],[CustomerID]],tblCustomers[CustomerID],tblCustomers[CustomerName],"not found")</f>
        <v>Shannon Burke</v>
      </c>
      <c r="D75">
        <f>_xlfn.XLOOKUP(tblOrders[[#This Row],[CustomerID]],tblCustomers[CustomerID],tblCustomers[Age],"not found")</f>
        <v>59</v>
      </c>
      <c r="E75" t="str">
        <f>_xlfn.XLOOKUP(tblOrders[[#This Row],[CustomerID]],tblCustomers[CustomerID],tblCustomers[Gender],"not found")</f>
        <v>Male</v>
      </c>
      <c r="F75" t="str">
        <f>_xlfn.XLOOKUP(tblOrders[[#This Row],[CustomerID]],tblCustomers[CustomerID],tblCustomers[Region],"not found")</f>
        <v>West</v>
      </c>
      <c r="G75">
        <v>1015</v>
      </c>
      <c r="H75" t="str">
        <f>_xlfn.XLOOKUP(tblOrders[[#This Row],[ProductID]],tblProducts[ProductID],tblProducts[ProductName],"not found")</f>
        <v>Wind</v>
      </c>
      <c r="I75" t="str">
        <f>_xlfn.XLOOKUP(tblOrders[[#This Row],[ProductID]],tblProducts[ProductID],tblProducts[Category],"not found")</f>
        <v>Toys</v>
      </c>
      <c r="J75">
        <f>_xlfn.XLOOKUP(tblOrders[[#This Row],[ProductID]],tblProducts[ProductID],tblProducts[UnitPrice],"not found")</f>
        <v>460.12</v>
      </c>
      <c r="K75" t="str">
        <f>_xlfn.XLOOKUP(tblOrders[[#This Row],[ProductID]],tblProducts[ProductID],tblProducts[Supplier],"not found")</f>
        <v>Allen-Hendricks</v>
      </c>
      <c r="L75" s="1">
        <v>45388</v>
      </c>
      <c r="M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45388</v>
      </c>
      <c r="N75">
        <v>3</v>
      </c>
      <c r="O75">
        <v>1380.36</v>
      </c>
      <c r="P75">
        <f>tblOrders[[#This Row],[Quantity]]*tblOrders[[#This Row],[Unit Price]]</f>
        <v>1380.3600000000001</v>
      </c>
      <c r="Q75">
        <f>tblOrders[[#This Row],[TotalSales]]-tblOrders[[#This Row],[Calculated Sales]]</f>
        <v>0</v>
      </c>
    </row>
    <row r="76" spans="1:17" x14ac:dyDescent="0.25">
      <c r="A76">
        <v>1349</v>
      </c>
      <c r="B76">
        <v>301</v>
      </c>
      <c r="C76" t="str">
        <f>_xlfn.XLOOKUP(tblOrders[[#This Row],[CustomerID]],tblCustomers[CustomerID],tblCustomers[CustomerName],"not found")</f>
        <v>Andrew Hudson Jr.</v>
      </c>
      <c r="D76">
        <f>_xlfn.XLOOKUP(tblOrders[[#This Row],[CustomerID]],tblCustomers[CustomerID],tblCustomers[Age],"not found")</f>
        <v>28</v>
      </c>
      <c r="E76" t="str">
        <f>_xlfn.XLOOKUP(tblOrders[[#This Row],[CustomerID]],tblCustomers[CustomerID],tblCustomers[Gender],"not found")</f>
        <v>Male</v>
      </c>
      <c r="F76" t="str">
        <f>_xlfn.XLOOKUP(tblOrders[[#This Row],[CustomerID]],tblCustomers[CustomerID],tblCustomers[Region],"not found")</f>
        <v>North</v>
      </c>
      <c r="G76">
        <v>1015</v>
      </c>
      <c r="H76" t="str">
        <f>_xlfn.XLOOKUP(tblOrders[[#This Row],[ProductID]],tblProducts[ProductID],tblProducts[ProductName],"not found")</f>
        <v>Wind</v>
      </c>
      <c r="I76" t="str">
        <f>_xlfn.XLOOKUP(tblOrders[[#This Row],[ProductID]],tblProducts[ProductID],tblProducts[Category],"not found")</f>
        <v>Toys</v>
      </c>
      <c r="J76">
        <f>_xlfn.XLOOKUP(tblOrders[[#This Row],[ProductID]],tblProducts[ProductID],tblProducts[UnitPrice],"not found")</f>
        <v>460.12</v>
      </c>
      <c r="K76" t="str">
        <f>_xlfn.XLOOKUP(tblOrders[[#This Row],[ProductID]],tblProducts[ProductID],tblProducts[Supplier],"not found")</f>
        <v>Allen-Hendricks</v>
      </c>
      <c r="L76" s="1">
        <v>45567</v>
      </c>
      <c r="M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45567</v>
      </c>
      <c r="N76">
        <v>7</v>
      </c>
      <c r="O76">
        <v>3220.84</v>
      </c>
      <c r="P76">
        <f>tblOrders[[#This Row],[Quantity]]*tblOrders[[#This Row],[Unit Price]]</f>
        <v>3220.84</v>
      </c>
      <c r="Q76">
        <f>tblOrders[[#This Row],[TotalSales]]-tblOrders[[#This Row],[Calculated Sales]]</f>
        <v>0</v>
      </c>
    </row>
    <row r="77" spans="1:17" x14ac:dyDescent="0.25">
      <c r="A77">
        <v>1360</v>
      </c>
      <c r="B77">
        <v>375</v>
      </c>
      <c r="C77" t="str">
        <f>_xlfn.XLOOKUP(tblOrders[[#This Row],[CustomerID]],tblCustomers[CustomerID],tblCustomers[CustomerName],"not found")</f>
        <v>Matthew Ibarra</v>
      </c>
      <c r="D77">
        <f>_xlfn.XLOOKUP(tblOrders[[#This Row],[CustomerID]],tblCustomers[CustomerID],tblCustomers[Age],"not found")</f>
        <v>23</v>
      </c>
      <c r="E77" t="str">
        <f>_xlfn.XLOOKUP(tblOrders[[#This Row],[CustomerID]],tblCustomers[CustomerID],tblCustomers[Gender],"not found")</f>
        <v>Female</v>
      </c>
      <c r="F77" t="str">
        <f>_xlfn.XLOOKUP(tblOrders[[#This Row],[CustomerID]],tblCustomers[CustomerID],tblCustomers[Region],"not found")</f>
        <v>South</v>
      </c>
      <c r="G77">
        <v>1015</v>
      </c>
      <c r="H77" t="str">
        <f>_xlfn.XLOOKUP(tblOrders[[#This Row],[ProductID]],tblProducts[ProductID],tblProducts[ProductName],"not found")</f>
        <v>Wind</v>
      </c>
      <c r="I77" t="str">
        <f>_xlfn.XLOOKUP(tblOrders[[#This Row],[ProductID]],tblProducts[ProductID],tblProducts[Category],"not found")</f>
        <v>Toys</v>
      </c>
      <c r="J77">
        <f>_xlfn.XLOOKUP(tblOrders[[#This Row],[ProductID]],tblProducts[ProductID],tblProducts[UnitPrice],"not found")</f>
        <v>460.12</v>
      </c>
      <c r="K77" t="str">
        <f>_xlfn.XLOOKUP(tblOrders[[#This Row],[ProductID]],tblProducts[ProductID],tblProducts[Supplier],"not found")</f>
        <v>Allen-Hendricks</v>
      </c>
      <c r="L77" s="1" t="s">
        <v>2046</v>
      </c>
      <c r="M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45061</v>
      </c>
      <c r="N77">
        <v>7</v>
      </c>
      <c r="O77">
        <v>3220.84</v>
      </c>
      <c r="P77">
        <f>tblOrders[[#This Row],[Quantity]]*tblOrders[[#This Row],[Unit Price]]</f>
        <v>3220.84</v>
      </c>
      <c r="Q77">
        <f>tblOrders[[#This Row],[TotalSales]]-tblOrders[[#This Row],[Calculated Sales]]</f>
        <v>0</v>
      </c>
    </row>
    <row r="78" spans="1:17" x14ac:dyDescent="0.25">
      <c r="A78">
        <v>1410</v>
      </c>
      <c r="B78">
        <v>734</v>
      </c>
      <c r="C78" t="str">
        <f>_xlfn.XLOOKUP(tblOrders[[#This Row],[CustomerID]],tblCustomers[CustomerID],tblCustomers[CustomerName],"not found")</f>
        <v>Kevin Ruiz</v>
      </c>
      <c r="D78">
        <f>_xlfn.XLOOKUP(tblOrders[[#This Row],[CustomerID]],tblCustomers[CustomerID],tblCustomers[Age],"not found")</f>
        <v>29</v>
      </c>
      <c r="E78" t="str">
        <f>_xlfn.XLOOKUP(tblOrders[[#This Row],[CustomerID]],tblCustomers[CustomerID],tblCustomers[Gender],"not found")</f>
        <v>Female</v>
      </c>
      <c r="F78" t="str">
        <f>_xlfn.XLOOKUP(tblOrders[[#This Row],[CustomerID]],tblCustomers[CustomerID],tblCustomers[Region],"not found")</f>
        <v>South</v>
      </c>
      <c r="G78">
        <v>1015</v>
      </c>
      <c r="H78" t="str">
        <f>_xlfn.XLOOKUP(tblOrders[[#This Row],[ProductID]],tblProducts[ProductID],tblProducts[ProductName],"not found")</f>
        <v>Wind</v>
      </c>
      <c r="I78" t="str">
        <f>_xlfn.XLOOKUP(tblOrders[[#This Row],[ProductID]],tblProducts[ProductID],tblProducts[Category],"not found")</f>
        <v>Toys</v>
      </c>
      <c r="J78">
        <f>_xlfn.XLOOKUP(tblOrders[[#This Row],[ProductID]],tblProducts[ProductID],tblProducts[UnitPrice],"not found")</f>
        <v>460.12</v>
      </c>
      <c r="K78" t="str">
        <f>_xlfn.XLOOKUP(tblOrders[[#This Row],[ProductID]],tblProducts[ProductID],tblProducts[Supplier],"not found")</f>
        <v>Allen-Hendricks</v>
      </c>
      <c r="L78" s="1" t="s">
        <v>2047</v>
      </c>
      <c r="M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44948</v>
      </c>
      <c r="N78">
        <v>7</v>
      </c>
      <c r="O78">
        <v>3220.84</v>
      </c>
      <c r="P78">
        <f>tblOrders[[#This Row],[Quantity]]*tblOrders[[#This Row],[Unit Price]]</f>
        <v>3220.84</v>
      </c>
      <c r="Q78">
        <f>tblOrders[[#This Row],[TotalSales]]-tblOrders[[#This Row],[Calculated Sales]]</f>
        <v>0</v>
      </c>
    </row>
    <row r="79" spans="1:17" x14ac:dyDescent="0.25">
      <c r="A79">
        <v>1429</v>
      </c>
      <c r="B79">
        <v>828</v>
      </c>
      <c r="C79" t="str">
        <f>_xlfn.XLOOKUP(tblOrders[[#This Row],[CustomerID]],tblCustomers[CustomerID],tblCustomers[CustomerName],"not found")</f>
        <v>Jessica Baker</v>
      </c>
      <c r="D79">
        <f>_xlfn.XLOOKUP(tblOrders[[#This Row],[CustomerID]],tblCustomers[CustomerID],tblCustomers[Age],"not found")</f>
        <v>44</v>
      </c>
      <c r="E79" t="str">
        <f>_xlfn.XLOOKUP(tblOrders[[#This Row],[CustomerID]],tblCustomers[CustomerID],tblCustomers[Gender],"not found")</f>
        <v>Female</v>
      </c>
      <c r="F79" t="str">
        <f>_xlfn.XLOOKUP(tblOrders[[#This Row],[CustomerID]],tblCustomers[CustomerID],tblCustomers[Region],"not found")</f>
        <v>South</v>
      </c>
      <c r="G79">
        <v>1015</v>
      </c>
      <c r="H79" t="str">
        <f>_xlfn.XLOOKUP(tblOrders[[#This Row],[ProductID]],tblProducts[ProductID],tblProducts[ProductName],"not found")</f>
        <v>Wind</v>
      </c>
      <c r="I79" t="str">
        <f>_xlfn.XLOOKUP(tblOrders[[#This Row],[ProductID]],tblProducts[ProductID],tblProducts[Category],"not found")</f>
        <v>Toys</v>
      </c>
      <c r="J79">
        <f>_xlfn.XLOOKUP(tblOrders[[#This Row],[ProductID]],tblProducts[ProductID],tblProducts[UnitPrice],"not found")</f>
        <v>460.12</v>
      </c>
      <c r="K79" t="str">
        <f>_xlfn.XLOOKUP(tblOrders[[#This Row],[ProductID]],tblProducts[ProductID],tblProducts[Supplier],"not found")</f>
        <v>Allen-Hendricks</v>
      </c>
      <c r="L79" s="1" t="s">
        <v>2048</v>
      </c>
      <c r="M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44981</v>
      </c>
      <c r="N79">
        <v>5</v>
      </c>
      <c r="O79">
        <v>2300.6</v>
      </c>
      <c r="P79">
        <f>tblOrders[[#This Row],[Quantity]]*tblOrders[[#This Row],[Unit Price]]</f>
        <v>2300.6</v>
      </c>
      <c r="Q79">
        <f>tblOrders[[#This Row],[TotalSales]]-tblOrders[[#This Row],[Calculated Sales]]</f>
        <v>0</v>
      </c>
    </row>
    <row r="80" spans="1:17" x14ac:dyDescent="0.25">
      <c r="A80">
        <v>1473</v>
      </c>
      <c r="B80">
        <v>81</v>
      </c>
      <c r="C80" t="str">
        <f>_xlfn.XLOOKUP(tblOrders[[#This Row],[CustomerID]],tblCustomers[CustomerID],tblCustomers[CustomerName],"not found")</f>
        <v>Christopher Carter</v>
      </c>
      <c r="D80">
        <f>_xlfn.XLOOKUP(tblOrders[[#This Row],[CustomerID]],tblCustomers[CustomerID],tblCustomers[Age],"not found")</f>
        <v>25</v>
      </c>
      <c r="E80" t="str">
        <f>_xlfn.XLOOKUP(tblOrders[[#This Row],[CustomerID]],tblCustomers[CustomerID],tblCustomers[Gender],"not found")</f>
        <v>Male</v>
      </c>
      <c r="F80" t="str">
        <f>_xlfn.XLOOKUP(tblOrders[[#This Row],[CustomerID]],tblCustomers[CustomerID],tblCustomers[Region],"not found")</f>
        <v>North</v>
      </c>
      <c r="G80">
        <v>1015</v>
      </c>
      <c r="H80" t="str">
        <f>_xlfn.XLOOKUP(tblOrders[[#This Row],[ProductID]],tblProducts[ProductID],tblProducts[ProductName],"not found")</f>
        <v>Wind</v>
      </c>
      <c r="I80" t="str">
        <f>_xlfn.XLOOKUP(tblOrders[[#This Row],[ProductID]],tblProducts[ProductID],tblProducts[Category],"not found")</f>
        <v>Toys</v>
      </c>
      <c r="J80">
        <f>_xlfn.XLOOKUP(tblOrders[[#This Row],[ProductID]],tblProducts[ProductID],tblProducts[UnitPrice],"not found")</f>
        <v>460.12</v>
      </c>
      <c r="K80" t="str">
        <f>_xlfn.XLOOKUP(tblOrders[[#This Row],[ProductID]],tblProducts[ProductID],tblProducts[Supplier],"not found")</f>
        <v>Allen-Hendricks</v>
      </c>
      <c r="L80" s="1" t="s">
        <v>2049</v>
      </c>
      <c r="M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45409</v>
      </c>
      <c r="N80">
        <v>4</v>
      </c>
      <c r="O80">
        <v>1840.48</v>
      </c>
      <c r="P80">
        <f>tblOrders[[#This Row],[Quantity]]*tblOrders[[#This Row],[Unit Price]]</f>
        <v>1840.48</v>
      </c>
      <c r="Q80">
        <f>tblOrders[[#This Row],[TotalSales]]-tblOrders[[#This Row],[Calculated Sales]]</f>
        <v>0</v>
      </c>
    </row>
    <row r="81" spans="1:17" x14ac:dyDescent="0.25">
      <c r="A81">
        <v>1765</v>
      </c>
      <c r="B81">
        <v>212</v>
      </c>
      <c r="C81" t="str">
        <f>_xlfn.XLOOKUP(tblOrders[[#This Row],[CustomerID]],tblCustomers[CustomerID],tblCustomers[CustomerName],"not found")</f>
        <v>Lori Herman</v>
      </c>
      <c r="D81">
        <f>_xlfn.XLOOKUP(tblOrders[[#This Row],[CustomerID]],tblCustomers[CustomerID],tblCustomers[Age],"not found")</f>
        <v>65</v>
      </c>
      <c r="E81" t="str">
        <f>_xlfn.XLOOKUP(tblOrders[[#This Row],[CustomerID]],tblCustomers[CustomerID],tblCustomers[Gender],"not found")</f>
        <v>Female</v>
      </c>
      <c r="F81" t="str">
        <f>_xlfn.XLOOKUP(tblOrders[[#This Row],[CustomerID]],tblCustomers[CustomerID],tblCustomers[Region],"not found")</f>
        <v>East</v>
      </c>
      <c r="G81">
        <v>1015</v>
      </c>
      <c r="H81" t="str">
        <f>_xlfn.XLOOKUP(tblOrders[[#This Row],[ProductID]],tblProducts[ProductID],tblProducts[ProductName],"not found")</f>
        <v>Wind</v>
      </c>
      <c r="I81" t="str">
        <f>_xlfn.XLOOKUP(tblOrders[[#This Row],[ProductID]],tblProducts[ProductID],tblProducts[Category],"not found")</f>
        <v>Toys</v>
      </c>
      <c r="J81">
        <f>_xlfn.XLOOKUP(tblOrders[[#This Row],[ProductID]],tblProducts[ProductID],tblProducts[UnitPrice],"not found")</f>
        <v>460.12</v>
      </c>
      <c r="K81" t="str">
        <f>_xlfn.XLOOKUP(tblOrders[[#This Row],[ProductID]],tblProducts[ProductID],tblProducts[Supplier],"not found")</f>
        <v>Allen-Hendricks</v>
      </c>
      <c r="L81" s="1" t="s">
        <v>2050</v>
      </c>
      <c r="M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81">
        <v>1</v>
      </c>
      <c r="O81">
        <v>460.12</v>
      </c>
      <c r="P81">
        <f>tblOrders[[#This Row],[Quantity]]*tblOrders[[#This Row],[Unit Price]]</f>
        <v>460.12</v>
      </c>
      <c r="Q81">
        <f>tblOrders[[#This Row],[TotalSales]]-tblOrders[[#This Row],[Calculated Sales]]</f>
        <v>0</v>
      </c>
    </row>
    <row r="82" spans="1:17" x14ac:dyDescent="0.25">
      <c r="A82">
        <v>1864</v>
      </c>
      <c r="B82">
        <v>921</v>
      </c>
      <c r="C82" t="str">
        <f>_xlfn.XLOOKUP(tblOrders[[#This Row],[CustomerID]],tblCustomers[CustomerID],tblCustomers[CustomerName],"not found")</f>
        <v>Dennis Stone</v>
      </c>
      <c r="D82">
        <f>_xlfn.XLOOKUP(tblOrders[[#This Row],[CustomerID]],tblCustomers[CustomerID],tblCustomers[Age],"not found")</f>
        <v>48</v>
      </c>
      <c r="E82" t="str">
        <f>_xlfn.XLOOKUP(tblOrders[[#This Row],[CustomerID]],tblCustomers[CustomerID],tblCustomers[Gender],"not found")</f>
        <v>Male</v>
      </c>
      <c r="F82" t="str">
        <f>_xlfn.XLOOKUP(tblOrders[[#This Row],[CustomerID]],tblCustomers[CustomerID],tblCustomers[Region],"not found")</f>
        <v>East</v>
      </c>
      <c r="G82">
        <v>1015</v>
      </c>
      <c r="H82" t="str">
        <f>_xlfn.XLOOKUP(tblOrders[[#This Row],[ProductID]],tblProducts[ProductID],tblProducts[ProductName],"not found")</f>
        <v>Wind</v>
      </c>
      <c r="I82" t="str">
        <f>_xlfn.XLOOKUP(tblOrders[[#This Row],[ProductID]],tblProducts[ProductID],tblProducts[Category],"not found")</f>
        <v>Toys</v>
      </c>
      <c r="J82">
        <f>_xlfn.XLOOKUP(tblOrders[[#This Row],[ProductID]],tblProducts[ProductID],tblProducts[UnitPrice],"not found")</f>
        <v>460.12</v>
      </c>
      <c r="K82" t="str">
        <f>_xlfn.XLOOKUP(tblOrders[[#This Row],[ProductID]],tblProducts[ProductID],tblProducts[Supplier],"not found")</f>
        <v>Allen-Hendricks</v>
      </c>
      <c r="L82" s="1" t="s">
        <v>2051</v>
      </c>
      <c r="M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45403</v>
      </c>
      <c r="N82">
        <v>6</v>
      </c>
      <c r="O82">
        <v>2760.72</v>
      </c>
      <c r="P82">
        <f>tblOrders[[#This Row],[Quantity]]*tblOrders[[#This Row],[Unit Price]]</f>
        <v>2760.7200000000003</v>
      </c>
      <c r="Q82">
        <f>tblOrders[[#This Row],[TotalSales]]-tblOrders[[#This Row],[Calculated Sales]]</f>
        <v>0</v>
      </c>
    </row>
    <row r="83" spans="1:17" x14ac:dyDescent="0.25">
      <c r="A83">
        <v>1947</v>
      </c>
      <c r="B83">
        <v>567</v>
      </c>
      <c r="C83" t="str">
        <f>_xlfn.XLOOKUP(tblOrders[[#This Row],[CustomerID]],tblCustomers[CustomerID],tblCustomers[CustomerName],"not found")</f>
        <v>Alyssa Gilmore</v>
      </c>
      <c r="D83">
        <f>_xlfn.XLOOKUP(tblOrders[[#This Row],[CustomerID]],tblCustomers[CustomerID],tblCustomers[Age],"not found")</f>
        <v>53</v>
      </c>
      <c r="E83" t="str">
        <f>_xlfn.XLOOKUP(tblOrders[[#This Row],[CustomerID]],tblCustomers[CustomerID],tblCustomers[Gender],"not found")</f>
        <v>Female</v>
      </c>
      <c r="F83" t="str">
        <f>_xlfn.XLOOKUP(tblOrders[[#This Row],[CustomerID]],tblCustomers[CustomerID],tblCustomers[Region],"not found")</f>
        <v>East</v>
      </c>
      <c r="G83">
        <v>1015</v>
      </c>
      <c r="H83" t="str">
        <f>_xlfn.XLOOKUP(tblOrders[[#This Row],[ProductID]],tblProducts[ProductID],tblProducts[ProductName],"not found")</f>
        <v>Wind</v>
      </c>
      <c r="I83" t="str">
        <f>_xlfn.XLOOKUP(tblOrders[[#This Row],[ProductID]],tblProducts[ProductID],tblProducts[Category],"not found")</f>
        <v>Toys</v>
      </c>
      <c r="J83">
        <f>_xlfn.XLOOKUP(tblOrders[[#This Row],[ProductID]],tblProducts[ProductID],tblProducts[UnitPrice],"not found")</f>
        <v>460.12</v>
      </c>
      <c r="K83" t="str">
        <f>_xlfn.XLOOKUP(tblOrders[[#This Row],[ProductID]],tblProducts[ProductID],tblProducts[Supplier],"not found")</f>
        <v>Allen-Hendricks</v>
      </c>
      <c r="L83" s="1" t="s">
        <v>2052</v>
      </c>
      <c r="M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44980</v>
      </c>
      <c r="N83">
        <v>2</v>
      </c>
      <c r="O83">
        <v>920.24</v>
      </c>
      <c r="P83">
        <f>tblOrders[[#This Row],[Quantity]]*tblOrders[[#This Row],[Unit Price]]</f>
        <v>920.24</v>
      </c>
      <c r="Q83">
        <f>tblOrders[[#This Row],[TotalSales]]-tblOrders[[#This Row],[Calculated Sales]]</f>
        <v>0</v>
      </c>
    </row>
    <row r="84" spans="1:17" x14ac:dyDescent="0.25">
      <c r="A84">
        <v>1960</v>
      </c>
      <c r="B84">
        <v>219</v>
      </c>
      <c r="C84" t="str">
        <f>_xlfn.XLOOKUP(tblOrders[[#This Row],[CustomerID]],tblCustomers[CustomerID],tblCustomers[CustomerName],"not found")</f>
        <v>Mary Tapia</v>
      </c>
      <c r="D84">
        <f>_xlfn.XLOOKUP(tblOrders[[#This Row],[CustomerID]],tblCustomers[CustomerID],tblCustomers[Age],"not found")</f>
        <v>36</v>
      </c>
      <c r="E84" t="str">
        <f>_xlfn.XLOOKUP(tblOrders[[#This Row],[CustomerID]],tblCustomers[CustomerID],tblCustomers[Gender],"not found")</f>
        <v>Female</v>
      </c>
      <c r="F84" t="str">
        <f>_xlfn.XLOOKUP(tblOrders[[#This Row],[CustomerID]],tblCustomers[CustomerID],tblCustomers[Region],"not found")</f>
        <v>West</v>
      </c>
      <c r="G84">
        <v>1015</v>
      </c>
      <c r="H84" t="str">
        <f>_xlfn.XLOOKUP(tblOrders[[#This Row],[ProductID]],tblProducts[ProductID],tblProducts[ProductName],"not found")</f>
        <v>Wind</v>
      </c>
      <c r="I84" t="str">
        <f>_xlfn.XLOOKUP(tblOrders[[#This Row],[ProductID]],tblProducts[ProductID],tblProducts[Category],"not found")</f>
        <v>Toys</v>
      </c>
      <c r="J84">
        <f>_xlfn.XLOOKUP(tblOrders[[#This Row],[ProductID]],tblProducts[ProductID],tblProducts[UnitPrice],"not found")</f>
        <v>460.12</v>
      </c>
      <c r="K84" t="str">
        <f>_xlfn.XLOOKUP(tblOrders[[#This Row],[ProductID]],tblProducts[ProductID],tblProducts[Supplier],"not found")</f>
        <v>Allen-Hendricks</v>
      </c>
      <c r="L84" s="1" t="s">
        <v>2053</v>
      </c>
      <c r="M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45281</v>
      </c>
      <c r="N84">
        <v>3</v>
      </c>
      <c r="O84">
        <v>1380.36</v>
      </c>
      <c r="P84">
        <f>tblOrders[[#This Row],[Quantity]]*tblOrders[[#This Row],[Unit Price]]</f>
        <v>1380.3600000000001</v>
      </c>
      <c r="Q84">
        <f>tblOrders[[#This Row],[TotalSales]]-tblOrders[[#This Row],[Calculated Sales]]</f>
        <v>0</v>
      </c>
    </row>
    <row r="85" spans="1:17" x14ac:dyDescent="0.25">
      <c r="A85">
        <v>5</v>
      </c>
      <c r="B85">
        <v>239</v>
      </c>
      <c r="C85" t="str">
        <f>_xlfn.XLOOKUP(tblOrders[[#This Row],[CustomerID]],tblCustomers[CustomerID],tblCustomers[CustomerName],"not found")</f>
        <v>Haley Jordan</v>
      </c>
      <c r="D85">
        <f>_xlfn.XLOOKUP(tblOrders[[#This Row],[CustomerID]],tblCustomers[CustomerID],tblCustomers[Age],"not found")</f>
        <v>37</v>
      </c>
      <c r="E85" t="str">
        <f>_xlfn.XLOOKUP(tblOrders[[#This Row],[CustomerID]],tblCustomers[CustomerID],tblCustomers[Gender],"not found")</f>
        <v>Male</v>
      </c>
      <c r="F85" t="str">
        <f>_xlfn.XLOOKUP(tblOrders[[#This Row],[CustomerID]],tblCustomers[CustomerID],tblCustomers[Region],"not found")</f>
        <v>West</v>
      </c>
      <c r="G85">
        <v>1094</v>
      </c>
      <c r="H85" t="str">
        <f>_xlfn.XLOOKUP(tblOrders[[#This Row],[ProductID]],tblProducts[ProductID],tblProducts[ProductName],"not found")</f>
        <v>Agreement</v>
      </c>
      <c r="I85" t="str">
        <f>_xlfn.XLOOKUP(tblOrders[[#This Row],[ProductID]],tblProducts[ProductID],tblProducts[Category],"not found")</f>
        <v>Apparel</v>
      </c>
      <c r="J85">
        <f>_xlfn.XLOOKUP(tblOrders[[#This Row],[ProductID]],tblProducts[ProductID],tblProducts[UnitPrice],"not found")</f>
        <v>232.36</v>
      </c>
      <c r="K85" t="str">
        <f>_xlfn.XLOOKUP(tblOrders[[#This Row],[ProductID]],tblProducts[ProductID],tblProducts[Supplier],"not found")</f>
        <v>Brennan, Finley and Hunt</v>
      </c>
      <c r="L85" s="1">
        <v>45352</v>
      </c>
      <c r="M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45352</v>
      </c>
      <c r="N85">
        <v>2</v>
      </c>
      <c r="O85">
        <v>464.72</v>
      </c>
      <c r="P85">
        <f>tblOrders[[#This Row],[Quantity]]*tblOrders[[#This Row],[Unit Price]]</f>
        <v>464.72</v>
      </c>
      <c r="Q85">
        <f>tblOrders[[#This Row],[TotalSales]]-tblOrders[[#This Row],[Calculated Sales]]</f>
        <v>0</v>
      </c>
    </row>
    <row r="86" spans="1:17" x14ac:dyDescent="0.25">
      <c r="A86">
        <v>59</v>
      </c>
      <c r="B86">
        <v>258</v>
      </c>
      <c r="C86" t="str">
        <f>_xlfn.XLOOKUP(tblOrders[[#This Row],[CustomerID]],tblCustomers[CustomerID],tblCustomers[CustomerName],"not found")</f>
        <v>Evan Wagner</v>
      </c>
      <c r="D86">
        <f>_xlfn.XLOOKUP(tblOrders[[#This Row],[CustomerID]],tblCustomers[CustomerID],tblCustomers[Age],"not found")</f>
        <v>51</v>
      </c>
      <c r="E86" t="str">
        <f>_xlfn.XLOOKUP(tblOrders[[#This Row],[CustomerID]],tblCustomers[CustomerID],tblCustomers[Gender],"not found")</f>
        <v>Female</v>
      </c>
      <c r="F86" t="str">
        <f>_xlfn.XLOOKUP(tblOrders[[#This Row],[CustomerID]],tblCustomers[CustomerID],tblCustomers[Region],"not found")</f>
        <v>West</v>
      </c>
      <c r="G86">
        <v>1094</v>
      </c>
      <c r="H86" t="str">
        <f>_xlfn.XLOOKUP(tblOrders[[#This Row],[ProductID]],tblProducts[ProductID],tblProducts[ProductName],"not found")</f>
        <v>Agreement</v>
      </c>
      <c r="I86" t="str">
        <f>_xlfn.XLOOKUP(tblOrders[[#This Row],[ProductID]],tblProducts[ProductID],tblProducts[Category],"not found")</f>
        <v>Apparel</v>
      </c>
      <c r="J86">
        <f>_xlfn.XLOOKUP(tblOrders[[#This Row],[ProductID]],tblProducts[ProductID],tblProducts[UnitPrice],"not found")</f>
        <v>232.36</v>
      </c>
      <c r="K86" t="str">
        <f>_xlfn.XLOOKUP(tblOrders[[#This Row],[ProductID]],tblProducts[ProductID],tblProducts[Supplier],"not found")</f>
        <v>Brennan, Finley and Hunt</v>
      </c>
      <c r="L86" s="1" t="s">
        <v>2054</v>
      </c>
      <c r="M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45335</v>
      </c>
      <c r="N86">
        <v>1</v>
      </c>
      <c r="O86">
        <v>232.36</v>
      </c>
      <c r="P86">
        <f>tblOrders[[#This Row],[Quantity]]*tblOrders[[#This Row],[Unit Price]]</f>
        <v>232.36</v>
      </c>
      <c r="Q86">
        <f>tblOrders[[#This Row],[TotalSales]]-tblOrders[[#This Row],[Calculated Sales]]</f>
        <v>0</v>
      </c>
    </row>
    <row r="87" spans="1:17" x14ac:dyDescent="0.25">
      <c r="A87">
        <v>332</v>
      </c>
      <c r="B87">
        <v>534</v>
      </c>
      <c r="C87" t="str">
        <f>_xlfn.XLOOKUP(tblOrders[[#This Row],[CustomerID]],tblCustomers[CustomerID],tblCustomers[CustomerName],"not found")</f>
        <v>Brett Solis</v>
      </c>
      <c r="D87">
        <f>_xlfn.XLOOKUP(tblOrders[[#This Row],[CustomerID]],tblCustomers[CustomerID],tblCustomers[Age],"not found")</f>
        <v>33</v>
      </c>
      <c r="E87" t="str">
        <f>_xlfn.XLOOKUP(tblOrders[[#This Row],[CustomerID]],tblCustomers[CustomerID],tblCustomers[Gender],"not found")</f>
        <v>Male</v>
      </c>
      <c r="F87" t="str">
        <f>_xlfn.XLOOKUP(tblOrders[[#This Row],[CustomerID]],tblCustomers[CustomerID],tblCustomers[Region],"not found")</f>
        <v>West</v>
      </c>
      <c r="G87">
        <v>1094</v>
      </c>
      <c r="H87" t="str">
        <f>_xlfn.XLOOKUP(tblOrders[[#This Row],[ProductID]],tblProducts[ProductID],tblProducts[ProductName],"not found")</f>
        <v>Agreement</v>
      </c>
      <c r="I87" t="str">
        <f>_xlfn.XLOOKUP(tblOrders[[#This Row],[ProductID]],tblProducts[ProductID],tblProducts[Category],"not found")</f>
        <v>Apparel</v>
      </c>
      <c r="J87">
        <f>_xlfn.XLOOKUP(tblOrders[[#This Row],[ProductID]],tblProducts[ProductID],tblProducts[UnitPrice],"not found")</f>
        <v>232.36</v>
      </c>
      <c r="K87" t="str">
        <f>_xlfn.XLOOKUP(tblOrders[[#This Row],[ProductID]],tblProducts[ProductID],tblProducts[Supplier],"not found")</f>
        <v>Brennan, Finley and Hunt</v>
      </c>
      <c r="L87" s="1" t="s">
        <v>2055</v>
      </c>
      <c r="M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45464</v>
      </c>
      <c r="N87">
        <v>7</v>
      </c>
      <c r="O87">
        <v>1626.52</v>
      </c>
      <c r="P87">
        <f>tblOrders[[#This Row],[Quantity]]*tblOrders[[#This Row],[Unit Price]]</f>
        <v>1626.52</v>
      </c>
      <c r="Q87">
        <f>tblOrders[[#This Row],[TotalSales]]-tblOrders[[#This Row],[Calculated Sales]]</f>
        <v>0</v>
      </c>
    </row>
    <row r="88" spans="1:17" x14ac:dyDescent="0.25">
      <c r="A88">
        <v>404</v>
      </c>
      <c r="B88">
        <v>737</v>
      </c>
      <c r="C88" t="str">
        <f>_xlfn.XLOOKUP(tblOrders[[#This Row],[CustomerID]],tblCustomers[CustomerID],tblCustomers[CustomerName],"not found")</f>
        <v>Corey Lewis</v>
      </c>
      <c r="D88">
        <f>_xlfn.XLOOKUP(tblOrders[[#This Row],[CustomerID]],tblCustomers[CustomerID],tblCustomers[Age],"not found")</f>
        <v>31</v>
      </c>
      <c r="E88" t="str">
        <f>_xlfn.XLOOKUP(tblOrders[[#This Row],[CustomerID]],tblCustomers[CustomerID],tblCustomers[Gender],"not found")</f>
        <v>Female</v>
      </c>
      <c r="F88" t="str">
        <f>_xlfn.XLOOKUP(tblOrders[[#This Row],[CustomerID]],tblCustomers[CustomerID],tblCustomers[Region],"not found")</f>
        <v>Central</v>
      </c>
      <c r="G88">
        <v>1094</v>
      </c>
      <c r="H88" t="str">
        <f>_xlfn.XLOOKUP(tblOrders[[#This Row],[ProductID]],tblProducts[ProductID],tblProducts[ProductName],"not found")</f>
        <v>Agreement</v>
      </c>
      <c r="I88" t="str">
        <f>_xlfn.XLOOKUP(tblOrders[[#This Row],[ProductID]],tblProducts[ProductID],tblProducts[Category],"not found")</f>
        <v>Apparel</v>
      </c>
      <c r="J88">
        <f>_xlfn.XLOOKUP(tblOrders[[#This Row],[ProductID]],tblProducts[ProductID],tblProducts[UnitPrice],"not found")</f>
        <v>232.36</v>
      </c>
      <c r="K88" t="str">
        <f>_xlfn.XLOOKUP(tblOrders[[#This Row],[ProductID]],tblProducts[ProductID],tblProducts[Supplier],"not found")</f>
        <v>Brennan, Finley and Hunt</v>
      </c>
      <c r="L88" s="1" t="s">
        <v>2056</v>
      </c>
      <c r="M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45345</v>
      </c>
      <c r="N88">
        <v>2</v>
      </c>
      <c r="O88">
        <v>464.72</v>
      </c>
      <c r="P88">
        <f>tblOrders[[#This Row],[Quantity]]*tblOrders[[#This Row],[Unit Price]]</f>
        <v>464.72</v>
      </c>
      <c r="Q88">
        <f>tblOrders[[#This Row],[TotalSales]]-tblOrders[[#This Row],[Calculated Sales]]</f>
        <v>0</v>
      </c>
    </row>
    <row r="89" spans="1:17" x14ac:dyDescent="0.25">
      <c r="A89">
        <v>771</v>
      </c>
      <c r="B89">
        <v>387</v>
      </c>
      <c r="C89" t="str">
        <f>_xlfn.XLOOKUP(tblOrders[[#This Row],[CustomerID]],tblCustomers[CustomerID],tblCustomers[CustomerName],"not found")</f>
        <v>Patrick Ramos</v>
      </c>
      <c r="D89">
        <f>_xlfn.XLOOKUP(tblOrders[[#This Row],[CustomerID]],tblCustomers[CustomerID],tblCustomers[Age],"not found")</f>
        <v>26</v>
      </c>
      <c r="E89" t="str">
        <f>_xlfn.XLOOKUP(tblOrders[[#This Row],[CustomerID]],tblCustomers[CustomerID],tblCustomers[Gender],"not found")</f>
        <v>Male</v>
      </c>
      <c r="F89" t="str">
        <f>_xlfn.XLOOKUP(tblOrders[[#This Row],[CustomerID]],tblCustomers[CustomerID],tblCustomers[Region],"not found")</f>
        <v>South</v>
      </c>
      <c r="G89">
        <v>1094</v>
      </c>
      <c r="H89" t="str">
        <f>_xlfn.XLOOKUP(tblOrders[[#This Row],[ProductID]],tblProducts[ProductID],tblProducts[ProductName],"not found")</f>
        <v>Agreement</v>
      </c>
      <c r="I89" t="str">
        <f>_xlfn.XLOOKUP(tblOrders[[#This Row],[ProductID]],tblProducts[ProductID],tblProducts[Category],"not found")</f>
        <v>Apparel</v>
      </c>
      <c r="J89">
        <f>_xlfn.XLOOKUP(tblOrders[[#This Row],[ProductID]],tblProducts[ProductID],tblProducts[UnitPrice],"not found")</f>
        <v>232.36</v>
      </c>
      <c r="K89" t="str">
        <f>_xlfn.XLOOKUP(tblOrders[[#This Row],[ProductID]],tblProducts[ProductID],tblProducts[Supplier],"not found")</f>
        <v>Brennan, Finley and Hunt</v>
      </c>
      <c r="L89" s="1" t="s">
        <v>2011</v>
      </c>
      <c r="M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45227</v>
      </c>
      <c r="N89">
        <v>5</v>
      </c>
      <c r="O89">
        <v>1161.8</v>
      </c>
      <c r="P89">
        <f>tblOrders[[#This Row],[Quantity]]*tblOrders[[#This Row],[Unit Price]]</f>
        <v>1161.8000000000002</v>
      </c>
      <c r="Q89">
        <f>tblOrders[[#This Row],[TotalSales]]-tblOrders[[#This Row],[Calculated Sales]]</f>
        <v>0</v>
      </c>
    </row>
    <row r="90" spans="1:17" x14ac:dyDescent="0.25">
      <c r="A90">
        <v>823</v>
      </c>
      <c r="B90">
        <v>314</v>
      </c>
      <c r="C90" t="str">
        <f>_xlfn.XLOOKUP(tblOrders[[#This Row],[CustomerID]],tblCustomers[CustomerID],tblCustomers[CustomerName],"not found")</f>
        <v>Douglas Kelly</v>
      </c>
      <c r="D90">
        <f>_xlfn.XLOOKUP(tblOrders[[#This Row],[CustomerID]],tblCustomers[CustomerID],tblCustomers[Age],"not found")</f>
        <v>23</v>
      </c>
      <c r="E90" t="str">
        <f>_xlfn.XLOOKUP(tblOrders[[#This Row],[CustomerID]],tblCustomers[CustomerID],tblCustomers[Gender],"not found")</f>
        <v>Male</v>
      </c>
      <c r="F90" t="str">
        <f>_xlfn.XLOOKUP(tblOrders[[#This Row],[CustomerID]],tblCustomers[CustomerID],tblCustomers[Region],"not found")</f>
        <v>West</v>
      </c>
      <c r="G90">
        <v>1094</v>
      </c>
      <c r="H90" t="str">
        <f>_xlfn.XLOOKUP(tblOrders[[#This Row],[ProductID]],tblProducts[ProductID],tblProducts[ProductName],"not found")</f>
        <v>Agreement</v>
      </c>
      <c r="I90" t="str">
        <f>_xlfn.XLOOKUP(tblOrders[[#This Row],[ProductID]],tblProducts[ProductID],tblProducts[Category],"not found")</f>
        <v>Apparel</v>
      </c>
      <c r="J90">
        <f>_xlfn.XLOOKUP(tblOrders[[#This Row],[ProductID]],tblProducts[ProductID],tblProducts[UnitPrice],"not found")</f>
        <v>232.36</v>
      </c>
      <c r="K90" t="str">
        <f>_xlfn.XLOOKUP(tblOrders[[#This Row],[ProductID]],tblProducts[ProductID],tblProducts[Supplier],"not found")</f>
        <v>Brennan, Finley and Hunt</v>
      </c>
      <c r="L90" s="1">
        <v>45266</v>
      </c>
      <c r="M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45266</v>
      </c>
      <c r="N90">
        <v>2</v>
      </c>
      <c r="O90">
        <v>464.72</v>
      </c>
      <c r="P90">
        <f>tblOrders[[#This Row],[Quantity]]*tblOrders[[#This Row],[Unit Price]]</f>
        <v>464.72</v>
      </c>
      <c r="Q90">
        <f>tblOrders[[#This Row],[TotalSales]]-tblOrders[[#This Row],[Calculated Sales]]</f>
        <v>0</v>
      </c>
    </row>
    <row r="91" spans="1:17" x14ac:dyDescent="0.25">
      <c r="A91">
        <v>957</v>
      </c>
      <c r="B91">
        <v>553</v>
      </c>
      <c r="C91" t="str">
        <f>_xlfn.XLOOKUP(tblOrders[[#This Row],[CustomerID]],tblCustomers[CustomerID],tblCustomers[CustomerName],"not found")</f>
        <v>Sandra Rojas</v>
      </c>
      <c r="D91">
        <f>_xlfn.XLOOKUP(tblOrders[[#This Row],[CustomerID]],tblCustomers[CustomerID],tblCustomers[Age],"not found")</f>
        <v>51</v>
      </c>
      <c r="E91" t="str">
        <f>_xlfn.XLOOKUP(tblOrders[[#This Row],[CustomerID]],tblCustomers[CustomerID],tblCustomers[Gender],"not found")</f>
        <v>Male</v>
      </c>
      <c r="F91" t="str">
        <f>_xlfn.XLOOKUP(tblOrders[[#This Row],[CustomerID]],tblCustomers[CustomerID],tblCustomers[Region],"not found")</f>
        <v>North</v>
      </c>
      <c r="G91">
        <v>1094</v>
      </c>
      <c r="H91" t="str">
        <f>_xlfn.XLOOKUP(tblOrders[[#This Row],[ProductID]],tblProducts[ProductID],tblProducts[ProductName],"not found")</f>
        <v>Agreement</v>
      </c>
      <c r="I91" t="str">
        <f>_xlfn.XLOOKUP(tblOrders[[#This Row],[ProductID]],tblProducts[ProductID],tblProducts[Category],"not found")</f>
        <v>Apparel</v>
      </c>
      <c r="J91">
        <f>_xlfn.XLOOKUP(tblOrders[[#This Row],[ProductID]],tblProducts[ProductID],tblProducts[UnitPrice],"not found")</f>
        <v>232.36</v>
      </c>
      <c r="K91" t="str">
        <f>_xlfn.XLOOKUP(tblOrders[[#This Row],[ProductID]],tblProducts[ProductID],tblProducts[Supplier],"not found")</f>
        <v>Brennan, Finley and Hunt</v>
      </c>
      <c r="L91" s="1">
        <v>44937</v>
      </c>
      <c r="M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91">
        <v>8</v>
      </c>
      <c r="O91">
        <v>1858.88</v>
      </c>
      <c r="P91">
        <f>tblOrders[[#This Row],[Quantity]]*tblOrders[[#This Row],[Unit Price]]</f>
        <v>1858.88</v>
      </c>
      <c r="Q91">
        <f>tblOrders[[#This Row],[TotalSales]]-tblOrders[[#This Row],[Calculated Sales]]</f>
        <v>0</v>
      </c>
    </row>
    <row r="92" spans="1:17" x14ac:dyDescent="0.25">
      <c r="A92">
        <v>987</v>
      </c>
      <c r="B92">
        <v>392</v>
      </c>
      <c r="C92" t="str">
        <f>_xlfn.XLOOKUP(tblOrders[[#This Row],[CustomerID]],tblCustomers[CustomerID],tblCustomers[CustomerName],"not found")</f>
        <v>Kristen Barajas</v>
      </c>
      <c r="D92">
        <f>_xlfn.XLOOKUP(tblOrders[[#This Row],[CustomerID]],tblCustomers[CustomerID],tblCustomers[Age],"not found")</f>
        <v>29</v>
      </c>
      <c r="E92" t="str">
        <f>_xlfn.XLOOKUP(tblOrders[[#This Row],[CustomerID]],tblCustomers[CustomerID],tblCustomers[Gender],"not found")</f>
        <v>Female</v>
      </c>
      <c r="F92" t="str">
        <f>_xlfn.XLOOKUP(tblOrders[[#This Row],[CustomerID]],tblCustomers[CustomerID],tblCustomers[Region],"not found")</f>
        <v>East</v>
      </c>
      <c r="G92">
        <v>1094</v>
      </c>
      <c r="H92" t="str">
        <f>_xlfn.XLOOKUP(tblOrders[[#This Row],[ProductID]],tblProducts[ProductID],tblProducts[ProductName],"not found")</f>
        <v>Agreement</v>
      </c>
      <c r="I92" t="str">
        <f>_xlfn.XLOOKUP(tblOrders[[#This Row],[ProductID]],tblProducts[ProductID],tblProducts[Category],"not found")</f>
        <v>Apparel</v>
      </c>
      <c r="J92">
        <f>_xlfn.XLOOKUP(tblOrders[[#This Row],[ProductID]],tblProducts[ProductID],tblProducts[UnitPrice],"not found")</f>
        <v>232.36</v>
      </c>
      <c r="K92" t="str">
        <f>_xlfn.XLOOKUP(tblOrders[[#This Row],[ProductID]],tblProducts[ProductID],tblProducts[Supplier],"not found")</f>
        <v>Brennan, Finley and Hunt</v>
      </c>
      <c r="L92" s="1" t="s">
        <v>2057</v>
      </c>
      <c r="M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44972</v>
      </c>
      <c r="N92">
        <v>5</v>
      </c>
      <c r="O92">
        <v>1161.8</v>
      </c>
      <c r="P92">
        <f>tblOrders[[#This Row],[Quantity]]*tblOrders[[#This Row],[Unit Price]]</f>
        <v>1161.8000000000002</v>
      </c>
      <c r="Q92">
        <f>tblOrders[[#This Row],[TotalSales]]-tblOrders[[#This Row],[Calculated Sales]]</f>
        <v>0</v>
      </c>
    </row>
    <row r="93" spans="1:17" x14ac:dyDescent="0.25">
      <c r="A93">
        <v>1044</v>
      </c>
      <c r="B93">
        <v>43</v>
      </c>
      <c r="C93" t="str">
        <f>_xlfn.XLOOKUP(tblOrders[[#This Row],[CustomerID]],tblCustomers[CustomerID],tblCustomers[CustomerName],"not found")</f>
        <v>Carlos Reeves</v>
      </c>
      <c r="D93">
        <f>_xlfn.XLOOKUP(tblOrders[[#This Row],[CustomerID]],tblCustomers[CustomerID],tblCustomers[Age],"not found")</f>
        <v>41</v>
      </c>
      <c r="E93" t="str">
        <f>_xlfn.XLOOKUP(tblOrders[[#This Row],[CustomerID]],tblCustomers[CustomerID],tblCustomers[Gender],"not found")</f>
        <v>Male</v>
      </c>
      <c r="F93" t="str">
        <f>_xlfn.XLOOKUP(tblOrders[[#This Row],[CustomerID]],tblCustomers[CustomerID],tblCustomers[Region],"not found")</f>
        <v>West</v>
      </c>
      <c r="G93">
        <v>1094</v>
      </c>
      <c r="H93" t="str">
        <f>_xlfn.XLOOKUP(tblOrders[[#This Row],[ProductID]],tblProducts[ProductID],tblProducts[ProductName],"not found")</f>
        <v>Agreement</v>
      </c>
      <c r="I93" t="str">
        <f>_xlfn.XLOOKUP(tblOrders[[#This Row],[ProductID]],tblProducts[ProductID],tblProducts[Category],"not found")</f>
        <v>Apparel</v>
      </c>
      <c r="J93">
        <f>_xlfn.XLOOKUP(tblOrders[[#This Row],[ProductID]],tblProducts[ProductID],tblProducts[UnitPrice],"not found")</f>
        <v>232.36</v>
      </c>
      <c r="K93" t="str">
        <f>_xlfn.XLOOKUP(tblOrders[[#This Row],[ProductID]],tblProducts[ProductID],tblProducts[Supplier],"not found")</f>
        <v>Brennan, Finley and Hunt</v>
      </c>
      <c r="L93" s="1">
        <v>45475</v>
      </c>
      <c r="M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45475</v>
      </c>
      <c r="N93">
        <v>5</v>
      </c>
      <c r="O93">
        <v>1161.8</v>
      </c>
      <c r="P93">
        <f>tblOrders[[#This Row],[Quantity]]*tblOrders[[#This Row],[Unit Price]]</f>
        <v>1161.8000000000002</v>
      </c>
      <c r="Q93">
        <f>tblOrders[[#This Row],[TotalSales]]-tblOrders[[#This Row],[Calculated Sales]]</f>
        <v>0</v>
      </c>
    </row>
    <row r="94" spans="1:17" x14ac:dyDescent="0.25">
      <c r="A94">
        <v>1732</v>
      </c>
      <c r="B94">
        <v>324</v>
      </c>
      <c r="C94" t="str">
        <f>_xlfn.XLOOKUP(tblOrders[[#This Row],[CustomerID]],tblCustomers[CustomerID],tblCustomers[CustomerName],"not found")</f>
        <v>Gregory Mills</v>
      </c>
      <c r="D94">
        <f>_xlfn.XLOOKUP(tblOrders[[#This Row],[CustomerID]],tblCustomers[CustomerID],tblCustomers[Age],"not found")</f>
        <v>32</v>
      </c>
      <c r="E94" t="str">
        <f>_xlfn.XLOOKUP(tblOrders[[#This Row],[CustomerID]],tblCustomers[CustomerID],tblCustomers[Gender],"not found")</f>
        <v>Male</v>
      </c>
      <c r="F94" t="str">
        <f>_xlfn.XLOOKUP(tblOrders[[#This Row],[CustomerID]],tblCustomers[CustomerID],tblCustomers[Region],"not found")</f>
        <v>East</v>
      </c>
      <c r="G94">
        <v>1094</v>
      </c>
      <c r="H94" t="str">
        <f>_xlfn.XLOOKUP(tblOrders[[#This Row],[ProductID]],tblProducts[ProductID],tblProducts[ProductName],"not found")</f>
        <v>Agreement</v>
      </c>
      <c r="I94" t="str">
        <f>_xlfn.XLOOKUP(tblOrders[[#This Row],[ProductID]],tblProducts[ProductID],tblProducts[Category],"not found")</f>
        <v>Apparel</v>
      </c>
      <c r="J94">
        <f>_xlfn.XLOOKUP(tblOrders[[#This Row],[ProductID]],tblProducts[ProductID],tblProducts[UnitPrice],"not found")</f>
        <v>232.36</v>
      </c>
      <c r="K94" t="str">
        <f>_xlfn.XLOOKUP(tblOrders[[#This Row],[ProductID]],tblProducts[ProductID],tblProducts[Supplier],"not found")</f>
        <v>Brennan, Finley and Hunt</v>
      </c>
      <c r="L94" s="1" t="s">
        <v>2058</v>
      </c>
      <c r="M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45563</v>
      </c>
      <c r="N94">
        <v>3</v>
      </c>
      <c r="O94">
        <v>697.08</v>
      </c>
      <c r="P94">
        <f>tblOrders[[#This Row],[Quantity]]*tblOrders[[#This Row],[Unit Price]]</f>
        <v>697.08</v>
      </c>
      <c r="Q94">
        <f>tblOrders[[#This Row],[TotalSales]]-tblOrders[[#This Row],[Calculated Sales]]</f>
        <v>0</v>
      </c>
    </row>
    <row r="95" spans="1:17" x14ac:dyDescent="0.25">
      <c r="A95">
        <v>1863</v>
      </c>
      <c r="B95">
        <v>254</v>
      </c>
      <c r="C95" t="str">
        <f>_xlfn.XLOOKUP(tblOrders[[#This Row],[CustomerID]],tblCustomers[CustomerID],tblCustomers[CustomerName],"not found")</f>
        <v>Adam Wright</v>
      </c>
      <c r="D95">
        <f>_xlfn.XLOOKUP(tblOrders[[#This Row],[CustomerID]],tblCustomers[CustomerID],tblCustomers[Age],"not found")</f>
        <v>51</v>
      </c>
      <c r="E95" t="str">
        <f>_xlfn.XLOOKUP(tblOrders[[#This Row],[CustomerID]],tblCustomers[CustomerID],tblCustomers[Gender],"not found")</f>
        <v>Female</v>
      </c>
      <c r="F95" t="str">
        <f>_xlfn.XLOOKUP(tblOrders[[#This Row],[CustomerID]],tblCustomers[CustomerID],tblCustomers[Region],"not found")</f>
        <v>Central</v>
      </c>
      <c r="G95">
        <v>1094</v>
      </c>
      <c r="H95" t="str">
        <f>_xlfn.XLOOKUP(tblOrders[[#This Row],[ProductID]],tblProducts[ProductID],tblProducts[ProductName],"not found")</f>
        <v>Agreement</v>
      </c>
      <c r="I95" t="str">
        <f>_xlfn.XLOOKUP(tblOrders[[#This Row],[ProductID]],tblProducts[ProductID],tblProducts[Category],"not found")</f>
        <v>Apparel</v>
      </c>
      <c r="J95">
        <f>_xlfn.XLOOKUP(tblOrders[[#This Row],[ProductID]],tblProducts[ProductID],tblProducts[UnitPrice],"not found")</f>
        <v>232.36</v>
      </c>
      <c r="K95" t="str">
        <f>_xlfn.XLOOKUP(tblOrders[[#This Row],[ProductID]],tblProducts[ProductID],tblProducts[Supplier],"not found")</f>
        <v>Brennan, Finley and Hunt</v>
      </c>
      <c r="L95" s="1" t="s">
        <v>2059</v>
      </c>
      <c r="M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45290</v>
      </c>
      <c r="N95">
        <v>4</v>
      </c>
      <c r="O95">
        <v>929.44</v>
      </c>
      <c r="P95">
        <f>tblOrders[[#This Row],[Quantity]]*tblOrders[[#This Row],[Unit Price]]</f>
        <v>929.44</v>
      </c>
      <c r="Q95">
        <f>tblOrders[[#This Row],[TotalSales]]-tblOrders[[#This Row],[Calculated Sales]]</f>
        <v>0</v>
      </c>
    </row>
    <row r="96" spans="1:17" x14ac:dyDescent="0.25">
      <c r="A96">
        <v>1923</v>
      </c>
      <c r="B96">
        <v>115</v>
      </c>
      <c r="C96" t="str">
        <f>_xlfn.XLOOKUP(tblOrders[[#This Row],[CustomerID]],tblCustomers[CustomerID],tblCustomers[CustomerName],"not found")</f>
        <v>Tamara Jones</v>
      </c>
      <c r="D96">
        <f>_xlfn.XLOOKUP(tblOrders[[#This Row],[CustomerID]],tblCustomers[CustomerID],tblCustomers[Age],"not found")</f>
        <v>46</v>
      </c>
      <c r="E96" t="str">
        <f>_xlfn.XLOOKUP(tblOrders[[#This Row],[CustomerID]],tblCustomers[CustomerID],tblCustomers[Gender],"not found")</f>
        <v>Female</v>
      </c>
      <c r="F96" t="str">
        <f>_xlfn.XLOOKUP(tblOrders[[#This Row],[CustomerID]],tblCustomers[CustomerID],tblCustomers[Region],"not found")</f>
        <v>East</v>
      </c>
      <c r="G96">
        <v>1094</v>
      </c>
      <c r="H96" t="str">
        <f>_xlfn.XLOOKUP(tblOrders[[#This Row],[ProductID]],tblProducts[ProductID],tblProducts[ProductName],"not found")</f>
        <v>Agreement</v>
      </c>
      <c r="I96" t="str">
        <f>_xlfn.XLOOKUP(tblOrders[[#This Row],[ProductID]],tblProducts[ProductID],tblProducts[Category],"not found")</f>
        <v>Apparel</v>
      </c>
      <c r="J96">
        <f>_xlfn.XLOOKUP(tblOrders[[#This Row],[ProductID]],tblProducts[ProductID],tblProducts[UnitPrice],"not found")</f>
        <v>232.36</v>
      </c>
      <c r="K96" t="str">
        <f>_xlfn.XLOOKUP(tblOrders[[#This Row],[ProductID]],tblProducts[ProductID],tblProducts[Supplier],"not found")</f>
        <v>Brennan, Finley and Hunt</v>
      </c>
      <c r="L96" s="1" t="s">
        <v>2060</v>
      </c>
      <c r="M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45560</v>
      </c>
      <c r="N96">
        <v>9</v>
      </c>
      <c r="O96">
        <v>2091.2399999999998</v>
      </c>
      <c r="P96">
        <f>tblOrders[[#This Row],[Quantity]]*tblOrders[[#This Row],[Unit Price]]</f>
        <v>2091.2400000000002</v>
      </c>
      <c r="Q96">
        <f>tblOrders[[#This Row],[TotalSales]]-tblOrders[[#This Row],[Calculated Sales]]</f>
        <v>0</v>
      </c>
    </row>
    <row r="97" spans="1:17" x14ac:dyDescent="0.25">
      <c r="A97">
        <v>6</v>
      </c>
      <c r="B97">
        <v>501</v>
      </c>
      <c r="C97" t="str">
        <f>_xlfn.XLOOKUP(tblOrders[[#This Row],[CustomerID]],tblCustomers[CustomerID],tblCustomers[CustomerName],"not found")</f>
        <v>Kristen Sullivan</v>
      </c>
      <c r="D97">
        <f>_xlfn.XLOOKUP(tblOrders[[#This Row],[CustomerID]],tblCustomers[CustomerID],tblCustomers[Age],"not found")</f>
        <v>49</v>
      </c>
      <c r="E97" t="str">
        <f>_xlfn.XLOOKUP(tblOrders[[#This Row],[CustomerID]],tblCustomers[CustomerID],tblCustomers[Gender],"not found")</f>
        <v>Female</v>
      </c>
      <c r="F97" t="str">
        <f>_xlfn.XLOOKUP(tblOrders[[#This Row],[CustomerID]],tblCustomers[CustomerID],tblCustomers[Region],"not found")</f>
        <v>East</v>
      </c>
      <c r="G97">
        <v>1025</v>
      </c>
      <c r="H97" t="b">
        <f>_xlfn.XLOOKUP(tblOrders[[#This Row],[ProductID]],tblProducts[ProductID],tblProducts[ProductName],"not found")</f>
        <v>1</v>
      </c>
      <c r="I97" t="str">
        <f>_xlfn.XLOOKUP(tblOrders[[#This Row],[ProductID]],tblProducts[ProductID],tblProducts[Category],"not found")</f>
        <v>Beauty</v>
      </c>
      <c r="J97">
        <f>_xlfn.XLOOKUP(tblOrders[[#This Row],[ProductID]],tblProducts[ProductID],tblProducts[UnitPrice],"not found")</f>
        <v>204.52</v>
      </c>
      <c r="K97" t="str">
        <f>_xlfn.XLOOKUP(tblOrders[[#This Row],[ProductID]],tblProducts[ProductID],tblProducts[Supplier],"not found")</f>
        <v>Martinez-Graham</v>
      </c>
      <c r="L97" s="1" t="s">
        <v>2061</v>
      </c>
      <c r="M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45344</v>
      </c>
      <c r="N97">
        <v>5</v>
      </c>
      <c r="O97">
        <v>1022.6</v>
      </c>
      <c r="P97">
        <f>tblOrders[[#This Row],[Quantity]]*tblOrders[[#This Row],[Unit Price]]</f>
        <v>1022.6</v>
      </c>
      <c r="Q97">
        <f>tblOrders[[#This Row],[TotalSales]]-tblOrders[[#This Row],[Calculated Sales]]</f>
        <v>0</v>
      </c>
    </row>
    <row r="98" spans="1:17" x14ac:dyDescent="0.25">
      <c r="A98">
        <v>107</v>
      </c>
      <c r="B98">
        <v>978</v>
      </c>
      <c r="C98" t="str">
        <f>_xlfn.XLOOKUP(tblOrders[[#This Row],[CustomerID]],tblCustomers[CustomerID],tblCustomers[CustomerName],"not found")</f>
        <v>Rebecca Jackson</v>
      </c>
      <c r="D98">
        <f>_xlfn.XLOOKUP(tblOrders[[#This Row],[CustomerID]],tblCustomers[CustomerID],tblCustomers[Age],"not found")</f>
        <v>39</v>
      </c>
      <c r="E98" t="str">
        <f>_xlfn.XLOOKUP(tblOrders[[#This Row],[CustomerID]],tblCustomers[CustomerID],tblCustomers[Gender],"not found")</f>
        <v>Female</v>
      </c>
      <c r="F98" t="str">
        <f>_xlfn.XLOOKUP(tblOrders[[#This Row],[CustomerID]],tblCustomers[CustomerID],tblCustomers[Region],"not found")</f>
        <v>East</v>
      </c>
      <c r="G98">
        <v>1025</v>
      </c>
      <c r="H98" t="b">
        <f>_xlfn.XLOOKUP(tblOrders[[#This Row],[ProductID]],tblProducts[ProductID],tblProducts[ProductName],"not found")</f>
        <v>1</v>
      </c>
      <c r="I98" t="str">
        <f>_xlfn.XLOOKUP(tblOrders[[#This Row],[ProductID]],tblProducts[ProductID],tblProducts[Category],"not found")</f>
        <v>Beauty</v>
      </c>
      <c r="J98">
        <f>_xlfn.XLOOKUP(tblOrders[[#This Row],[ProductID]],tblProducts[ProductID],tblProducts[UnitPrice],"not found")</f>
        <v>204.52</v>
      </c>
      <c r="K98" t="str">
        <f>_xlfn.XLOOKUP(tblOrders[[#This Row],[ProductID]],tblProducts[ProductID],tblProducts[Supplier],"not found")</f>
        <v>Martinez-Graham</v>
      </c>
      <c r="L98" s="1">
        <v>45509</v>
      </c>
      <c r="M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45509</v>
      </c>
      <c r="N98">
        <v>2</v>
      </c>
      <c r="O98">
        <v>409.04</v>
      </c>
      <c r="P98">
        <f>tblOrders[[#This Row],[Quantity]]*tblOrders[[#This Row],[Unit Price]]</f>
        <v>409.04</v>
      </c>
      <c r="Q98">
        <f>tblOrders[[#This Row],[TotalSales]]-tblOrders[[#This Row],[Calculated Sales]]</f>
        <v>0</v>
      </c>
    </row>
    <row r="99" spans="1:17" x14ac:dyDescent="0.25">
      <c r="A99">
        <v>122</v>
      </c>
      <c r="B99">
        <v>402</v>
      </c>
      <c r="C99" t="str">
        <f>_xlfn.XLOOKUP(tblOrders[[#This Row],[CustomerID]],tblCustomers[CustomerID],tblCustomers[CustomerName],"not found")</f>
        <v>Eric Ford</v>
      </c>
      <c r="D99">
        <f>_xlfn.XLOOKUP(tblOrders[[#This Row],[CustomerID]],tblCustomers[CustomerID],tblCustomers[Age],"not found")</f>
        <v>46</v>
      </c>
      <c r="E99" t="str">
        <f>_xlfn.XLOOKUP(tblOrders[[#This Row],[CustomerID]],tblCustomers[CustomerID],tblCustomers[Gender],"not found")</f>
        <v>Male</v>
      </c>
      <c r="F99" t="str">
        <f>_xlfn.XLOOKUP(tblOrders[[#This Row],[CustomerID]],tblCustomers[CustomerID],tblCustomers[Region],"not found")</f>
        <v>North</v>
      </c>
      <c r="G99">
        <v>1025</v>
      </c>
      <c r="H99" t="b">
        <f>_xlfn.XLOOKUP(tblOrders[[#This Row],[ProductID]],tblProducts[ProductID],tblProducts[ProductName],"not found")</f>
        <v>1</v>
      </c>
      <c r="I99" t="str">
        <f>_xlfn.XLOOKUP(tblOrders[[#This Row],[ProductID]],tblProducts[ProductID],tblProducts[Category],"not found")</f>
        <v>Beauty</v>
      </c>
      <c r="J99">
        <f>_xlfn.XLOOKUP(tblOrders[[#This Row],[ProductID]],tblProducts[ProductID],tblProducts[UnitPrice],"not found")</f>
        <v>204.52</v>
      </c>
      <c r="K99" t="str">
        <f>_xlfn.XLOOKUP(tblOrders[[#This Row],[ProductID]],tblProducts[ProductID],tblProducts[Supplier],"not found")</f>
        <v>Martinez-Graham</v>
      </c>
      <c r="L99" s="1" t="s">
        <v>2062</v>
      </c>
      <c r="M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45468</v>
      </c>
      <c r="N99">
        <v>1</v>
      </c>
      <c r="O99">
        <v>204.52</v>
      </c>
      <c r="P99">
        <f>tblOrders[[#This Row],[Quantity]]*tblOrders[[#This Row],[Unit Price]]</f>
        <v>204.52</v>
      </c>
      <c r="Q99">
        <f>tblOrders[[#This Row],[TotalSales]]-tblOrders[[#This Row],[Calculated Sales]]</f>
        <v>0</v>
      </c>
    </row>
    <row r="100" spans="1:17" x14ac:dyDescent="0.25">
      <c r="A100">
        <v>138</v>
      </c>
      <c r="B100">
        <v>724</v>
      </c>
      <c r="C100" t="str">
        <f>_xlfn.XLOOKUP(tblOrders[[#This Row],[CustomerID]],tblCustomers[CustomerID],tblCustomers[CustomerName],"not found")</f>
        <v>Janice Wood</v>
      </c>
      <c r="D100">
        <f>_xlfn.XLOOKUP(tblOrders[[#This Row],[CustomerID]],tblCustomers[CustomerID],tblCustomers[Age],"not found")</f>
        <v>31</v>
      </c>
      <c r="E100" t="str">
        <f>_xlfn.XLOOKUP(tblOrders[[#This Row],[CustomerID]],tblCustomers[CustomerID],tblCustomers[Gender],"not found")</f>
        <v>Male</v>
      </c>
      <c r="F100" t="str">
        <f>_xlfn.XLOOKUP(tblOrders[[#This Row],[CustomerID]],tblCustomers[CustomerID],tblCustomers[Region],"not found")</f>
        <v>Central</v>
      </c>
      <c r="G100">
        <v>1025</v>
      </c>
      <c r="H100" t="b">
        <f>_xlfn.XLOOKUP(tblOrders[[#This Row],[ProductID]],tblProducts[ProductID],tblProducts[ProductName],"not found")</f>
        <v>1</v>
      </c>
      <c r="I100" t="str">
        <f>_xlfn.XLOOKUP(tblOrders[[#This Row],[ProductID]],tblProducts[ProductID],tblProducts[Category],"not found")</f>
        <v>Beauty</v>
      </c>
      <c r="J100">
        <f>_xlfn.XLOOKUP(tblOrders[[#This Row],[ProductID]],tblProducts[ProductID],tblProducts[UnitPrice],"not found")</f>
        <v>204.52</v>
      </c>
      <c r="K100" t="str">
        <f>_xlfn.XLOOKUP(tblOrders[[#This Row],[ProductID]],tblProducts[ProductID],tblProducts[Supplier],"not found")</f>
        <v>Martinez-Graham</v>
      </c>
      <c r="L100" s="1" t="s">
        <v>2063</v>
      </c>
      <c r="M1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45161</v>
      </c>
      <c r="N100">
        <v>9</v>
      </c>
      <c r="O100">
        <v>1840.68</v>
      </c>
      <c r="P100">
        <f>tblOrders[[#This Row],[Quantity]]*tblOrders[[#This Row],[Unit Price]]</f>
        <v>1840.68</v>
      </c>
      <c r="Q100">
        <f>tblOrders[[#This Row],[TotalSales]]-tblOrders[[#This Row],[Calculated Sales]]</f>
        <v>0</v>
      </c>
    </row>
    <row r="101" spans="1:17" x14ac:dyDescent="0.25">
      <c r="A101">
        <v>183</v>
      </c>
      <c r="B101">
        <v>714</v>
      </c>
      <c r="C101" t="str">
        <f>_xlfn.XLOOKUP(tblOrders[[#This Row],[CustomerID]],tblCustomers[CustomerID],tblCustomers[CustomerName],"not found")</f>
        <v>Kayla Jimenez</v>
      </c>
      <c r="D101">
        <f>_xlfn.XLOOKUP(tblOrders[[#This Row],[CustomerID]],tblCustomers[CustomerID],tblCustomers[Age],"not found")</f>
        <v>23</v>
      </c>
      <c r="E101" t="str">
        <f>_xlfn.XLOOKUP(tblOrders[[#This Row],[CustomerID]],tblCustomers[CustomerID],tblCustomers[Gender],"not found")</f>
        <v>Male</v>
      </c>
      <c r="F101" t="str">
        <f>_xlfn.XLOOKUP(tblOrders[[#This Row],[CustomerID]],tblCustomers[CustomerID],tblCustomers[Region],"not found")</f>
        <v>East</v>
      </c>
      <c r="G101">
        <v>1025</v>
      </c>
      <c r="H101" t="b">
        <f>_xlfn.XLOOKUP(tblOrders[[#This Row],[ProductID]],tblProducts[ProductID],tblProducts[ProductName],"not found")</f>
        <v>1</v>
      </c>
      <c r="I101" t="str">
        <f>_xlfn.XLOOKUP(tblOrders[[#This Row],[ProductID]],tblProducts[ProductID],tblProducts[Category],"not found")</f>
        <v>Beauty</v>
      </c>
      <c r="J101">
        <f>_xlfn.XLOOKUP(tblOrders[[#This Row],[ProductID]],tblProducts[ProductID],tblProducts[UnitPrice],"not found")</f>
        <v>204.52</v>
      </c>
      <c r="K101" t="str">
        <f>_xlfn.XLOOKUP(tblOrders[[#This Row],[ProductID]],tblProducts[ProductID],tblProducts[Supplier],"not found")</f>
        <v>Martinez-Graham</v>
      </c>
      <c r="L101" s="1" t="s">
        <v>2064</v>
      </c>
      <c r="M1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45135</v>
      </c>
      <c r="N101">
        <v>5</v>
      </c>
      <c r="O101">
        <v>1022.6</v>
      </c>
      <c r="P101">
        <f>tblOrders[[#This Row],[Quantity]]*tblOrders[[#This Row],[Unit Price]]</f>
        <v>1022.6</v>
      </c>
      <c r="Q101">
        <f>tblOrders[[#This Row],[TotalSales]]-tblOrders[[#This Row],[Calculated Sales]]</f>
        <v>0</v>
      </c>
    </row>
    <row r="102" spans="1:17" x14ac:dyDescent="0.25">
      <c r="A102">
        <v>233</v>
      </c>
      <c r="B102">
        <v>402</v>
      </c>
      <c r="C102" t="str">
        <f>_xlfn.XLOOKUP(tblOrders[[#This Row],[CustomerID]],tblCustomers[CustomerID],tblCustomers[CustomerName],"not found")</f>
        <v>Eric Ford</v>
      </c>
      <c r="D102">
        <f>_xlfn.XLOOKUP(tblOrders[[#This Row],[CustomerID]],tblCustomers[CustomerID],tblCustomers[Age],"not found")</f>
        <v>46</v>
      </c>
      <c r="E102" t="str">
        <f>_xlfn.XLOOKUP(tblOrders[[#This Row],[CustomerID]],tblCustomers[CustomerID],tblCustomers[Gender],"not found")</f>
        <v>Male</v>
      </c>
      <c r="F102" t="str">
        <f>_xlfn.XLOOKUP(tblOrders[[#This Row],[CustomerID]],tblCustomers[CustomerID],tblCustomers[Region],"not found")</f>
        <v>North</v>
      </c>
      <c r="G102">
        <v>1025</v>
      </c>
      <c r="H102" t="b">
        <f>_xlfn.XLOOKUP(tblOrders[[#This Row],[ProductID]],tblProducts[ProductID],tblProducts[ProductName],"not found")</f>
        <v>1</v>
      </c>
      <c r="I102" t="str">
        <f>_xlfn.XLOOKUP(tblOrders[[#This Row],[ProductID]],tblProducts[ProductID],tblProducts[Category],"not found")</f>
        <v>Beauty</v>
      </c>
      <c r="J102">
        <f>_xlfn.XLOOKUP(tblOrders[[#This Row],[ProductID]],tblProducts[ProductID],tblProducts[UnitPrice],"not found")</f>
        <v>204.52</v>
      </c>
      <c r="K102" t="str">
        <f>_xlfn.XLOOKUP(tblOrders[[#This Row],[ProductID]],tblProducts[ProductID],tblProducts[Supplier],"not found")</f>
        <v>Martinez-Graham</v>
      </c>
      <c r="L102" s="1">
        <v>44936</v>
      </c>
      <c r="M1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102">
        <v>7</v>
      </c>
      <c r="O102">
        <v>1431.64</v>
      </c>
      <c r="P102">
        <f>tblOrders[[#This Row],[Quantity]]*tblOrders[[#This Row],[Unit Price]]</f>
        <v>1431.64</v>
      </c>
      <c r="Q102">
        <f>tblOrders[[#This Row],[TotalSales]]-tblOrders[[#This Row],[Calculated Sales]]</f>
        <v>0</v>
      </c>
    </row>
    <row r="103" spans="1:17" x14ac:dyDescent="0.25">
      <c r="A103">
        <v>280</v>
      </c>
      <c r="B103">
        <v>555</v>
      </c>
      <c r="C103" t="str">
        <f>_xlfn.XLOOKUP(tblOrders[[#This Row],[CustomerID]],tblCustomers[CustomerID],tblCustomers[CustomerName],"not found")</f>
        <v>Sharon Vincent</v>
      </c>
      <c r="D103">
        <f>_xlfn.XLOOKUP(tblOrders[[#This Row],[CustomerID]],tblCustomers[CustomerID],tblCustomers[Age],"not found")</f>
        <v>24</v>
      </c>
      <c r="E103" t="str">
        <f>_xlfn.XLOOKUP(tblOrders[[#This Row],[CustomerID]],tblCustomers[CustomerID],tblCustomers[Gender],"not found")</f>
        <v>Female</v>
      </c>
      <c r="F103" t="str">
        <f>_xlfn.XLOOKUP(tblOrders[[#This Row],[CustomerID]],tblCustomers[CustomerID],tblCustomers[Region],"not found")</f>
        <v>West</v>
      </c>
      <c r="G103">
        <v>1025</v>
      </c>
      <c r="H103" t="b">
        <f>_xlfn.XLOOKUP(tblOrders[[#This Row],[ProductID]],tblProducts[ProductID],tblProducts[ProductName],"not found")</f>
        <v>1</v>
      </c>
      <c r="I103" t="str">
        <f>_xlfn.XLOOKUP(tblOrders[[#This Row],[ProductID]],tblProducts[ProductID],tblProducts[Category],"not found")</f>
        <v>Beauty</v>
      </c>
      <c r="J103">
        <f>_xlfn.XLOOKUP(tblOrders[[#This Row],[ProductID]],tblProducts[ProductID],tblProducts[UnitPrice],"not found")</f>
        <v>204.52</v>
      </c>
      <c r="K103" t="str">
        <f>_xlfn.XLOOKUP(tblOrders[[#This Row],[ProductID]],tblProducts[ProductID],tblProducts[Supplier],"not found")</f>
        <v>Martinez-Graham</v>
      </c>
      <c r="L103" s="1" t="s">
        <v>2065</v>
      </c>
      <c r="M1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45195</v>
      </c>
      <c r="N103">
        <v>2</v>
      </c>
      <c r="O103">
        <v>409.04</v>
      </c>
      <c r="P103">
        <f>tblOrders[[#This Row],[Quantity]]*tblOrders[[#This Row],[Unit Price]]</f>
        <v>409.04</v>
      </c>
      <c r="Q103">
        <f>tblOrders[[#This Row],[TotalSales]]-tblOrders[[#This Row],[Calculated Sales]]</f>
        <v>0</v>
      </c>
    </row>
    <row r="104" spans="1:17" x14ac:dyDescent="0.25">
      <c r="A104">
        <v>593</v>
      </c>
      <c r="B104">
        <v>494</v>
      </c>
      <c r="C104" t="str">
        <f>_xlfn.XLOOKUP(tblOrders[[#This Row],[CustomerID]],tblCustomers[CustomerID],tblCustomers[CustomerName],"not found")</f>
        <v>Rachel Leon</v>
      </c>
      <c r="D104">
        <f>_xlfn.XLOOKUP(tblOrders[[#This Row],[CustomerID]],tblCustomers[CustomerID],tblCustomers[Age],"not found")</f>
        <v>68</v>
      </c>
      <c r="E104" t="str">
        <f>_xlfn.XLOOKUP(tblOrders[[#This Row],[CustomerID]],tblCustomers[CustomerID],tblCustomers[Gender],"not found")</f>
        <v>Female</v>
      </c>
      <c r="F104" t="str">
        <f>_xlfn.XLOOKUP(tblOrders[[#This Row],[CustomerID]],tblCustomers[CustomerID],tblCustomers[Region],"not found")</f>
        <v>North</v>
      </c>
      <c r="G104">
        <v>1025</v>
      </c>
      <c r="H104" t="b">
        <f>_xlfn.XLOOKUP(tblOrders[[#This Row],[ProductID]],tblProducts[ProductID],tblProducts[ProductName],"not found")</f>
        <v>1</v>
      </c>
      <c r="I104" t="str">
        <f>_xlfn.XLOOKUP(tblOrders[[#This Row],[ProductID]],tblProducts[ProductID],tblProducts[Category],"not found")</f>
        <v>Beauty</v>
      </c>
      <c r="J104">
        <f>_xlfn.XLOOKUP(tblOrders[[#This Row],[ProductID]],tblProducts[ProductID],tblProducts[UnitPrice],"not found")</f>
        <v>204.52</v>
      </c>
      <c r="K104" t="str">
        <f>_xlfn.XLOOKUP(tblOrders[[#This Row],[ProductID]],tblProducts[ProductID],tblProducts[Supplier],"not found")</f>
        <v>Martinez-Graham</v>
      </c>
      <c r="L104" s="1" t="s">
        <v>2066</v>
      </c>
      <c r="M1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45199</v>
      </c>
      <c r="N104">
        <v>1</v>
      </c>
      <c r="O104">
        <v>204.52</v>
      </c>
      <c r="P104">
        <f>tblOrders[[#This Row],[Quantity]]*tblOrders[[#This Row],[Unit Price]]</f>
        <v>204.52</v>
      </c>
      <c r="Q104">
        <f>tblOrders[[#This Row],[TotalSales]]-tblOrders[[#This Row],[Calculated Sales]]</f>
        <v>0</v>
      </c>
    </row>
    <row r="105" spans="1:17" x14ac:dyDescent="0.25">
      <c r="A105">
        <v>599</v>
      </c>
      <c r="B105">
        <v>719</v>
      </c>
      <c r="C105" t="str">
        <f>_xlfn.XLOOKUP(tblOrders[[#This Row],[CustomerID]],tblCustomers[CustomerID],tblCustomers[CustomerName],"not found")</f>
        <v>Natasha Quinn</v>
      </c>
      <c r="D105">
        <f>_xlfn.XLOOKUP(tblOrders[[#This Row],[CustomerID]],tblCustomers[CustomerID],tblCustomers[Age],"not found")</f>
        <v>47</v>
      </c>
      <c r="E105" t="str">
        <f>_xlfn.XLOOKUP(tblOrders[[#This Row],[CustomerID]],tblCustomers[CustomerID],tblCustomers[Gender],"not found")</f>
        <v>Female</v>
      </c>
      <c r="F105" t="str">
        <f>_xlfn.XLOOKUP(tblOrders[[#This Row],[CustomerID]],tblCustomers[CustomerID],tblCustomers[Region],"not found")</f>
        <v>North</v>
      </c>
      <c r="G105">
        <v>1025</v>
      </c>
      <c r="H105" t="b">
        <f>_xlfn.XLOOKUP(tblOrders[[#This Row],[ProductID]],tblProducts[ProductID],tblProducts[ProductName],"not found")</f>
        <v>1</v>
      </c>
      <c r="I105" t="str">
        <f>_xlfn.XLOOKUP(tblOrders[[#This Row],[ProductID]],tblProducts[ProductID],tblProducts[Category],"not found")</f>
        <v>Beauty</v>
      </c>
      <c r="J105">
        <f>_xlfn.XLOOKUP(tblOrders[[#This Row],[ProductID]],tblProducts[ProductID],tblProducts[UnitPrice],"not found")</f>
        <v>204.52</v>
      </c>
      <c r="K105" t="str">
        <f>_xlfn.XLOOKUP(tblOrders[[#This Row],[ProductID]],tblProducts[ProductID],tblProducts[Supplier],"not found")</f>
        <v>Martinez-Graham</v>
      </c>
      <c r="L105" s="1">
        <v>44966</v>
      </c>
      <c r="M1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44966</v>
      </c>
      <c r="N105">
        <v>9</v>
      </c>
      <c r="O105">
        <v>1840.68</v>
      </c>
      <c r="P105">
        <f>tblOrders[[#This Row],[Quantity]]*tblOrders[[#This Row],[Unit Price]]</f>
        <v>1840.68</v>
      </c>
      <c r="Q105">
        <f>tblOrders[[#This Row],[TotalSales]]-tblOrders[[#This Row],[Calculated Sales]]</f>
        <v>0</v>
      </c>
    </row>
    <row r="106" spans="1:17" x14ac:dyDescent="0.25">
      <c r="A106">
        <v>738</v>
      </c>
      <c r="B106">
        <v>208</v>
      </c>
      <c r="C106" t="str">
        <f>_xlfn.XLOOKUP(tblOrders[[#This Row],[CustomerID]],tblCustomers[CustomerID],tblCustomers[CustomerName],"not found")</f>
        <v>Louis Mathews</v>
      </c>
      <c r="D106">
        <f>_xlfn.XLOOKUP(tblOrders[[#This Row],[CustomerID]],tblCustomers[CustomerID],tblCustomers[Age],"not found")</f>
        <v>67</v>
      </c>
      <c r="E106" t="str">
        <f>_xlfn.XLOOKUP(tblOrders[[#This Row],[CustomerID]],tblCustomers[CustomerID],tblCustomers[Gender],"not found")</f>
        <v>Female</v>
      </c>
      <c r="F106" t="str">
        <f>_xlfn.XLOOKUP(tblOrders[[#This Row],[CustomerID]],tblCustomers[CustomerID],tblCustomers[Region],"not found")</f>
        <v>Central</v>
      </c>
      <c r="G106">
        <v>1025</v>
      </c>
      <c r="H106" t="b">
        <f>_xlfn.XLOOKUP(tblOrders[[#This Row],[ProductID]],tblProducts[ProductID],tblProducts[ProductName],"not found")</f>
        <v>1</v>
      </c>
      <c r="I106" t="str">
        <f>_xlfn.XLOOKUP(tblOrders[[#This Row],[ProductID]],tblProducts[ProductID],tblProducts[Category],"not found")</f>
        <v>Beauty</v>
      </c>
      <c r="J106">
        <f>_xlfn.XLOOKUP(tblOrders[[#This Row],[ProductID]],tblProducts[ProductID],tblProducts[UnitPrice],"not found")</f>
        <v>204.52</v>
      </c>
      <c r="K106" t="str">
        <f>_xlfn.XLOOKUP(tblOrders[[#This Row],[ProductID]],tblProducts[ProductID],tblProducts[Supplier],"not found")</f>
        <v>Martinez-Graham</v>
      </c>
      <c r="L106" s="1">
        <v>45566</v>
      </c>
      <c r="M1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45566</v>
      </c>
      <c r="N106">
        <v>5</v>
      </c>
      <c r="O106">
        <v>1022.6</v>
      </c>
      <c r="P106">
        <f>tblOrders[[#This Row],[Quantity]]*tblOrders[[#This Row],[Unit Price]]</f>
        <v>1022.6</v>
      </c>
      <c r="Q106">
        <f>tblOrders[[#This Row],[TotalSales]]-tblOrders[[#This Row],[Calculated Sales]]</f>
        <v>0</v>
      </c>
    </row>
    <row r="107" spans="1:17" x14ac:dyDescent="0.25">
      <c r="A107">
        <v>789</v>
      </c>
      <c r="B107">
        <v>364</v>
      </c>
      <c r="C107" t="str">
        <f>_xlfn.XLOOKUP(tblOrders[[#This Row],[CustomerID]],tblCustomers[CustomerID],tblCustomers[CustomerName],"not found")</f>
        <v>Joseph Johnson</v>
      </c>
      <c r="D107">
        <f>_xlfn.XLOOKUP(tblOrders[[#This Row],[CustomerID]],tblCustomers[CustomerID],tblCustomers[Age],"not found")</f>
        <v>67</v>
      </c>
      <c r="E107" t="str">
        <f>_xlfn.XLOOKUP(tblOrders[[#This Row],[CustomerID]],tblCustomers[CustomerID],tblCustomers[Gender],"not found")</f>
        <v>Male</v>
      </c>
      <c r="F107" t="str">
        <f>_xlfn.XLOOKUP(tblOrders[[#This Row],[CustomerID]],tblCustomers[CustomerID],tblCustomers[Region],"not found")</f>
        <v>South</v>
      </c>
      <c r="G107">
        <v>1025</v>
      </c>
      <c r="H107" t="b">
        <f>_xlfn.XLOOKUP(tblOrders[[#This Row],[ProductID]],tblProducts[ProductID],tblProducts[ProductName],"not found")</f>
        <v>1</v>
      </c>
      <c r="I107" t="str">
        <f>_xlfn.XLOOKUP(tblOrders[[#This Row],[ProductID]],tblProducts[ProductID],tblProducts[Category],"not found")</f>
        <v>Beauty</v>
      </c>
      <c r="J107">
        <f>_xlfn.XLOOKUP(tblOrders[[#This Row],[ProductID]],tblProducts[ProductID],tblProducts[UnitPrice],"not found")</f>
        <v>204.52</v>
      </c>
      <c r="K107" t="str">
        <f>_xlfn.XLOOKUP(tblOrders[[#This Row],[ProductID]],tblProducts[ProductID],tblProducts[Supplier],"not found")</f>
        <v>Martinez-Graham</v>
      </c>
      <c r="L107" s="1" t="s">
        <v>2067</v>
      </c>
      <c r="M1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45222</v>
      </c>
      <c r="N107">
        <v>9</v>
      </c>
      <c r="O107">
        <v>1840.68</v>
      </c>
      <c r="P107">
        <f>tblOrders[[#This Row],[Quantity]]*tblOrders[[#This Row],[Unit Price]]</f>
        <v>1840.68</v>
      </c>
      <c r="Q107">
        <f>tblOrders[[#This Row],[TotalSales]]-tblOrders[[#This Row],[Calculated Sales]]</f>
        <v>0</v>
      </c>
    </row>
    <row r="108" spans="1:17" x14ac:dyDescent="0.25">
      <c r="A108">
        <v>804</v>
      </c>
      <c r="B108">
        <v>176</v>
      </c>
      <c r="C108" t="str">
        <f>_xlfn.XLOOKUP(tblOrders[[#This Row],[CustomerID]],tblCustomers[CustomerID],tblCustomers[CustomerName],"not found")</f>
        <v>Joel Allen</v>
      </c>
      <c r="D108">
        <f>_xlfn.XLOOKUP(tblOrders[[#This Row],[CustomerID]],tblCustomers[CustomerID],tblCustomers[Age],"not found")</f>
        <v>19</v>
      </c>
      <c r="E108" t="str">
        <f>_xlfn.XLOOKUP(tblOrders[[#This Row],[CustomerID]],tblCustomers[CustomerID],tblCustomers[Gender],"not found")</f>
        <v>Female</v>
      </c>
      <c r="F108" t="str">
        <f>_xlfn.XLOOKUP(tblOrders[[#This Row],[CustomerID]],tblCustomers[CustomerID],tblCustomers[Region],"not found")</f>
        <v>Central</v>
      </c>
      <c r="G108">
        <v>1025</v>
      </c>
      <c r="H108" t="b">
        <f>_xlfn.XLOOKUP(tblOrders[[#This Row],[ProductID]],tblProducts[ProductID],tblProducts[ProductName],"not found")</f>
        <v>1</v>
      </c>
      <c r="I108" t="str">
        <f>_xlfn.XLOOKUP(tblOrders[[#This Row],[ProductID]],tblProducts[ProductID],tblProducts[Category],"not found")</f>
        <v>Beauty</v>
      </c>
      <c r="J108">
        <f>_xlfn.XLOOKUP(tblOrders[[#This Row],[ProductID]],tblProducts[ProductID],tblProducts[UnitPrice],"not found")</f>
        <v>204.52</v>
      </c>
      <c r="K108" t="str">
        <f>_xlfn.XLOOKUP(tblOrders[[#This Row],[ProductID]],tblProducts[ProductID],tblProducts[Supplier],"not found")</f>
        <v>Martinez-Graham</v>
      </c>
      <c r="L108" s="1">
        <v>44930</v>
      </c>
      <c r="M1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44930</v>
      </c>
      <c r="N108">
        <v>8</v>
      </c>
      <c r="O108">
        <v>1636.16</v>
      </c>
      <c r="P108">
        <f>tblOrders[[#This Row],[Quantity]]*tblOrders[[#This Row],[Unit Price]]</f>
        <v>1636.16</v>
      </c>
      <c r="Q108">
        <f>tblOrders[[#This Row],[TotalSales]]-tblOrders[[#This Row],[Calculated Sales]]</f>
        <v>0</v>
      </c>
    </row>
    <row r="109" spans="1:17" x14ac:dyDescent="0.25">
      <c r="A109">
        <v>864</v>
      </c>
      <c r="B109">
        <v>56</v>
      </c>
      <c r="C109" t="str">
        <f>_xlfn.XLOOKUP(tblOrders[[#This Row],[CustomerID]],tblCustomers[CustomerID],tblCustomers[CustomerName],"not found")</f>
        <v>Susan Sanders</v>
      </c>
      <c r="D109">
        <f>_xlfn.XLOOKUP(tblOrders[[#This Row],[CustomerID]],tblCustomers[CustomerID],tblCustomers[Age],"not found")</f>
        <v>63</v>
      </c>
      <c r="E109" t="str">
        <f>_xlfn.XLOOKUP(tblOrders[[#This Row],[CustomerID]],tblCustomers[CustomerID],tblCustomers[Gender],"not found")</f>
        <v>Male</v>
      </c>
      <c r="F109" t="str">
        <f>_xlfn.XLOOKUP(tblOrders[[#This Row],[CustomerID]],tblCustomers[CustomerID],tblCustomers[Region],"not found")</f>
        <v>South</v>
      </c>
      <c r="G109">
        <v>1025</v>
      </c>
      <c r="H109" t="b">
        <f>_xlfn.XLOOKUP(tblOrders[[#This Row],[ProductID]],tblProducts[ProductID],tblProducts[ProductName],"not found")</f>
        <v>1</v>
      </c>
      <c r="I109" t="str">
        <f>_xlfn.XLOOKUP(tblOrders[[#This Row],[ProductID]],tblProducts[ProductID],tblProducts[Category],"not found")</f>
        <v>Beauty</v>
      </c>
      <c r="J109">
        <f>_xlfn.XLOOKUP(tblOrders[[#This Row],[ProductID]],tblProducts[ProductID],tblProducts[UnitPrice],"not found")</f>
        <v>204.52</v>
      </c>
      <c r="K109" t="str">
        <f>_xlfn.XLOOKUP(tblOrders[[#This Row],[ProductID]],tblProducts[ProductID],tblProducts[Supplier],"not found")</f>
        <v>Martinez-Graham</v>
      </c>
      <c r="L109" s="1" t="s">
        <v>2068</v>
      </c>
      <c r="M1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44888</v>
      </c>
      <c r="N109">
        <v>8</v>
      </c>
      <c r="O109">
        <v>1636.16</v>
      </c>
      <c r="P109">
        <f>tblOrders[[#This Row],[Quantity]]*tblOrders[[#This Row],[Unit Price]]</f>
        <v>1636.16</v>
      </c>
      <c r="Q109">
        <f>tblOrders[[#This Row],[TotalSales]]-tblOrders[[#This Row],[Calculated Sales]]</f>
        <v>0</v>
      </c>
    </row>
    <row r="110" spans="1:17" x14ac:dyDescent="0.25">
      <c r="A110">
        <v>892</v>
      </c>
      <c r="B110">
        <v>993</v>
      </c>
      <c r="C110" t="str">
        <f>_xlfn.XLOOKUP(tblOrders[[#This Row],[CustomerID]],tblCustomers[CustomerID],tblCustomers[CustomerName],"not found")</f>
        <v>Holly Taylor</v>
      </c>
      <c r="D110">
        <f>_xlfn.XLOOKUP(tblOrders[[#This Row],[CustomerID]],tblCustomers[CustomerID],tblCustomers[Age],"not found")</f>
        <v>38</v>
      </c>
      <c r="E110" t="str">
        <f>_xlfn.XLOOKUP(tblOrders[[#This Row],[CustomerID]],tblCustomers[CustomerID],tblCustomers[Gender],"not found")</f>
        <v>Female</v>
      </c>
      <c r="F110" t="str">
        <f>_xlfn.XLOOKUP(tblOrders[[#This Row],[CustomerID]],tblCustomers[CustomerID],tblCustomers[Region],"not found")</f>
        <v>West</v>
      </c>
      <c r="G110">
        <v>1025</v>
      </c>
      <c r="H110" t="b">
        <f>_xlfn.XLOOKUP(tblOrders[[#This Row],[ProductID]],tblProducts[ProductID],tblProducts[ProductName],"not found")</f>
        <v>1</v>
      </c>
      <c r="I110" t="str">
        <f>_xlfn.XLOOKUP(tblOrders[[#This Row],[ProductID]],tblProducts[ProductID],tblProducts[Category],"not found")</f>
        <v>Beauty</v>
      </c>
      <c r="J110">
        <f>_xlfn.XLOOKUP(tblOrders[[#This Row],[ProductID]],tblProducts[ProductID],tblProducts[UnitPrice],"not found")</f>
        <v>204.52</v>
      </c>
      <c r="K110" t="str">
        <f>_xlfn.XLOOKUP(tblOrders[[#This Row],[ProductID]],tblProducts[ProductID],tblProducts[Supplier],"not found")</f>
        <v>Martinez-Graham</v>
      </c>
      <c r="L110" s="1" t="s">
        <v>2069</v>
      </c>
      <c r="M1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45488</v>
      </c>
      <c r="N110">
        <v>5</v>
      </c>
      <c r="O110">
        <v>1022.6</v>
      </c>
      <c r="P110">
        <f>tblOrders[[#This Row],[Quantity]]*tblOrders[[#This Row],[Unit Price]]</f>
        <v>1022.6</v>
      </c>
      <c r="Q110">
        <f>tblOrders[[#This Row],[TotalSales]]-tblOrders[[#This Row],[Calculated Sales]]</f>
        <v>0</v>
      </c>
    </row>
    <row r="111" spans="1:17" x14ac:dyDescent="0.25">
      <c r="A111">
        <v>1098</v>
      </c>
      <c r="B111">
        <v>977</v>
      </c>
      <c r="C111" t="str">
        <f>_xlfn.XLOOKUP(tblOrders[[#This Row],[CustomerID]],tblCustomers[CustomerID],tblCustomers[CustomerName],"not found")</f>
        <v>Christian Johnston</v>
      </c>
      <c r="D111">
        <f>_xlfn.XLOOKUP(tblOrders[[#This Row],[CustomerID]],tblCustomers[CustomerID],tblCustomers[Age],"not found")</f>
        <v>20</v>
      </c>
      <c r="E111" t="str">
        <f>_xlfn.XLOOKUP(tblOrders[[#This Row],[CustomerID]],tblCustomers[CustomerID],tblCustomers[Gender],"not found")</f>
        <v>Male</v>
      </c>
      <c r="F111" t="str">
        <f>_xlfn.XLOOKUP(tblOrders[[#This Row],[CustomerID]],tblCustomers[CustomerID],tblCustomers[Region],"not found")</f>
        <v>South</v>
      </c>
      <c r="G111">
        <v>1025</v>
      </c>
      <c r="H111" t="b">
        <f>_xlfn.XLOOKUP(tblOrders[[#This Row],[ProductID]],tblProducts[ProductID],tblProducts[ProductName],"not found")</f>
        <v>1</v>
      </c>
      <c r="I111" t="str">
        <f>_xlfn.XLOOKUP(tblOrders[[#This Row],[ProductID]],tblProducts[ProductID],tblProducts[Category],"not found")</f>
        <v>Beauty</v>
      </c>
      <c r="J111">
        <f>_xlfn.XLOOKUP(tblOrders[[#This Row],[ProductID]],tblProducts[ProductID],tblProducts[UnitPrice],"not found")</f>
        <v>204.52</v>
      </c>
      <c r="K111" t="str">
        <f>_xlfn.XLOOKUP(tblOrders[[#This Row],[ProductID]],tblProducts[ProductID],tblProducts[Supplier],"not found")</f>
        <v>Martinez-Graham</v>
      </c>
      <c r="L111" s="1" t="s">
        <v>2070</v>
      </c>
      <c r="M1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44954</v>
      </c>
      <c r="N111">
        <v>2</v>
      </c>
      <c r="O111">
        <v>409.04</v>
      </c>
      <c r="P111">
        <f>tblOrders[[#This Row],[Quantity]]*tblOrders[[#This Row],[Unit Price]]</f>
        <v>409.04</v>
      </c>
      <c r="Q111">
        <f>tblOrders[[#This Row],[TotalSales]]-tblOrders[[#This Row],[Calculated Sales]]</f>
        <v>0</v>
      </c>
    </row>
    <row r="112" spans="1:17" x14ac:dyDescent="0.25">
      <c r="A112">
        <v>1222</v>
      </c>
      <c r="B112">
        <v>94</v>
      </c>
      <c r="C112" t="str">
        <f>_xlfn.XLOOKUP(tblOrders[[#This Row],[CustomerID]],tblCustomers[CustomerID],tblCustomers[CustomerName],"not found")</f>
        <v>Michael Tran</v>
      </c>
      <c r="D112">
        <f>_xlfn.XLOOKUP(tblOrders[[#This Row],[CustomerID]],tblCustomers[CustomerID],tblCustomers[Age],"not found")</f>
        <v>52</v>
      </c>
      <c r="E112" t="str">
        <f>_xlfn.XLOOKUP(tblOrders[[#This Row],[CustomerID]],tblCustomers[CustomerID],tblCustomers[Gender],"not found")</f>
        <v>Female</v>
      </c>
      <c r="F112" t="str">
        <f>_xlfn.XLOOKUP(tblOrders[[#This Row],[CustomerID]],tblCustomers[CustomerID],tblCustomers[Region],"not found")</f>
        <v>West</v>
      </c>
      <c r="G112">
        <v>1025</v>
      </c>
      <c r="H112" t="b">
        <f>_xlfn.XLOOKUP(tblOrders[[#This Row],[ProductID]],tblProducts[ProductID],tblProducts[ProductName],"not found")</f>
        <v>1</v>
      </c>
      <c r="I112" t="str">
        <f>_xlfn.XLOOKUP(tblOrders[[#This Row],[ProductID]],tblProducts[ProductID],tblProducts[Category],"not found")</f>
        <v>Beauty</v>
      </c>
      <c r="J112">
        <f>_xlfn.XLOOKUP(tblOrders[[#This Row],[ProductID]],tblProducts[ProductID],tblProducts[UnitPrice],"not found")</f>
        <v>204.52</v>
      </c>
      <c r="K112" t="str">
        <f>_xlfn.XLOOKUP(tblOrders[[#This Row],[ProductID]],tblProducts[ProductID],tblProducts[Supplier],"not found")</f>
        <v>Martinez-Graham</v>
      </c>
      <c r="L112" s="1" t="s">
        <v>2071</v>
      </c>
      <c r="M1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45555</v>
      </c>
      <c r="N112">
        <v>5</v>
      </c>
      <c r="O112">
        <v>1022.6</v>
      </c>
      <c r="P112">
        <f>tblOrders[[#This Row],[Quantity]]*tblOrders[[#This Row],[Unit Price]]</f>
        <v>1022.6</v>
      </c>
      <c r="Q112">
        <f>tblOrders[[#This Row],[TotalSales]]-tblOrders[[#This Row],[Calculated Sales]]</f>
        <v>0</v>
      </c>
    </row>
    <row r="113" spans="1:17" x14ac:dyDescent="0.25">
      <c r="A113">
        <v>1316</v>
      </c>
      <c r="B113">
        <v>201</v>
      </c>
      <c r="C113" t="str">
        <f>_xlfn.XLOOKUP(tblOrders[[#This Row],[CustomerID]],tblCustomers[CustomerID],tblCustomers[CustomerName],"not found")</f>
        <v>Caroline Miller</v>
      </c>
      <c r="D113">
        <f>_xlfn.XLOOKUP(tblOrders[[#This Row],[CustomerID]],tblCustomers[CustomerID],tblCustomers[Age],"not found")</f>
        <v>23</v>
      </c>
      <c r="E113" t="str">
        <f>_xlfn.XLOOKUP(tblOrders[[#This Row],[CustomerID]],tblCustomers[CustomerID],tblCustomers[Gender],"not found")</f>
        <v>Male</v>
      </c>
      <c r="F113" t="str">
        <f>_xlfn.XLOOKUP(tblOrders[[#This Row],[CustomerID]],tblCustomers[CustomerID],tblCustomers[Region],"not found")</f>
        <v>South</v>
      </c>
      <c r="G113">
        <v>1025</v>
      </c>
      <c r="H113" t="b">
        <f>_xlfn.XLOOKUP(tblOrders[[#This Row],[ProductID]],tblProducts[ProductID],tblProducts[ProductName],"not found")</f>
        <v>1</v>
      </c>
      <c r="I113" t="str">
        <f>_xlfn.XLOOKUP(tblOrders[[#This Row],[ProductID]],tblProducts[ProductID],tblProducts[Category],"not found")</f>
        <v>Beauty</v>
      </c>
      <c r="J113">
        <f>_xlfn.XLOOKUP(tblOrders[[#This Row],[ProductID]],tblProducts[ProductID],tblProducts[UnitPrice],"not found")</f>
        <v>204.52</v>
      </c>
      <c r="K113" t="str">
        <f>_xlfn.XLOOKUP(tblOrders[[#This Row],[ProductID]],tblProducts[ProductID],tblProducts[Supplier],"not found")</f>
        <v>Martinez-Graham</v>
      </c>
      <c r="L113" s="1" t="s">
        <v>2072</v>
      </c>
      <c r="M1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45138</v>
      </c>
      <c r="N113">
        <v>2</v>
      </c>
      <c r="O113">
        <v>409.04</v>
      </c>
      <c r="P113">
        <f>tblOrders[[#This Row],[Quantity]]*tblOrders[[#This Row],[Unit Price]]</f>
        <v>409.04</v>
      </c>
      <c r="Q113">
        <f>tblOrders[[#This Row],[TotalSales]]-tblOrders[[#This Row],[Calculated Sales]]</f>
        <v>0</v>
      </c>
    </row>
    <row r="114" spans="1:17" x14ac:dyDescent="0.25">
      <c r="A114">
        <v>1460</v>
      </c>
      <c r="B114">
        <v>665</v>
      </c>
      <c r="C114" t="str">
        <f>_xlfn.XLOOKUP(tblOrders[[#This Row],[CustomerID]],tblCustomers[CustomerID],tblCustomers[CustomerName],"not found")</f>
        <v>Brandon Anderson</v>
      </c>
      <c r="D114">
        <f>_xlfn.XLOOKUP(tblOrders[[#This Row],[CustomerID]],tblCustomers[CustomerID],tblCustomers[Age],"not found")</f>
        <v>38</v>
      </c>
      <c r="E114" t="str">
        <f>_xlfn.XLOOKUP(tblOrders[[#This Row],[CustomerID]],tblCustomers[CustomerID],tblCustomers[Gender],"not found")</f>
        <v>Female</v>
      </c>
      <c r="F114" t="str">
        <f>_xlfn.XLOOKUP(tblOrders[[#This Row],[CustomerID]],tblCustomers[CustomerID],tblCustomers[Region],"not found")</f>
        <v>North</v>
      </c>
      <c r="G114">
        <v>1025</v>
      </c>
      <c r="H114" t="b">
        <f>_xlfn.XLOOKUP(tblOrders[[#This Row],[ProductID]],tblProducts[ProductID],tblProducts[ProductName],"not found")</f>
        <v>1</v>
      </c>
      <c r="I114" t="str">
        <f>_xlfn.XLOOKUP(tblOrders[[#This Row],[ProductID]],tblProducts[ProductID],tblProducts[Category],"not found")</f>
        <v>Beauty</v>
      </c>
      <c r="J114">
        <f>_xlfn.XLOOKUP(tblOrders[[#This Row],[ProductID]],tblProducts[ProductID],tblProducts[UnitPrice],"not found")</f>
        <v>204.52</v>
      </c>
      <c r="K114" t="str">
        <f>_xlfn.XLOOKUP(tblOrders[[#This Row],[ProductID]],tblProducts[ProductID],tblProducts[Supplier],"not found")</f>
        <v>Martinez-Graham</v>
      </c>
      <c r="L114" s="1" t="s">
        <v>2073</v>
      </c>
      <c r="M1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45441</v>
      </c>
      <c r="N114">
        <v>7</v>
      </c>
      <c r="O114">
        <v>1431.64</v>
      </c>
      <c r="P114">
        <f>tblOrders[[#This Row],[Quantity]]*tblOrders[[#This Row],[Unit Price]]</f>
        <v>1431.64</v>
      </c>
      <c r="Q114">
        <f>tblOrders[[#This Row],[TotalSales]]-tblOrders[[#This Row],[Calculated Sales]]</f>
        <v>0</v>
      </c>
    </row>
    <row r="115" spans="1:17" x14ac:dyDescent="0.25">
      <c r="A115">
        <v>1547</v>
      </c>
      <c r="B115">
        <v>828</v>
      </c>
      <c r="C115" t="str">
        <f>_xlfn.XLOOKUP(tblOrders[[#This Row],[CustomerID]],tblCustomers[CustomerID],tblCustomers[CustomerName],"not found")</f>
        <v>Jessica Baker</v>
      </c>
      <c r="D115">
        <f>_xlfn.XLOOKUP(tblOrders[[#This Row],[CustomerID]],tblCustomers[CustomerID],tblCustomers[Age],"not found")</f>
        <v>44</v>
      </c>
      <c r="E115" t="str">
        <f>_xlfn.XLOOKUP(tblOrders[[#This Row],[CustomerID]],tblCustomers[CustomerID],tblCustomers[Gender],"not found")</f>
        <v>Female</v>
      </c>
      <c r="F115" t="str">
        <f>_xlfn.XLOOKUP(tblOrders[[#This Row],[CustomerID]],tblCustomers[CustomerID],tblCustomers[Region],"not found")</f>
        <v>South</v>
      </c>
      <c r="G115">
        <v>1025</v>
      </c>
      <c r="H115" t="b">
        <f>_xlfn.XLOOKUP(tblOrders[[#This Row],[ProductID]],tblProducts[ProductID],tblProducts[ProductName],"not found")</f>
        <v>1</v>
      </c>
      <c r="I115" t="str">
        <f>_xlfn.XLOOKUP(tblOrders[[#This Row],[ProductID]],tblProducts[ProductID],tblProducts[Category],"not found")</f>
        <v>Beauty</v>
      </c>
      <c r="J115">
        <f>_xlfn.XLOOKUP(tblOrders[[#This Row],[ProductID]],tblProducts[ProductID],tblProducts[UnitPrice],"not found")</f>
        <v>204.52</v>
      </c>
      <c r="K115" t="str">
        <f>_xlfn.XLOOKUP(tblOrders[[#This Row],[ProductID]],tblProducts[ProductID],tblProducts[Supplier],"not found")</f>
        <v>Martinez-Graham</v>
      </c>
      <c r="L115" s="1" t="s">
        <v>2074</v>
      </c>
      <c r="M1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45367</v>
      </c>
      <c r="N115">
        <v>1</v>
      </c>
      <c r="O115">
        <v>204.52</v>
      </c>
      <c r="P115">
        <f>tblOrders[[#This Row],[Quantity]]*tblOrders[[#This Row],[Unit Price]]</f>
        <v>204.52</v>
      </c>
      <c r="Q115">
        <f>tblOrders[[#This Row],[TotalSales]]-tblOrders[[#This Row],[Calculated Sales]]</f>
        <v>0</v>
      </c>
    </row>
    <row r="116" spans="1:17" x14ac:dyDescent="0.25">
      <c r="A116">
        <v>1646</v>
      </c>
      <c r="B116">
        <v>338</v>
      </c>
      <c r="C116" t="str">
        <f>_xlfn.XLOOKUP(tblOrders[[#This Row],[CustomerID]],tblCustomers[CustomerID],tblCustomers[CustomerName],"not found")</f>
        <v>Michelle Campbell</v>
      </c>
      <c r="D116">
        <f>_xlfn.XLOOKUP(tblOrders[[#This Row],[CustomerID]],tblCustomers[CustomerID],tblCustomers[Age],"not found")</f>
        <v>49</v>
      </c>
      <c r="E116" t="str">
        <f>_xlfn.XLOOKUP(tblOrders[[#This Row],[CustomerID]],tblCustomers[CustomerID],tblCustomers[Gender],"not found")</f>
        <v>Male</v>
      </c>
      <c r="F116" t="str">
        <f>_xlfn.XLOOKUP(tblOrders[[#This Row],[CustomerID]],tblCustomers[CustomerID],tblCustomers[Region],"not found")</f>
        <v>West</v>
      </c>
      <c r="G116">
        <v>1025</v>
      </c>
      <c r="H116" t="b">
        <f>_xlfn.XLOOKUP(tblOrders[[#This Row],[ProductID]],tblProducts[ProductID],tblProducts[ProductName],"not found")</f>
        <v>1</v>
      </c>
      <c r="I116" t="str">
        <f>_xlfn.XLOOKUP(tblOrders[[#This Row],[ProductID]],tblProducts[ProductID],tblProducts[Category],"not found")</f>
        <v>Beauty</v>
      </c>
      <c r="J116">
        <f>_xlfn.XLOOKUP(tblOrders[[#This Row],[ProductID]],tblProducts[ProductID],tblProducts[UnitPrice],"not found")</f>
        <v>204.52</v>
      </c>
      <c r="K116" t="str">
        <f>_xlfn.XLOOKUP(tblOrders[[#This Row],[ProductID]],tblProducts[ProductID],tblProducts[Supplier],"not found")</f>
        <v>Martinez-Graham</v>
      </c>
      <c r="L116" s="1" t="s">
        <v>2075</v>
      </c>
      <c r="M1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45411</v>
      </c>
      <c r="N116">
        <v>2</v>
      </c>
      <c r="O116">
        <v>409.04</v>
      </c>
      <c r="P116">
        <f>tblOrders[[#This Row],[Quantity]]*tblOrders[[#This Row],[Unit Price]]</f>
        <v>409.04</v>
      </c>
      <c r="Q116">
        <f>tblOrders[[#This Row],[TotalSales]]-tblOrders[[#This Row],[Calculated Sales]]</f>
        <v>0</v>
      </c>
    </row>
    <row r="117" spans="1:17" x14ac:dyDescent="0.25">
      <c r="A117">
        <v>1727</v>
      </c>
      <c r="B117">
        <v>915</v>
      </c>
      <c r="C117" t="str">
        <f>_xlfn.XLOOKUP(tblOrders[[#This Row],[CustomerID]],tblCustomers[CustomerID],tblCustomers[CustomerName],"not found")</f>
        <v>Diana Harris</v>
      </c>
      <c r="D117">
        <f>_xlfn.XLOOKUP(tblOrders[[#This Row],[CustomerID]],tblCustomers[CustomerID],tblCustomers[Age],"not found")</f>
        <v>25</v>
      </c>
      <c r="E117" t="str">
        <f>_xlfn.XLOOKUP(tblOrders[[#This Row],[CustomerID]],tblCustomers[CustomerID],tblCustomers[Gender],"not found")</f>
        <v>Male</v>
      </c>
      <c r="F117" t="str">
        <f>_xlfn.XLOOKUP(tblOrders[[#This Row],[CustomerID]],tblCustomers[CustomerID],tblCustomers[Region],"not found")</f>
        <v>Central</v>
      </c>
      <c r="G117">
        <v>1025</v>
      </c>
      <c r="H117" t="b">
        <f>_xlfn.XLOOKUP(tblOrders[[#This Row],[ProductID]],tblProducts[ProductID],tblProducts[ProductName],"not found")</f>
        <v>1</v>
      </c>
      <c r="I117" t="str">
        <f>_xlfn.XLOOKUP(tblOrders[[#This Row],[ProductID]],tblProducts[ProductID],tblProducts[Category],"not found")</f>
        <v>Beauty</v>
      </c>
      <c r="J117">
        <f>_xlfn.XLOOKUP(tblOrders[[#This Row],[ProductID]],tblProducts[ProductID],tblProducts[UnitPrice],"not found")</f>
        <v>204.52</v>
      </c>
      <c r="K117" t="str">
        <f>_xlfn.XLOOKUP(tblOrders[[#This Row],[ProductID]],tblProducts[ProductID],tblProducts[Supplier],"not found")</f>
        <v>Martinez-Graham</v>
      </c>
      <c r="L117" s="1" t="s">
        <v>2076</v>
      </c>
      <c r="M1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45376</v>
      </c>
      <c r="N117">
        <v>4</v>
      </c>
      <c r="O117">
        <v>818.08</v>
      </c>
      <c r="P117">
        <f>tblOrders[[#This Row],[Quantity]]*tblOrders[[#This Row],[Unit Price]]</f>
        <v>818.08</v>
      </c>
      <c r="Q117">
        <f>tblOrders[[#This Row],[TotalSales]]-tblOrders[[#This Row],[Calculated Sales]]</f>
        <v>0</v>
      </c>
    </row>
    <row r="118" spans="1:17" x14ac:dyDescent="0.25">
      <c r="A118">
        <v>1831</v>
      </c>
      <c r="B118">
        <v>636</v>
      </c>
      <c r="C118" t="str">
        <f>_xlfn.XLOOKUP(tblOrders[[#This Row],[CustomerID]],tblCustomers[CustomerID],tblCustomers[CustomerName],"not found")</f>
        <v>Brenda Cox</v>
      </c>
      <c r="D118">
        <f>_xlfn.XLOOKUP(tblOrders[[#This Row],[CustomerID]],tblCustomers[CustomerID],tblCustomers[Age],"not found")</f>
        <v>69</v>
      </c>
      <c r="E118" t="str">
        <f>_xlfn.XLOOKUP(tblOrders[[#This Row],[CustomerID]],tblCustomers[CustomerID],tblCustomers[Gender],"not found")</f>
        <v>Female</v>
      </c>
      <c r="F118" t="str">
        <f>_xlfn.XLOOKUP(tblOrders[[#This Row],[CustomerID]],tblCustomers[CustomerID],tblCustomers[Region],"not found")</f>
        <v>South</v>
      </c>
      <c r="G118">
        <v>1025</v>
      </c>
      <c r="H118" t="b">
        <f>_xlfn.XLOOKUP(tblOrders[[#This Row],[ProductID]],tblProducts[ProductID],tblProducts[ProductName],"not found")</f>
        <v>1</v>
      </c>
      <c r="I118" t="str">
        <f>_xlfn.XLOOKUP(tblOrders[[#This Row],[ProductID]],tblProducts[ProductID],tblProducts[Category],"not found")</f>
        <v>Beauty</v>
      </c>
      <c r="J118">
        <f>_xlfn.XLOOKUP(tblOrders[[#This Row],[ProductID]],tblProducts[ProductID],tblProducts[UnitPrice],"not found")</f>
        <v>204.52</v>
      </c>
      <c r="K118" t="str">
        <f>_xlfn.XLOOKUP(tblOrders[[#This Row],[ProductID]],tblProducts[ProductID],tblProducts[Supplier],"not found")</f>
        <v>Martinez-Graham</v>
      </c>
      <c r="L118" s="1" t="s">
        <v>2077</v>
      </c>
      <c r="M1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45502</v>
      </c>
      <c r="N118">
        <v>5</v>
      </c>
      <c r="O118">
        <v>1022.6</v>
      </c>
      <c r="P118">
        <f>tblOrders[[#This Row],[Quantity]]*tblOrders[[#This Row],[Unit Price]]</f>
        <v>1022.6</v>
      </c>
      <c r="Q118">
        <f>tblOrders[[#This Row],[TotalSales]]-tblOrders[[#This Row],[Calculated Sales]]</f>
        <v>0</v>
      </c>
    </row>
    <row r="119" spans="1:17" x14ac:dyDescent="0.25">
      <c r="A119">
        <v>1866</v>
      </c>
      <c r="B119">
        <v>429</v>
      </c>
      <c r="C119" t="str">
        <f>_xlfn.XLOOKUP(tblOrders[[#This Row],[CustomerID]],tblCustomers[CustomerID],tblCustomers[CustomerName],"not found")</f>
        <v>David Martinez</v>
      </c>
      <c r="D119">
        <f>_xlfn.XLOOKUP(tblOrders[[#This Row],[CustomerID]],tblCustomers[CustomerID],tblCustomers[Age],"not found")</f>
        <v>39</v>
      </c>
      <c r="E119" t="str">
        <f>_xlfn.XLOOKUP(tblOrders[[#This Row],[CustomerID]],tblCustomers[CustomerID],tblCustomers[Gender],"not found")</f>
        <v>Male</v>
      </c>
      <c r="F119" t="str">
        <f>_xlfn.XLOOKUP(tblOrders[[#This Row],[CustomerID]],tblCustomers[CustomerID],tblCustomers[Region],"not found")</f>
        <v>South</v>
      </c>
      <c r="G119">
        <v>1025</v>
      </c>
      <c r="H119" t="b">
        <f>_xlfn.XLOOKUP(tblOrders[[#This Row],[ProductID]],tblProducts[ProductID],tblProducts[ProductName],"not found")</f>
        <v>1</v>
      </c>
      <c r="I119" t="str">
        <f>_xlfn.XLOOKUP(tblOrders[[#This Row],[ProductID]],tblProducts[ProductID],tblProducts[Category],"not found")</f>
        <v>Beauty</v>
      </c>
      <c r="J119">
        <f>_xlfn.XLOOKUP(tblOrders[[#This Row],[ProductID]],tblProducts[ProductID],tblProducts[UnitPrice],"not found")</f>
        <v>204.52</v>
      </c>
      <c r="K119" t="str">
        <f>_xlfn.XLOOKUP(tblOrders[[#This Row],[ProductID]],tblProducts[ProductID],tblProducts[Supplier],"not found")</f>
        <v>Martinez-Graham</v>
      </c>
      <c r="L119" s="1" t="s">
        <v>2078</v>
      </c>
      <c r="M1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45493</v>
      </c>
      <c r="N119">
        <v>7</v>
      </c>
      <c r="O119">
        <v>1431.64</v>
      </c>
      <c r="P119">
        <f>tblOrders[[#This Row],[Quantity]]*tblOrders[[#This Row],[Unit Price]]</f>
        <v>1431.64</v>
      </c>
      <c r="Q119">
        <f>tblOrders[[#This Row],[TotalSales]]-tblOrders[[#This Row],[Calculated Sales]]</f>
        <v>0</v>
      </c>
    </row>
    <row r="120" spans="1:17" x14ac:dyDescent="0.25">
      <c r="A120">
        <v>7</v>
      </c>
      <c r="B120">
        <v>808</v>
      </c>
      <c r="C120" t="str">
        <f>_xlfn.XLOOKUP(tblOrders[[#This Row],[CustomerID]],tblCustomers[CustomerID],tblCustomers[CustomerName],"not found")</f>
        <v>Chad Francis</v>
      </c>
      <c r="D120">
        <f>_xlfn.XLOOKUP(tblOrders[[#This Row],[CustomerID]],tblCustomers[CustomerID],tblCustomers[Age],"not found")</f>
        <v>27</v>
      </c>
      <c r="E120" t="str">
        <f>_xlfn.XLOOKUP(tblOrders[[#This Row],[CustomerID]],tblCustomers[CustomerID],tblCustomers[Gender],"not found")</f>
        <v>Male</v>
      </c>
      <c r="F120" t="str">
        <f>_xlfn.XLOOKUP(tblOrders[[#This Row],[CustomerID]],tblCustomers[CustomerID],tblCustomers[Region],"not found")</f>
        <v>East</v>
      </c>
      <c r="G120">
        <v>1050</v>
      </c>
      <c r="H120" t="str">
        <f>_xlfn.XLOOKUP(tblOrders[[#This Row],[ProductID]],tblProducts[ProductID],tblProducts[ProductName],"not found")</f>
        <v>House</v>
      </c>
      <c r="I120" t="str">
        <f>_xlfn.XLOOKUP(tblOrders[[#This Row],[ProductID]],tblProducts[ProductID],tblProducts[Category],"not found")</f>
        <v>Furniture</v>
      </c>
      <c r="J120">
        <f>_xlfn.XLOOKUP(tblOrders[[#This Row],[ProductID]],tblProducts[ProductID],tblProducts[UnitPrice],"not found")</f>
        <v>286.77</v>
      </c>
      <c r="K120" t="str">
        <f>_xlfn.XLOOKUP(tblOrders[[#This Row],[ProductID]],tblProducts[ProductID],tblProducts[Supplier],"not found")</f>
        <v>Sullivan-Williams</v>
      </c>
      <c r="L120" s="1" t="s">
        <v>2079</v>
      </c>
      <c r="M1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45004</v>
      </c>
      <c r="N120">
        <v>3</v>
      </c>
      <c r="O120">
        <v>860.31</v>
      </c>
      <c r="P120">
        <f>tblOrders[[#This Row],[Quantity]]*tblOrders[[#This Row],[Unit Price]]</f>
        <v>860.31</v>
      </c>
      <c r="Q120">
        <f>tblOrders[[#This Row],[TotalSales]]-tblOrders[[#This Row],[Calculated Sales]]</f>
        <v>0</v>
      </c>
    </row>
    <row r="121" spans="1:17" x14ac:dyDescent="0.25">
      <c r="A121">
        <v>134</v>
      </c>
      <c r="B121">
        <v>621</v>
      </c>
      <c r="C121" t="str">
        <f>_xlfn.XLOOKUP(tblOrders[[#This Row],[CustomerID]],tblCustomers[CustomerID],tblCustomers[CustomerName],"not found")</f>
        <v>Maria Gutierrez</v>
      </c>
      <c r="D121">
        <f>_xlfn.XLOOKUP(tblOrders[[#This Row],[CustomerID]],tblCustomers[CustomerID],tblCustomers[Age],"not found")</f>
        <v>37</v>
      </c>
      <c r="E121" t="str">
        <f>_xlfn.XLOOKUP(tblOrders[[#This Row],[CustomerID]],tblCustomers[CustomerID],tblCustomers[Gender],"not found")</f>
        <v>Female</v>
      </c>
      <c r="F121" t="str">
        <f>_xlfn.XLOOKUP(tblOrders[[#This Row],[CustomerID]],tblCustomers[CustomerID],tblCustomers[Region],"not found")</f>
        <v>North</v>
      </c>
      <c r="G121">
        <v>1050</v>
      </c>
      <c r="H121" t="str">
        <f>_xlfn.XLOOKUP(tblOrders[[#This Row],[ProductID]],tblProducts[ProductID],tblProducts[ProductName],"not found")</f>
        <v>House</v>
      </c>
      <c r="I121" t="str">
        <f>_xlfn.XLOOKUP(tblOrders[[#This Row],[ProductID]],tblProducts[ProductID],tblProducts[Category],"not found")</f>
        <v>Furniture</v>
      </c>
      <c r="J121">
        <f>_xlfn.XLOOKUP(tblOrders[[#This Row],[ProductID]],tblProducts[ProductID],tblProducts[UnitPrice],"not found")</f>
        <v>286.77</v>
      </c>
      <c r="K121" t="str">
        <f>_xlfn.XLOOKUP(tblOrders[[#This Row],[ProductID]],tblProducts[ProductID],tblProducts[Supplier],"not found")</f>
        <v>Sullivan-Williams</v>
      </c>
      <c r="L121" s="1" t="s">
        <v>2080</v>
      </c>
      <c r="M1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44895</v>
      </c>
      <c r="N121">
        <v>5</v>
      </c>
      <c r="O121">
        <v>1433.85</v>
      </c>
      <c r="P121">
        <f>tblOrders[[#This Row],[Quantity]]*tblOrders[[#This Row],[Unit Price]]</f>
        <v>1433.85</v>
      </c>
      <c r="Q121">
        <f>tblOrders[[#This Row],[TotalSales]]-tblOrders[[#This Row],[Calculated Sales]]</f>
        <v>0</v>
      </c>
    </row>
    <row r="122" spans="1:17" x14ac:dyDescent="0.25">
      <c r="A122">
        <v>160</v>
      </c>
      <c r="B122">
        <v>722</v>
      </c>
      <c r="C122" t="str">
        <f>_xlfn.XLOOKUP(tblOrders[[#This Row],[CustomerID]],tblCustomers[CustomerID],tblCustomers[CustomerName],"not found")</f>
        <v>Kimberly Martinez</v>
      </c>
      <c r="D122">
        <f>_xlfn.XLOOKUP(tblOrders[[#This Row],[CustomerID]],tblCustomers[CustomerID],tblCustomers[Age],"not found")</f>
        <v>35</v>
      </c>
      <c r="E122" t="str">
        <f>_xlfn.XLOOKUP(tblOrders[[#This Row],[CustomerID]],tblCustomers[CustomerID],tblCustomers[Gender],"not found")</f>
        <v>Male</v>
      </c>
      <c r="F122" t="str">
        <f>_xlfn.XLOOKUP(tblOrders[[#This Row],[CustomerID]],tblCustomers[CustomerID],tblCustomers[Region],"not found")</f>
        <v>Central</v>
      </c>
      <c r="G122">
        <v>1050</v>
      </c>
      <c r="H122" t="str">
        <f>_xlfn.XLOOKUP(tblOrders[[#This Row],[ProductID]],tblProducts[ProductID],tblProducts[ProductName],"not found")</f>
        <v>House</v>
      </c>
      <c r="I122" t="str">
        <f>_xlfn.XLOOKUP(tblOrders[[#This Row],[ProductID]],tblProducts[ProductID],tblProducts[Category],"not found")</f>
        <v>Furniture</v>
      </c>
      <c r="J122">
        <f>_xlfn.XLOOKUP(tblOrders[[#This Row],[ProductID]],tblProducts[ProductID],tblProducts[UnitPrice],"not found")</f>
        <v>286.77</v>
      </c>
      <c r="K122" t="str">
        <f>_xlfn.XLOOKUP(tblOrders[[#This Row],[ProductID]],tblProducts[ProductID],tblProducts[Supplier],"not found")</f>
        <v>Sullivan-Williams</v>
      </c>
      <c r="L122" s="1" t="s">
        <v>2081</v>
      </c>
      <c r="M1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122">
        <v>4</v>
      </c>
      <c r="O122">
        <v>1147.08</v>
      </c>
      <c r="P122">
        <f>tblOrders[[#This Row],[Quantity]]*tblOrders[[#This Row],[Unit Price]]</f>
        <v>1147.08</v>
      </c>
      <c r="Q122">
        <f>tblOrders[[#This Row],[TotalSales]]-tblOrders[[#This Row],[Calculated Sales]]</f>
        <v>0</v>
      </c>
    </row>
    <row r="123" spans="1:17" x14ac:dyDescent="0.25">
      <c r="A123">
        <v>210</v>
      </c>
      <c r="B123">
        <v>585</v>
      </c>
      <c r="C123" t="str">
        <f>_xlfn.XLOOKUP(tblOrders[[#This Row],[CustomerID]],tblCustomers[CustomerID],tblCustomers[CustomerName],"not found")</f>
        <v>Lisa Mckinney</v>
      </c>
      <c r="D123">
        <f>_xlfn.XLOOKUP(tblOrders[[#This Row],[CustomerID]],tblCustomers[CustomerID],tblCustomers[Age],"not found")</f>
        <v>19</v>
      </c>
      <c r="E123" t="str">
        <f>_xlfn.XLOOKUP(tblOrders[[#This Row],[CustomerID]],tblCustomers[CustomerID],tblCustomers[Gender],"not found")</f>
        <v>Female</v>
      </c>
      <c r="F123" t="str">
        <f>_xlfn.XLOOKUP(tblOrders[[#This Row],[CustomerID]],tblCustomers[CustomerID],tblCustomers[Region],"not found")</f>
        <v>East</v>
      </c>
      <c r="G123">
        <v>1050</v>
      </c>
      <c r="H123" t="str">
        <f>_xlfn.XLOOKUP(tblOrders[[#This Row],[ProductID]],tblProducts[ProductID],tblProducts[ProductName],"not found")</f>
        <v>House</v>
      </c>
      <c r="I123" t="str">
        <f>_xlfn.XLOOKUP(tblOrders[[#This Row],[ProductID]],tblProducts[ProductID],tblProducts[Category],"not found")</f>
        <v>Furniture</v>
      </c>
      <c r="J123">
        <f>_xlfn.XLOOKUP(tblOrders[[#This Row],[ProductID]],tblProducts[ProductID],tblProducts[UnitPrice],"not found")</f>
        <v>286.77</v>
      </c>
      <c r="K123" t="str">
        <f>_xlfn.XLOOKUP(tblOrders[[#This Row],[ProductID]],tblProducts[ProductID],tblProducts[Supplier],"not found")</f>
        <v>Sullivan-Williams</v>
      </c>
      <c r="L123" s="1" t="s">
        <v>2031</v>
      </c>
      <c r="M1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45280</v>
      </c>
      <c r="N123">
        <v>4</v>
      </c>
      <c r="O123">
        <v>1147.08</v>
      </c>
      <c r="P123">
        <f>tblOrders[[#This Row],[Quantity]]*tblOrders[[#This Row],[Unit Price]]</f>
        <v>1147.08</v>
      </c>
      <c r="Q123">
        <f>tblOrders[[#This Row],[TotalSales]]-tblOrders[[#This Row],[Calculated Sales]]</f>
        <v>0</v>
      </c>
    </row>
    <row r="124" spans="1:17" x14ac:dyDescent="0.25">
      <c r="A124">
        <v>257</v>
      </c>
      <c r="B124">
        <v>18</v>
      </c>
      <c r="C124" t="str">
        <f>_xlfn.XLOOKUP(tblOrders[[#This Row],[CustomerID]],tblCustomers[CustomerID],tblCustomers[CustomerName],"not found")</f>
        <v>Mr. Jeffrey Griffin PhD</v>
      </c>
      <c r="D124">
        <f>_xlfn.XLOOKUP(tblOrders[[#This Row],[CustomerID]],tblCustomers[CustomerID],tblCustomers[Age],"not found")</f>
        <v>25</v>
      </c>
      <c r="E124" t="str">
        <f>_xlfn.XLOOKUP(tblOrders[[#This Row],[CustomerID]],tblCustomers[CustomerID],tblCustomers[Gender],"not found")</f>
        <v>Male</v>
      </c>
      <c r="F124" t="str">
        <f>_xlfn.XLOOKUP(tblOrders[[#This Row],[CustomerID]],tblCustomers[CustomerID],tblCustomers[Region],"not found")</f>
        <v>West</v>
      </c>
      <c r="G124">
        <v>1050</v>
      </c>
      <c r="H124" t="str">
        <f>_xlfn.XLOOKUP(tblOrders[[#This Row],[ProductID]],tblProducts[ProductID],tblProducts[ProductName],"not found")</f>
        <v>House</v>
      </c>
      <c r="I124" t="str">
        <f>_xlfn.XLOOKUP(tblOrders[[#This Row],[ProductID]],tblProducts[ProductID],tblProducts[Category],"not found")</f>
        <v>Furniture</v>
      </c>
      <c r="J124">
        <f>_xlfn.XLOOKUP(tblOrders[[#This Row],[ProductID]],tblProducts[ProductID],tblProducts[UnitPrice],"not found")</f>
        <v>286.77</v>
      </c>
      <c r="K124" t="str">
        <f>_xlfn.XLOOKUP(tblOrders[[#This Row],[ProductID]],tblProducts[ProductID],tblProducts[Supplier],"not found")</f>
        <v>Sullivan-Williams</v>
      </c>
      <c r="L124" s="1" t="s">
        <v>2082</v>
      </c>
      <c r="M1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45377</v>
      </c>
      <c r="N124">
        <v>7</v>
      </c>
      <c r="O124">
        <v>2007.39</v>
      </c>
      <c r="P124">
        <f>tblOrders[[#This Row],[Quantity]]*tblOrders[[#This Row],[Unit Price]]</f>
        <v>2007.3899999999999</v>
      </c>
      <c r="Q124">
        <f>tblOrders[[#This Row],[TotalSales]]-tblOrders[[#This Row],[Calculated Sales]]</f>
        <v>0</v>
      </c>
    </row>
    <row r="125" spans="1:17" x14ac:dyDescent="0.25">
      <c r="A125">
        <v>353</v>
      </c>
      <c r="B125">
        <v>18</v>
      </c>
      <c r="C125" t="str">
        <f>_xlfn.XLOOKUP(tblOrders[[#This Row],[CustomerID]],tblCustomers[CustomerID],tblCustomers[CustomerName],"not found")</f>
        <v>Mr. Jeffrey Griffin PhD</v>
      </c>
      <c r="D125">
        <f>_xlfn.XLOOKUP(tblOrders[[#This Row],[CustomerID]],tblCustomers[CustomerID],tblCustomers[Age],"not found")</f>
        <v>25</v>
      </c>
      <c r="E125" t="str">
        <f>_xlfn.XLOOKUP(tblOrders[[#This Row],[CustomerID]],tblCustomers[CustomerID],tblCustomers[Gender],"not found")</f>
        <v>Male</v>
      </c>
      <c r="F125" t="str">
        <f>_xlfn.XLOOKUP(tblOrders[[#This Row],[CustomerID]],tblCustomers[CustomerID],tblCustomers[Region],"not found")</f>
        <v>West</v>
      </c>
      <c r="G125">
        <v>1050</v>
      </c>
      <c r="H125" t="str">
        <f>_xlfn.XLOOKUP(tblOrders[[#This Row],[ProductID]],tblProducts[ProductID],tblProducts[ProductName],"not found")</f>
        <v>House</v>
      </c>
      <c r="I125" t="str">
        <f>_xlfn.XLOOKUP(tblOrders[[#This Row],[ProductID]],tblProducts[ProductID],tblProducts[Category],"not found")</f>
        <v>Furniture</v>
      </c>
      <c r="J125">
        <f>_xlfn.XLOOKUP(tblOrders[[#This Row],[ProductID]],tblProducts[ProductID],tblProducts[UnitPrice],"not found")</f>
        <v>286.77</v>
      </c>
      <c r="K125" t="str">
        <f>_xlfn.XLOOKUP(tblOrders[[#This Row],[ProductID]],tblProducts[ProductID],tblProducts[Supplier],"not found")</f>
        <v>Sullivan-Williams</v>
      </c>
      <c r="L125" s="1" t="s">
        <v>2083</v>
      </c>
      <c r="M1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45000</v>
      </c>
      <c r="N125">
        <v>7</v>
      </c>
      <c r="O125">
        <v>2007.39</v>
      </c>
      <c r="P125">
        <f>tblOrders[[#This Row],[Quantity]]*tblOrders[[#This Row],[Unit Price]]</f>
        <v>2007.3899999999999</v>
      </c>
      <c r="Q125">
        <f>tblOrders[[#This Row],[TotalSales]]-tblOrders[[#This Row],[Calculated Sales]]</f>
        <v>0</v>
      </c>
    </row>
    <row r="126" spans="1:17" x14ac:dyDescent="0.25">
      <c r="A126">
        <v>543</v>
      </c>
      <c r="B126">
        <v>978</v>
      </c>
      <c r="C126" t="str">
        <f>_xlfn.XLOOKUP(tblOrders[[#This Row],[CustomerID]],tblCustomers[CustomerID],tblCustomers[CustomerName],"not found")</f>
        <v>Rebecca Jackson</v>
      </c>
      <c r="D126">
        <f>_xlfn.XLOOKUP(tblOrders[[#This Row],[CustomerID]],tblCustomers[CustomerID],tblCustomers[Age],"not found")</f>
        <v>39</v>
      </c>
      <c r="E126" t="str">
        <f>_xlfn.XLOOKUP(tblOrders[[#This Row],[CustomerID]],tblCustomers[CustomerID],tblCustomers[Gender],"not found")</f>
        <v>Female</v>
      </c>
      <c r="F126" t="str">
        <f>_xlfn.XLOOKUP(tblOrders[[#This Row],[CustomerID]],tblCustomers[CustomerID],tblCustomers[Region],"not found")</f>
        <v>East</v>
      </c>
      <c r="G126">
        <v>1050</v>
      </c>
      <c r="H126" t="str">
        <f>_xlfn.XLOOKUP(tblOrders[[#This Row],[ProductID]],tblProducts[ProductID],tblProducts[ProductName],"not found")</f>
        <v>House</v>
      </c>
      <c r="I126" t="str">
        <f>_xlfn.XLOOKUP(tblOrders[[#This Row],[ProductID]],tblProducts[ProductID],tblProducts[Category],"not found")</f>
        <v>Furniture</v>
      </c>
      <c r="J126">
        <f>_xlfn.XLOOKUP(tblOrders[[#This Row],[ProductID]],tblProducts[ProductID],tblProducts[UnitPrice],"not found")</f>
        <v>286.77</v>
      </c>
      <c r="K126" t="str">
        <f>_xlfn.XLOOKUP(tblOrders[[#This Row],[ProductID]],tblProducts[ProductID],tblProducts[Supplier],"not found")</f>
        <v>Sullivan-Williams</v>
      </c>
      <c r="L126" s="1">
        <v>44960</v>
      </c>
      <c r="M1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44960</v>
      </c>
      <c r="N126">
        <v>8</v>
      </c>
      <c r="O126">
        <v>2294.16</v>
      </c>
      <c r="P126">
        <f>tblOrders[[#This Row],[Quantity]]*tblOrders[[#This Row],[Unit Price]]</f>
        <v>2294.16</v>
      </c>
      <c r="Q126">
        <f>tblOrders[[#This Row],[TotalSales]]-tblOrders[[#This Row],[Calculated Sales]]</f>
        <v>0</v>
      </c>
    </row>
    <row r="127" spans="1:17" x14ac:dyDescent="0.25">
      <c r="A127">
        <v>576</v>
      </c>
      <c r="B127">
        <v>326</v>
      </c>
      <c r="C127" t="str">
        <f>_xlfn.XLOOKUP(tblOrders[[#This Row],[CustomerID]],tblCustomers[CustomerID],tblCustomers[CustomerName],"not found")</f>
        <v>Matthew Walker</v>
      </c>
      <c r="D127">
        <f>_xlfn.XLOOKUP(tblOrders[[#This Row],[CustomerID]],tblCustomers[CustomerID],tblCustomers[Age],"not found")</f>
        <v>35</v>
      </c>
      <c r="E127" t="str">
        <f>_xlfn.XLOOKUP(tblOrders[[#This Row],[CustomerID]],tblCustomers[CustomerID],tblCustomers[Gender],"not found")</f>
        <v>Male</v>
      </c>
      <c r="F127" t="str">
        <f>_xlfn.XLOOKUP(tblOrders[[#This Row],[CustomerID]],tblCustomers[CustomerID],tblCustomers[Region],"not found")</f>
        <v>East</v>
      </c>
      <c r="G127">
        <v>1050</v>
      </c>
      <c r="H127" t="str">
        <f>_xlfn.XLOOKUP(tblOrders[[#This Row],[ProductID]],tblProducts[ProductID],tblProducts[ProductName],"not found")</f>
        <v>House</v>
      </c>
      <c r="I127" t="str">
        <f>_xlfn.XLOOKUP(tblOrders[[#This Row],[ProductID]],tblProducts[ProductID],tblProducts[Category],"not found")</f>
        <v>Furniture</v>
      </c>
      <c r="J127">
        <f>_xlfn.XLOOKUP(tblOrders[[#This Row],[ProductID]],tblProducts[ProductID],tblProducts[UnitPrice],"not found")</f>
        <v>286.77</v>
      </c>
      <c r="K127" t="str">
        <f>_xlfn.XLOOKUP(tblOrders[[#This Row],[ProductID]],tblProducts[ProductID],tblProducts[Supplier],"not found")</f>
        <v>Sullivan-Williams</v>
      </c>
      <c r="L127" s="1" t="s">
        <v>2084</v>
      </c>
      <c r="M1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45460</v>
      </c>
      <c r="N127">
        <v>9</v>
      </c>
      <c r="O127">
        <v>2580.9299999999998</v>
      </c>
      <c r="P127">
        <f>tblOrders[[#This Row],[Quantity]]*tblOrders[[#This Row],[Unit Price]]</f>
        <v>2580.9299999999998</v>
      </c>
      <c r="Q127">
        <f>tblOrders[[#This Row],[TotalSales]]-tblOrders[[#This Row],[Calculated Sales]]</f>
        <v>0</v>
      </c>
    </row>
    <row r="128" spans="1:17" x14ac:dyDescent="0.25">
      <c r="A128">
        <v>580</v>
      </c>
      <c r="B128">
        <v>147</v>
      </c>
      <c r="C128" t="str">
        <f>_xlfn.XLOOKUP(tblOrders[[#This Row],[CustomerID]],tblCustomers[CustomerID],tblCustomers[CustomerName],"not found")</f>
        <v>Trevor Wilson</v>
      </c>
      <c r="D128">
        <f>_xlfn.XLOOKUP(tblOrders[[#This Row],[CustomerID]],tblCustomers[CustomerID],tblCustomers[Age],"not found")</f>
        <v>57</v>
      </c>
      <c r="E128" t="str">
        <f>_xlfn.XLOOKUP(tblOrders[[#This Row],[CustomerID]],tblCustomers[CustomerID],tblCustomers[Gender],"not found")</f>
        <v>Male</v>
      </c>
      <c r="F128" t="str">
        <f>_xlfn.XLOOKUP(tblOrders[[#This Row],[CustomerID]],tblCustomers[CustomerID],tblCustomers[Region],"not found")</f>
        <v>North</v>
      </c>
      <c r="G128">
        <v>1050</v>
      </c>
      <c r="H128" t="str">
        <f>_xlfn.XLOOKUP(tblOrders[[#This Row],[ProductID]],tblProducts[ProductID],tblProducts[ProductName],"not found")</f>
        <v>House</v>
      </c>
      <c r="I128" t="str">
        <f>_xlfn.XLOOKUP(tblOrders[[#This Row],[ProductID]],tblProducts[ProductID],tblProducts[Category],"not found")</f>
        <v>Furniture</v>
      </c>
      <c r="J128">
        <f>_xlfn.XLOOKUP(tblOrders[[#This Row],[ProductID]],tblProducts[ProductID],tblProducts[UnitPrice],"not found")</f>
        <v>286.77</v>
      </c>
      <c r="K128" t="str">
        <f>_xlfn.XLOOKUP(tblOrders[[#This Row],[ProductID]],tblProducts[ProductID],tblProducts[Supplier],"not found")</f>
        <v>Sullivan-Williams</v>
      </c>
      <c r="L128" s="1" t="s">
        <v>2085</v>
      </c>
      <c r="M1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45530</v>
      </c>
      <c r="N128">
        <v>5</v>
      </c>
      <c r="O128">
        <v>1433.85</v>
      </c>
      <c r="P128">
        <f>tblOrders[[#This Row],[Quantity]]*tblOrders[[#This Row],[Unit Price]]</f>
        <v>1433.85</v>
      </c>
      <c r="Q128">
        <f>tblOrders[[#This Row],[TotalSales]]-tblOrders[[#This Row],[Calculated Sales]]</f>
        <v>0</v>
      </c>
    </row>
    <row r="129" spans="1:17" x14ac:dyDescent="0.25">
      <c r="A129">
        <v>1002</v>
      </c>
      <c r="B129">
        <v>283</v>
      </c>
      <c r="C129" t="str">
        <f>_xlfn.XLOOKUP(tblOrders[[#This Row],[CustomerID]],tblCustomers[CustomerID],tblCustomers[CustomerName],"not found")</f>
        <v>Michael Payne</v>
      </c>
      <c r="D129">
        <f>_xlfn.XLOOKUP(tblOrders[[#This Row],[CustomerID]],tblCustomers[CustomerID],tblCustomers[Age],"not found")</f>
        <v>25</v>
      </c>
      <c r="E129" t="str">
        <f>_xlfn.XLOOKUP(tblOrders[[#This Row],[CustomerID]],tblCustomers[CustomerID],tblCustomers[Gender],"not found")</f>
        <v>Female</v>
      </c>
      <c r="F129" t="str">
        <f>_xlfn.XLOOKUP(tblOrders[[#This Row],[CustomerID]],tblCustomers[CustomerID],tblCustomers[Region],"not found")</f>
        <v>East</v>
      </c>
      <c r="G129">
        <v>1050</v>
      </c>
      <c r="H129" t="str">
        <f>_xlfn.XLOOKUP(tblOrders[[#This Row],[ProductID]],tblProducts[ProductID],tblProducts[ProductName],"not found")</f>
        <v>House</v>
      </c>
      <c r="I129" t="str">
        <f>_xlfn.XLOOKUP(tblOrders[[#This Row],[ProductID]],tblProducts[ProductID],tblProducts[Category],"not found")</f>
        <v>Furniture</v>
      </c>
      <c r="J129">
        <f>_xlfn.XLOOKUP(tblOrders[[#This Row],[ProductID]],tblProducts[ProductID],tblProducts[UnitPrice],"not found")</f>
        <v>286.77</v>
      </c>
      <c r="K129" t="str">
        <f>_xlfn.XLOOKUP(tblOrders[[#This Row],[ProductID]],tblProducts[ProductID],tblProducts[Supplier],"not found")</f>
        <v>Sullivan-Williams</v>
      </c>
      <c r="L129" s="1" t="s">
        <v>2086</v>
      </c>
      <c r="M1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45486</v>
      </c>
      <c r="N129">
        <v>4</v>
      </c>
      <c r="O129">
        <v>1147.08</v>
      </c>
      <c r="P129">
        <f>tblOrders[[#This Row],[Quantity]]*tblOrders[[#This Row],[Unit Price]]</f>
        <v>1147.08</v>
      </c>
      <c r="Q129">
        <f>tblOrders[[#This Row],[TotalSales]]-tblOrders[[#This Row],[Calculated Sales]]</f>
        <v>0</v>
      </c>
    </row>
    <row r="130" spans="1:17" x14ac:dyDescent="0.25">
      <c r="A130">
        <v>1216</v>
      </c>
      <c r="B130">
        <v>295</v>
      </c>
      <c r="C130" t="str">
        <f>_xlfn.XLOOKUP(tblOrders[[#This Row],[CustomerID]],tblCustomers[CustomerID],tblCustomers[CustomerName],"not found")</f>
        <v>Walter Zuniga</v>
      </c>
      <c r="D130">
        <f>_xlfn.XLOOKUP(tblOrders[[#This Row],[CustomerID]],tblCustomers[CustomerID],tblCustomers[Age],"not found")</f>
        <v>38</v>
      </c>
      <c r="E130" t="str">
        <f>_xlfn.XLOOKUP(tblOrders[[#This Row],[CustomerID]],tblCustomers[CustomerID],tblCustomers[Gender],"not found")</f>
        <v>Female</v>
      </c>
      <c r="F130" t="str">
        <f>_xlfn.XLOOKUP(tblOrders[[#This Row],[CustomerID]],tblCustomers[CustomerID],tblCustomers[Region],"not found")</f>
        <v>South</v>
      </c>
      <c r="G130">
        <v>1050</v>
      </c>
      <c r="H130" t="str">
        <f>_xlfn.XLOOKUP(tblOrders[[#This Row],[ProductID]],tblProducts[ProductID],tblProducts[ProductName],"not found")</f>
        <v>House</v>
      </c>
      <c r="I130" t="str">
        <f>_xlfn.XLOOKUP(tblOrders[[#This Row],[ProductID]],tblProducts[ProductID],tblProducts[Category],"not found")</f>
        <v>Furniture</v>
      </c>
      <c r="J130">
        <f>_xlfn.XLOOKUP(tblOrders[[#This Row],[ProductID]],tblProducts[ProductID],tblProducts[UnitPrice],"not found")</f>
        <v>286.77</v>
      </c>
      <c r="K130" t="str">
        <f>_xlfn.XLOOKUP(tblOrders[[#This Row],[ProductID]],tblProducts[ProductID],tblProducts[Supplier],"not found")</f>
        <v>Sullivan-Williams</v>
      </c>
      <c r="L130" s="1">
        <v>45020</v>
      </c>
      <c r="M1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45020</v>
      </c>
      <c r="N130">
        <v>6</v>
      </c>
      <c r="O130">
        <v>1720.62</v>
      </c>
      <c r="P130">
        <f>tblOrders[[#This Row],[Quantity]]*tblOrders[[#This Row],[Unit Price]]</f>
        <v>1720.62</v>
      </c>
      <c r="Q130">
        <f>tblOrders[[#This Row],[TotalSales]]-tblOrders[[#This Row],[Calculated Sales]]</f>
        <v>0</v>
      </c>
    </row>
    <row r="131" spans="1:17" x14ac:dyDescent="0.25">
      <c r="A131">
        <v>1313</v>
      </c>
      <c r="B131">
        <v>759</v>
      </c>
      <c r="C131" t="str">
        <f>_xlfn.XLOOKUP(tblOrders[[#This Row],[CustomerID]],tblCustomers[CustomerID],tblCustomers[CustomerName],"not found")</f>
        <v>Heather Horne</v>
      </c>
      <c r="D131">
        <f>_xlfn.XLOOKUP(tblOrders[[#This Row],[CustomerID]],tblCustomers[CustomerID],tblCustomers[Age],"not found")</f>
        <v>41</v>
      </c>
      <c r="E131" t="str">
        <f>_xlfn.XLOOKUP(tblOrders[[#This Row],[CustomerID]],tblCustomers[CustomerID],tblCustomers[Gender],"not found")</f>
        <v>Female</v>
      </c>
      <c r="F131" t="str">
        <f>_xlfn.XLOOKUP(tblOrders[[#This Row],[CustomerID]],tblCustomers[CustomerID],tblCustomers[Region],"not found")</f>
        <v>Central</v>
      </c>
      <c r="G131">
        <v>1050</v>
      </c>
      <c r="H131" t="str">
        <f>_xlfn.XLOOKUP(tblOrders[[#This Row],[ProductID]],tblProducts[ProductID],tblProducts[ProductName],"not found")</f>
        <v>House</v>
      </c>
      <c r="I131" t="str">
        <f>_xlfn.XLOOKUP(tblOrders[[#This Row],[ProductID]],tblProducts[ProductID],tblProducts[Category],"not found")</f>
        <v>Furniture</v>
      </c>
      <c r="J131">
        <f>_xlfn.XLOOKUP(tblOrders[[#This Row],[ProductID]],tblProducts[ProductID],tblProducts[UnitPrice],"not found")</f>
        <v>286.77</v>
      </c>
      <c r="K131" t="str">
        <f>_xlfn.XLOOKUP(tblOrders[[#This Row],[ProductID]],tblProducts[ProductID],tblProducts[Supplier],"not found")</f>
        <v>Sullivan-Williams</v>
      </c>
      <c r="L131" s="1" t="s">
        <v>2087</v>
      </c>
      <c r="M1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45100</v>
      </c>
      <c r="N131">
        <v>9</v>
      </c>
      <c r="O131">
        <v>2580.9299999999998</v>
      </c>
      <c r="P131">
        <f>tblOrders[[#This Row],[Quantity]]*tblOrders[[#This Row],[Unit Price]]</f>
        <v>2580.9299999999998</v>
      </c>
      <c r="Q131">
        <f>tblOrders[[#This Row],[TotalSales]]-tblOrders[[#This Row],[Calculated Sales]]</f>
        <v>0</v>
      </c>
    </row>
    <row r="132" spans="1:17" x14ac:dyDescent="0.25">
      <c r="A132">
        <v>1357</v>
      </c>
      <c r="B132">
        <v>572</v>
      </c>
      <c r="C132" t="str">
        <f>_xlfn.XLOOKUP(tblOrders[[#This Row],[CustomerID]],tblCustomers[CustomerID],tblCustomers[CustomerName],"not found")</f>
        <v>Christopher Rogers</v>
      </c>
      <c r="D132">
        <f>_xlfn.XLOOKUP(tblOrders[[#This Row],[CustomerID]],tblCustomers[CustomerID],tblCustomers[Age],"not found")</f>
        <v>53</v>
      </c>
      <c r="E132" t="str">
        <f>_xlfn.XLOOKUP(tblOrders[[#This Row],[CustomerID]],tblCustomers[CustomerID],tblCustomers[Gender],"not found")</f>
        <v>Female</v>
      </c>
      <c r="F132" t="str">
        <f>_xlfn.XLOOKUP(tblOrders[[#This Row],[CustomerID]],tblCustomers[CustomerID],tblCustomers[Region],"not found")</f>
        <v>East</v>
      </c>
      <c r="G132">
        <v>1050</v>
      </c>
      <c r="H132" t="str">
        <f>_xlfn.XLOOKUP(tblOrders[[#This Row],[ProductID]],tblProducts[ProductID],tblProducts[ProductName],"not found")</f>
        <v>House</v>
      </c>
      <c r="I132" t="str">
        <f>_xlfn.XLOOKUP(tblOrders[[#This Row],[ProductID]],tblProducts[ProductID],tblProducts[Category],"not found")</f>
        <v>Furniture</v>
      </c>
      <c r="J132">
        <f>_xlfn.XLOOKUP(tblOrders[[#This Row],[ProductID]],tblProducts[ProductID],tblProducts[UnitPrice],"not found")</f>
        <v>286.77</v>
      </c>
      <c r="K132" t="str">
        <f>_xlfn.XLOOKUP(tblOrders[[#This Row],[ProductID]],tblProducts[ProductID],tblProducts[Supplier],"not found")</f>
        <v>Sullivan-Williams</v>
      </c>
      <c r="L132" s="1" t="s">
        <v>2088</v>
      </c>
      <c r="M1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45492</v>
      </c>
      <c r="N132">
        <v>4</v>
      </c>
      <c r="O132">
        <v>1147.08</v>
      </c>
      <c r="P132">
        <f>tblOrders[[#This Row],[Quantity]]*tblOrders[[#This Row],[Unit Price]]</f>
        <v>1147.08</v>
      </c>
      <c r="Q132">
        <f>tblOrders[[#This Row],[TotalSales]]-tblOrders[[#This Row],[Calculated Sales]]</f>
        <v>0</v>
      </c>
    </row>
    <row r="133" spans="1:17" x14ac:dyDescent="0.25">
      <c r="A133">
        <v>1393</v>
      </c>
      <c r="B133">
        <v>390</v>
      </c>
      <c r="C133" t="str">
        <f>_xlfn.XLOOKUP(tblOrders[[#This Row],[CustomerID]],tblCustomers[CustomerID],tblCustomers[CustomerName],"not found")</f>
        <v>Kelly Smith</v>
      </c>
      <c r="D133">
        <f>_xlfn.XLOOKUP(tblOrders[[#This Row],[CustomerID]],tblCustomers[CustomerID],tblCustomers[Age],"not found")</f>
        <v>31</v>
      </c>
      <c r="E133" t="str">
        <f>_xlfn.XLOOKUP(tblOrders[[#This Row],[CustomerID]],tblCustomers[CustomerID],tblCustomers[Gender],"not found")</f>
        <v>Male</v>
      </c>
      <c r="F133" t="str">
        <f>_xlfn.XLOOKUP(tblOrders[[#This Row],[CustomerID]],tblCustomers[CustomerID],tblCustomers[Region],"not found")</f>
        <v>Central</v>
      </c>
      <c r="G133">
        <v>1050</v>
      </c>
      <c r="H133" t="str">
        <f>_xlfn.XLOOKUP(tblOrders[[#This Row],[ProductID]],tblProducts[ProductID],tblProducts[ProductName],"not found")</f>
        <v>House</v>
      </c>
      <c r="I133" t="str">
        <f>_xlfn.XLOOKUP(tblOrders[[#This Row],[ProductID]],tblProducts[ProductID],tblProducts[Category],"not found")</f>
        <v>Furniture</v>
      </c>
      <c r="J133">
        <f>_xlfn.XLOOKUP(tblOrders[[#This Row],[ProductID]],tblProducts[ProductID],tblProducts[UnitPrice],"not found")</f>
        <v>286.77</v>
      </c>
      <c r="K133" t="str">
        <f>_xlfn.XLOOKUP(tblOrders[[#This Row],[ProductID]],tblProducts[ProductID],tblProducts[Supplier],"not found")</f>
        <v>Sullivan-Williams</v>
      </c>
      <c r="L133" s="1">
        <v>45239</v>
      </c>
      <c r="M1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45239</v>
      </c>
      <c r="N133">
        <v>3</v>
      </c>
      <c r="O133">
        <v>860.31</v>
      </c>
      <c r="P133">
        <f>tblOrders[[#This Row],[Quantity]]*tblOrders[[#This Row],[Unit Price]]</f>
        <v>860.31</v>
      </c>
      <c r="Q133">
        <f>tblOrders[[#This Row],[TotalSales]]-tblOrders[[#This Row],[Calculated Sales]]</f>
        <v>0</v>
      </c>
    </row>
    <row r="134" spans="1:17" x14ac:dyDescent="0.25">
      <c r="A134">
        <v>1425</v>
      </c>
      <c r="B134">
        <v>489</v>
      </c>
      <c r="C134" t="str">
        <f>_xlfn.XLOOKUP(tblOrders[[#This Row],[CustomerID]],tblCustomers[CustomerID],tblCustomers[CustomerName],"not found")</f>
        <v>Amber Lopez</v>
      </c>
      <c r="D134">
        <f>_xlfn.XLOOKUP(tblOrders[[#This Row],[CustomerID]],tblCustomers[CustomerID],tblCustomers[Age],"not found")</f>
        <v>33</v>
      </c>
      <c r="E134" t="str">
        <f>_xlfn.XLOOKUP(tblOrders[[#This Row],[CustomerID]],tblCustomers[CustomerID],tblCustomers[Gender],"not found")</f>
        <v>Female</v>
      </c>
      <c r="F134" t="str">
        <f>_xlfn.XLOOKUP(tblOrders[[#This Row],[CustomerID]],tblCustomers[CustomerID],tblCustomers[Region],"not found")</f>
        <v>East</v>
      </c>
      <c r="G134">
        <v>1050</v>
      </c>
      <c r="H134" t="str">
        <f>_xlfn.XLOOKUP(tblOrders[[#This Row],[ProductID]],tblProducts[ProductID],tblProducts[ProductName],"not found")</f>
        <v>House</v>
      </c>
      <c r="I134" t="str">
        <f>_xlfn.XLOOKUP(tblOrders[[#This Row],[ProductID]],tblProducts[ProductID],tblProducts[Category],"not found")</f>
        <v>Furniture</v>
      </c>
      <c r="J134">
        <f>_xlfn.XLOOKUP(tblOrders[[#This Row],[ProductID]],tblProducts[ProductID],tblProducts[UnitPrice],"not found")</f>
        <v>286.77</v>
      </c>
      <c r="K134" t="str">
        <f>_xlfn.XLOOKUP(tblOrders[[#This Row],[ProductID]],tblProducts[ProductID],tblProducts[Supplier],"not found")</f>
        <v>Sullivan-Williams</v>
      </c>
      <c r="L134" s="1" t="s">
        <v>2089</v>
      </c>
      <c r="M1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45322</v>
      </c>
      <c r="N134">
        <v>2</v>
      </c>
      <c r="O134">
        <v>573.54</v>
      </c>
      <c r="P134">
        <f>tblOrders[[#This Row],[Quantity]]*tblOrders[[#This Row],[Unit Price]]</f>
        <v>573.54</v>
      </c>
      <c r="Q134">
        <f>tblOrders[[#This Row],[TotalSales]]-tblOrders[[#This Row],[Calculated Sales]]</f>
        <v>0</v>
      </c>
    </row>
    <row r="135" spans="1:17" x14ac:dyDescent="0.25">
      <c r="A135">
        <v>1511</v>
      </c>
      <c r="B135">
        <v>525</v>
      </c>
      <c r="C135" t="str">
        <f>_xlfn.XLOOKUP(tblOrders[[#This Row],[CustomerID]],tblCustomers[CustomerID],tblCustomers[CustomerName],"not found")</f>
        <v>Jacob Robertson Jr.</v>
      </c>
      <c r="D135">
        <f>_xlfn.XLOOKUP(tblOrders[[#This Row],[CustomerID]],tblCustomers[CustomerID],tblCustomers[Age],"not found")</f>
        <v>61</v>
      </c>
      <c r="E135" t="str">
        <f>_xlfn.XLOOKUP(tblOrders[[#This Row],[CustomerID]],tblCustomers[CustomerID],tblCustomers[Gender],"not found")</f>
        <v>Male</v>
      </c>
      <c r="F135" t="str">
        <f>_xlfn.XLOOKUP(tblOrders[[#This Row],[CustomerID]],tblCustomers[CustomerID],tblCustomers[Region],"not found")</f>
        <v>Central</v>
      </c>
      <c r="G135">
        <v>1050</v>
      </c>
      <c r="H135" t="str">
        <f>_xlfn.XLOOKUP(tblOrders[[#This Row],[ProductID]],tblProducts[ProductID],tblProducts[ProductName],"not found")</f>
        <v>House</v>
      </c>
      <c r="I135" t="str">
        <f>_xlfn.XLOOKUP(tblOrders[[#This Row],[ProductID]],tblProducts[ProductID],tblProducts[Category],"not found")</f>
        <v>Furniture</v>
      </c>
      <c r="J135">
        <f>_xlfn.XLOOKUP(tblOrders[[#This Row],[ProductID]],tblProducts[ProductID],tblProducts[UnitPrice],"not found")</f>
        <v>286.77</v>
      </c>
      <c r="K135" t="str">
        <f>_xlfn.XLOOKUP(tblOrders[[#This Row],[ProductID]],tblProducts[ProductID],tblProducts[Supplier],"not found")</f>
        <v>Sullivan-Williams</v>
      </c>
      <c r="L135" s="1" t="s">
        <v>2090</v>
      </c>
      <c r="M1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45432</v>
      </c>
      <c r="N135">
        <v>6</v>
      </c>
      <c r="O135">
        <v>1720.62</v>
      </c>
      <c r="P135">
        <f>tblOrders[[#This Row],[Quantity]]*tblOrders[[#This Row],[Unit Price]]</f>
        <v>1720.62</v>
      </c>
      <c r="Q135">
        <f>tblOrders[[#This Row],[TotalSales]]-tblOrders[[#This Row],[Calculated Sales]]</f>
        <v>0</v>
      </c>
    </row>
    <row r="136" spans="1:17" x14ac:dyDescent="0.25">
      <c r="A136">
        <v>1541</v>
      </c>
      <c r="B136">
        <v>624</v>
      </c>
      <c r="C136" t="str">
        <f>_xlfn.XLOOKUP(tblOrders[[#This Row],[CustomerID]],tblCustomers[CustomerID],tblCustomers[CustomerName],"not found")</f>
        <v>Richard Martinez</v>
      </c>
      <c r="D136">
        <f>_xlfn.XLOOKUP(tblOrders[[#This Row],[CustomerID]],tblCustomers[CustomerID],tblCustomers[Age],"not found")</f>
        <v>29</v>
      </c>
      <c r="E136" t="str">
        <f>_xlfn.XLOOKUP(tblOrders[[#This Row],[CustomerID]],tblCustomers[CustomerID],tblCustomers[Gender],"not found")</f>
        <v>Female</v>
      </c>
      <c r="F136" t="str">
        <f>_xlfn.XLOOKUP(tblOrders[[#This Row],[CustomerID]],tblCustomers[CustomerID],tblCustomers[Region],"not found")</f>
        <v>North</v>
      </c>
      <c r="G136">
        <v>1050</v>
      </c>
      <c r="H136" t="str">
        <f>_xlfn.XLOOKUP(tblOrders[[#This Row],[ProductID]],tblProducts[ProductID],tblProducts[ProductName],"not found")</f>
        <v>House</v>
      </c>
      <c r="I136" t="str">
        <f>_xlfn.XLOOKUP(tblOrders[[#This Row],[ProductID]],tblProducts[ProductID],tblProducts[Category],"not found")</f>
        <v>Furniture</v>
      </c>
      <c r="J136">
        <f>_xlfn.XLOOKUP(tblOrders[[#This Row],[ProductID]],tblProducts[ProductID],tblProducts[UnitPrice],"not found")</f>
        <v>286.77</v>
      </c>
      <c r="K136" t="str">
        <f>_xlfn.XLOOKUP(tblOrders[[#This Row],[ProductID]],tblProducts[ProductID],tblProducts[Supplier],"not found")</f>
        <v>Sullivan-Williams</v>
      </c>
      <c r="L136" s="1" t="s">
        <v>2091</v>
      </c>
      <c r="M1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45426</v>
      </c>
      <c r="N136">
        <v>2</v>
      </c>
      <c r="O136">
        <v>573.54</v>
      </c>
      <c r="P136">
        <f>tblOrders[[#This Row],[Quantity]]*tblOrders[[#This Row],[Unit Price]]</f>
        <v>573.54</v>
      </c>
      <c r="Q136">
        <f>tblOrders[[#This Row],[TotalSales]]-tblOrders[[#This Row],[Calculated Sales]]</f>
        <v>0</v>
      </c>
    </row>
    <row r="137" spans="1:17" x14ac:dyDescent="0.25">
      <c r="A137">
        <v>1608</v>
      </c>
      <c r="B137">
        <v>760</v>
      </c>
      <c r="C137" t="str">
        <f>_xlfn.XLOOKUP(tblOrders[[#This Row],[CustomerID]],tblCustomers[CustomerID],tblCustomers[CustomerName],"not found")</f>
        <v>Michael Jones</v>
      </c>
      <c r="D137">
        <f>_xlfn.XLOOKUP(tblOrders[[#This Row],[CustomerID]],tblCustomers[CustomerID],tblCustomers[Age],"not found")</f>
        <v>43</v>
      </c>
      <c r="E137" t="str">
        <f>_xlfn.XLOOKUP(tblOrders[[#This Row],[CustomerID]],tblCustomers[CustomerID],tblCustomers[Gender],"not found")</f>
        <v>Male</v>
      </c>
      <c r="F137" t="str">
        <f>_xlfn.XLOOKUP(tblOrders[[#This Row],[CustomerID]],tblCustomers[CustomerID],tblCustomers[Region],"not found")</f>
        <v>East</v>
      </c>
      <c r="G137">
        <v>1050</v>
      </c>
      <c r="H137" t="str">
        <f>_xlfn.XLOOKUP(tblOrders[[#This Row],[ProductID]],tblProducts[ProductID],tblProducts[ProductName],"not found")</f>
        <v>House</v>
      </c>
      <c r="I137" t="str">
        <f>_xlfn.XLOOKUP(tblOrders[[#This Row],[ProductID]],tblProducts[ProductID],tblProducts[Category],"not found")</f>
        <v>Furniture</v>
      </c>
      <c r="J137">
        <f>_xlfn.XLOOKUP(tblOrders[[#This Row],[ProductID]],tblProducts[ProductID],tblProducts[UnitPrice],"not found")</f>
        <v>286.77</v>
      </c>
      <c r="K137" t="str">
        <f>_xlfn.XLOOKUP(tblOrders[[#This Row],[ProductID]],tblProducts[ProductID],tblProducts[Supplier],"not found")</f>
        <v>Sullivan-Williams</v>
      </c>
      <c r="L137" s="1" t="s">
        <v>2092</v>
      </c>
      <c r="M1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45434</v>
      </c>
      <c r="N137">
        <v>7</v>
      </c>
      <c r="O137">
        <v>2007.39</v>
      </c>
      <c r="P137">
        <f>tblOrders[[#This Row],[Quantity]]*tblOrders[[#This Row],[Unit Price]]</f>
        <v>2007.3899999999999</v>
      </c>
      <c r="Q137">
        <f>tblOrders[[#This Row],[TotalSales]]-tblOrders[[#This Row],[Calculated Sales]]</f>
        <v>0</v>
      </c>
    </row>
    <row r="138" spans="1:17" x14ac:dyDescent="0.25">
      <c r="A138">
        <v>1672</v>
      </c>
      <c r="B138">
        <v>107</v>
      </c>
      <c r="C138" t="str">
        <f>_xlfn.XLOOKUP(tblOrders[[#This Row],[CustomerID]],tblCustomers[CustomerID],tblCustomers[CustomerName],"not found")</f>
        <v>Raymond Griffin</v>
      </c>
      <c r="D138">
        <f>_xlfn.XLOOKUP(tblOrders[[#This Row],[CustomerID]],tblCustomers[CustomerID],tblCustomers[Age],"not found")</f>
        <v>67</v>
      </c>
      <c r="E138" t="str">
        <f>_xlfn.XLOOKUP(tblOrders[[#This Row],[CustomerID]],tblCustomers[CustomerID],tblCustomers[Gender],"not found")</f>
        <v>Male</v>
      </c>
      <c r="F138" t="str">
        <f>_xlfn.XLOOKUP(tblOrders[[#This Row],[CustomerID]],tblCustomers[CustomerID],tblCustomers[Region],"not found")</f>
        <v>East</v>
      </c>
      <c r="G138">
        <v>1050</v>
      </c>
      <c r="H138" t="str">
        <f>_xlfn.XLOOKUP(tblOrders[[#This Row],[ProductID]],tblProducts[ProductID],tblProducts[ProductName],"not found")</f>
        <v>House</v>
      </c>
      <c r="I138" t="str">
        <f>_xlfn.XLOOKUP(tblOrders[[#This Row],[ProductID]],tblProducts[ProductID],tblProducts[Category],"not found")</f>
        <v>Furniture</v>
      </c>
      <c r="J138">
        <f>_xlfn.XLOOKUP(tblOrders[[#This Row],[ProductID]],tblProducts[ProductID],tblProducts[UnitPrice],"not found")</f>
        <v>286.77</v>
      </c>
      <c r="K138" t="str">
        <f>_xlfn.XLOOKUP(tblOrders[[#This Row],[ProductID]],tblProducts[ProductID],tblProducts[Supplier],"not found")</f>
        <v>Sullivan-Williams</v>
      </c>
      <c r="L138" s="1" t="s">
        <v>2093</v>
      </c>
      <c r="M1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45256</v>
      </c>
      <c r="N138">
        <v>7</v>
      </c>
      <c r="O138">
        <v>2007.39</v>
      </c>
      <c r="P138">
        <f>tblOrders[[#This Row],[Quantity]]*tblOrders[[#This Row],[Unit Price]]</f>
        <v>2007.3899999999999</v>
      </c>
      <c r="Q138">
        <f>tblOrders[[#This Row],[TotalSales]]-tblOrders[[#This Row],[Calculated Sales]]</f>
        <v>0</v>
      </c>
    </row>
    <row r="139" spans="1:17" x14ac:dyDescent="0.25">
      <c r="A139">
        <v>1726</v>
      </c>
      <c r="B139">
        <v>328</v>
      </c>
      <c r="C139" t="str">
        <f>_xlfn.XLOOKUP(tblOrders[[#This Row],[CustomerID]],tblCustomers[CustomerID],tblCustomers[CustomerName],"not found")</f>
        <v>Stephanie Norris</v>
      </c>
      <c r="D139">
        <f>_xlfn.XLOOKUP(tblOrders[[#This Row],[CustomerID]],tblCustomers[CustomerID],tblCustomers[Age],"not found")</f>
        <v>43</v>
      </c>
      <c r="E139" t="str">
        <f>_xlfn.XLOOKUP(tblOrders[[#This Row],[CustomerID]],tblCustomers[CustomerID],tblCustomers[Gender],"not found")</f>
        <v>Female</v>
      </c>
      <c r="F139" t="str">
        <f>_xlfn.XLOOKUP(tblOrders[[#This Row],[CustomerID]],tblCustomers[CustomerID],tblCustomers[Region],"not found")</f>
        <v>West</v>
      </c>
      <c r="G139">
        <v>1050</v>
      </c>
      <c r="H139" t="str">
        <f>_xlfn.XLOOKUP(tblOrders[[#This Row],[ProductID]],tblProducts[ProductID],tblProducts[ProductName],"not found")</f>
        <v>House</v>
      </c>
      <c r="I139" t="str">
        <f>_xlfn.XLOOKUP(tblOrders[[#This Row],[ProductID]],tblProducts[ProductID],tblProducts[Category],"not found")</f>
        <v>Furniture</v>
      </c>
      <c r="J139">
        <f>_xlfn.XLOOKUP(tblOrders[[#This Row],[ProductID]],tblProducts[ProductID],tblProducts[UnitPrice],"not found")</f>
        <v>286.77</v>
      </c>
      <c r="K139" t="str">
        <f>_xlfn.XLOOKUP(tblOrders[[#This Row],[ProductID]],tblProducts[ProductID],tblProducts[Supplier],"not found")</f>
        <v>Sullivan-Williams</v>
      </c>
      <c r="L139" s="1">
        <v>44989</v>
      </c>
      <c r="M1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44989</v>
      </c>
      <c r="N139">
        <v>1</v>
      </c>
      <c r="O139">
        <v>286.77</v>
      </c>
      <c r="P139">
        <f>tblOrders[[#This Row],[Quantity]]*tblOrders[[#This Row],[Unit Price]]</f>
        <v>286.77</v>
      </c>
      <c r="Q139">
        <f>tblOrders[[#This Row],[TotalSales]]-tblOrders[[#This Row],[Calculated Sales]]</f>
        <v>0</v>
      </c>
    </row>
    <row r="140" spans="1:17" x14ac:dyDescent="0.25">
      <c r="A140">
        <v>1754</v>
      </c>
      <c r="B140">
        <v>432</v>
      </c>
      <c r="C140" t="str">
        <f>_xlfn.XLOOKUP(tblOrders[[#This Row],[CustomerID]],tblCustomers[CustomerID],tblCustomers[CustomerName],"not found")</f>
        <v>Christian Martin</v>
      </c>
      <c r="D140">
        <f>_xlfn.XLOOKUP(tblOrders[[#This Row],[CustomerID]],tblCustomers[CustomerID],tblCustomers[Age],"not found")</f>
        <v>28</v>
      </c>
      <c r="E140" t="str">
        <f>_xlfn.XLOOKUP(tblOrders[[#This Row],[CustomerID]],tblCustomers[CustomerID],tblCustomers[Gender],"not found")</f>
        <v>Female</v>
      </c>
      <c r="F140" t="str">
        <f>_xlfn.XLOOKUP(tblOrders[[#This Row],[CustomerID]],tblCustomers[CustomerID],tblCustomers[Region],"not found")</f>
        <v>East</v>
      </c>
      <c r="G140">
        <v>1050</v>
      </c>
      <c r="H140" t="str">
        <f>_xlfn.XLOOKUP(tblOrders[[#This Row],[ProductID]],tblProducts[ProductID],tblProducts[ProductName],"not found")</f>
        <v>House</v>
      </c>
      <c r="I140" t="str">
        <f>_xlfn.XLOOKUP(tblOrders[[#This Row],[ProductID]],tblProducts[ProductID],tblProducts[Category],"not found")</f>
        <v>Furniture</v>
      </c>
      <c r="J140">
        <f>_xlfn.XLOOKUP(tblOrders[[#This Row],[ProductID]],tblProducts[ProductID],tblProducts[UnitPrice],"not found")</f>
        <v>286.77</v>
      </c>
      <c r="K140" t="str">
        <f>_xlfn.XLOOKUP(tblOrders[[#This Row],[ProductID]],tblProducts[ProductID],tblProducts[Supplier],"not found")</f>
        <v>Sullivan-Williams</v>
      </c>
      <c r="L140" s="1" t="s">
        <v>2094</v>
      </c>
      <c r="M1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45214</v>
      </c>
      <c r="N140">
        <v>3</v>
      </c>
      <c r="O140">
        <v>860.31</v>
      </c>
      <c r="P140">
        <f>tblOrders[[#This Row],[Quantity]]*tblOrders[[#This Row],[Unit Price]]</f>
        <v>860.31</v>
      </c>
      <c r="Q140">
        <f>tblOrders[[#This Row],[TotalSales]]-tblOrders[[#This Row],[Calculated Sales]]</f>
        <v>0</v>
      </c>
    </row>
    <row r="141" spans="1:17" x14ac:dyDescent="0.25">
      <c r="A141">
        <v>1776</v>
      </c>
      <c r="B141">
        <v>94</v>
      </c>
      <c r="C141" t="str">
        <f>_xlfn.XLOOKUP(tblOrders[[#This Row],[CustomerID]],tblCustomers[CustomerID],tblCustomers[CustomerName],"not found")</f>
        <v>Michael Tran</v>
      </c>
      <c r="D141">
        <f>_xlfn.XLOOKUP(tblOrders[[#This Row],[CustomerID]],tblCustomers[CustomerID],tblCustomers[Age],"not found")</f>
        <v>52</v>
      </c>
      <c r="E141" t="str">
        <f>_xlfn.XLOOKUP(tblOrders[[#This Row],[CustomerID]],tblCustomers[CustomerID],tblCustomers[Gender],"not found")</f>
        <v>Female</v>
      </c>
      <c r="F141" t="str">
        <f>_xlfn.XLOOKUP(tblOrders[[#This Row],[CustomerID]],tblCustomers[CustomerID],tblCustomers[Region],"not found")</f>
        <v>West</v>
      </c>
      <c r="G141">
        <v>1050</v>
      </c>
      <c r="H141" t="str">
        <f>_xlfn.XLOOKUP(tblOrders[[#This Row],[ProductID]],tblProducts[ProductID],tblProducts[ProductName],"not found")</f>
        <v>House</v>
      </c>
      <c r="I141" t="str">
        <f>_xlfn.XLOOKUP(tblOrders[[#This Row],[ProductID]],tblProducts[ProductID],tblProducts[Category],"not found")</f>
        <v>Furniture</v>
      </c>
      <c r="J141">
        <f>_xlfn.XLOOKUP(tblOrders[[#This Row],[ProductID]],tblProducts[ProductID],tblProducts[UnitPrice],"not found")</f>
        <v>286.77</v>
      </c>
      <c r="K141" t="str">
        <f>_xlfn.XLOOKUP(tblOrders[[#This Row],[ProductID]],tblProducts[ProductID],tblProducts[Supplier],"not found")</f>
        <v>Sullivan-Williams</v>
      </c>
      <c r="L141" s="1">
        <v>45477</v>
      </c>
      <c r="M1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45477</v>
      </c>
      <c r="N141">
        <v>9</v>
      </c>
      <c r="O141">
        <v>2580.9299999999998</v>
      </c>
      <c r="P141">
        <f>tblOrders[[#This Row],[Quantity]]*tblOrders[[#This Row],[Unit Price]]</f>
        <v>2580.9299999999998</v>
      </c>
      <c r="Q141">
        <f>tblOrders[[#This Row],[TotalSales]]-tblOrders[[#This Row],[Calculated Sales]]</f>
        <v>0</v>
      </c>
    </row>
    <row r="142" spans="1:17" x14ac:dyDescent="0.25">
      <c r="A142">
        <v>1849</v>
      </c>
      <c r="B142">
        <v>293</v>
      </c>
      <c r="C142" t="str">
        <f>_xlfn.XLOOKUP(tblOrders[[#This Row],[CustomerID]],tblCustomers[CustomerID],tblCustomers[CustomerName],"not found")</f>
        <v>Amanda Gardner</v>
      </c>
      <c r="D142">
        <f>_xlfn.XLOOKUP(tblOrders[[#This Row],[CustomerID]],tblCustomers[CustomerID],tblCustomers[Age],"not found")</f>
        <v>44</v>
      </c>
      <c r="E142" t="str">
        <f>_xlfn.XLOOKUP(tblOrders[[#This Row],[CustomerID]],tblCustomers[CustomerID],tblCustomers[Gender],"not found")</f>
        <v>Female</v>
      </c>
      <c r="F142" t="str">
        <f>_xlfn.XLOOKUP(tblOrders[[#This Row],[CustomerID]],tblCustomers[CustomerID],tblCustomers[Region],"not found")</f>
        <v>Central</v>
      </c>
      <c r="G142">
        <v>1050</v>
      </c>
      <c r="H142" t="str">
        <f>_xlfn.XLOOKUP(tblOrders[[#This Row],[ProductID]],tblProducts[ProductID],tblProducts[ProductName],"not found")</f>
        <v>House</v>
      </c>
      <c r="I142" t="str">
        <f>_xlfn.XLOOKUP(tblOrders[[#This Row],[ProductID]],tblProducts[ProductID],tblProducts[Category],"not found")</f>
        <v>Furniture</v>
      </c>
      <c r="J142">
        <f>_xlfn.XLOOKUP(tblOrders[[#This Row],[ProductID]],tblProducts[ProductID],tblProducts[UnitPrice],"not found")</f>
        <v>286.77</v>
      </c>
      <c r="K142" t="str">
        <f>_xlfn.XLOOKUP(tblOrders[[#This Row],[ProductID]],tblProducts[ProductID],tblProducts[Supplier],"not found")</f>
        <v>Sullivan-Williams</v>
      </c>
      <c r="L142" s="1">
        <v>45181</v>
      </c>
      <c r="M1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45181</v>
      </c>
      <c r="N142">
        <v>7</v>
      </c>
      <c r="O142">
        <v>2007.39</v>
      </c>
      <c r="P142">
        <f>tblOrders[[#This Row],[Quantity]]*tblOrders[[#This Row],[Unit Price]]</f>
        <v>2007.3899999999999</v>
      </c>
      <c r="Q142">
        <f>tblOrders[[#This Row],[TotalSales]]-tblOrders[[#This Row],[Calculated Sales]]</f>
        <v>0</v>
      </c>
    </row>
    <row r="143" spans="1:17" x14ac:dyDescent="0.25">
      <c r="A143">
        <v>1927</v>
      </c>
      <c r="B143">
        <v>498</v>
      </c>
      <c r="C143" t="str">
        <f>_xlfn.XLOOKUP(tblOrders[[#This Row],[CustomerID]],tblCustomers[CustomerID],tblCustomers[CustomerName],"not found")</f>
        <v>Shelby Marshall</v>
      </c>
      <c r="D143">
        <f>_xlfn.XLOOKUP(tblOrders[[#This Row],[CustomerID]],tblCustomers[CustomerID],tblCustomers[Age],"not found")</f>
        <v>61</v>
      </c>
      <c r="E143" t="str">
        <f>_xlfn.XLOOKUP(tblOrders[[#This Row],[CustomerID]],tblCustomers[CustomerID],tblCustomers[Gender],"not found")</f>
        <v>Male</v>
      </c>
      <c r="F143" t="str">
        <f>_xlfn.XLOOKUP(tblOrders[[#This Row],[CustomerID]],tblCustomers[CustomerID],tblCustomers[Region],"not found")</f>
        <v>South</v>
      </c>
      <c r="G143">
        <v>1050</v>
      </c>
      <c r="H143" t="str">
        <f>_xlfn.XLOOKUP(tblOrders[[#This Row],[ProductID]],tblProducts[ProductID],tblProducts[ProductName],"not found")</f>
        <v>House</v>
      </c>
      <c r="I143" t="str">
        <f>_xlfn.XLOOKUP(tblOrders[[#This Row],[ProductID]],tblProducts[ProductID],tblProducts[Category],"not found")</f>
        <v>Furniture</v>
      </c>
      <c r="J143">
        <f>_xlfn.XLOOKUP(tblOrders[[#This Row],[ProductID]],tblProducts[ProductID],tblProducts[UnitPrice],"not found")</f>
        <v>286.77</v>
      </c>
      <c r="K143" t="str">
        <f>_xlfn.XLOOKUP(tblOrders[[#This Row],[ProductID]],tblProducts[ProductID],tblProducts[Supplier],"not found")</f>
        <v>Sullivan-Williams</v>
      </c>
      <c r="L143" s="1">
        <v>45050</v>
      </c>
      <c r="M1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45050</v>
      </c>
      <c r="N143">
        <v>5</v>
      </c>
      <c r="O143">
        <v>1433.85</v>
      </c>
      <c r="P143">
        <f>tblOrders[[#This Row],[Quantity]]*tblOrders[[#This Row],[Unit Price]]</f>
        <v>1433.85</v>
      </c>
      <c r="Q143">
        <f>tblOrders[[#This Row],[TotalSales]]-tblOrders[[#This Row],[Calculated Sales]]</f>
        <v>0</v>
      </c>
    </row>
    <row r="144" spans="1:17" x14ac:dyDescent="0.25">
      <c r="A144">
        <v>1967</v>
      </c>
      <c r="B144">
        <v>681</v>
      </c>
      <c r="C144" t="str">
        <f>_xlfn.XLOOKUP(tblOrders[[#This Row],[CustomerID]],tblCustomers[CustomerID],tblCustomers[CustomerName],"not found")</f>
        <v>Robert Brown</v>
      </c>
      <c r="D144">
        <f>_xlfn.XLOOKUP(tblOrders[[#This Row],[CustomerID]],tblCustomers[CustomerID],tblCustomers[Age],"not found")</f>
        <v>22</v>
      </c>
      <c r="E144" t="str">
        <f>_xlfn.XLOOKUP(tblOrders[[#This Row],[CustomerID]],tblCustomers[CustomerID],tblCustomers[Gender],"not found")</f>
        <v>Female</v>
      </c>
      <c r="F144" t="str">
        <f>_xlfn.XLOOKUP(tblOrders[[#This Row],[CustomerID]],tblCustomers[CustomerID],tblCustomers[Region],"not found")</f>
        <v>East</v>
      </c>
      <c r="G144">
        <v>1050</v>
      </c>
      <c r="H144" t="str">
        <f>_xlfn.XLOOKUP(tblOrders[[#This Row],[ProductID]],tblProducts[ProductID],tblProducts[ProductName],"not found")</f>
        <v>House</v>
      </c>
      <c r="I144" t="str">
        <f>_xlfn.XLOOKUP(tblOrders[[#This Row],[ProductID]],tblProducts[ProductID],tblProducts[Category],"not found")</f>
        <v>Furniture</v>
      </c>
      <c r="J144">
        <f>_xlfn.XLOOKUP(tblOrders[[#This Row],[ProductID]],tblProducts[ProductID],tblProducts[UnitPrice],"not found")</f>
        <v>286.77</v>
      </c>
      <c r="K144" t="str">
        <f>_xlfn.XLOOKUP(tblOrders[[#This Row],[ProductID]],tblProducts[ProductID],tblProducts[Supplier],"not found")</f>
        <v>Sullivan-Williams</v>
      </c>
      <c r="L144" s="1" t="s">
        <v>2095</v>
      </c>
      <c r="M1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45217</v>
      </c>
      <c r="N144">
        <v>5</v>
      </c>
      <c r="O144">
        <v>1433.85</v>
      </c>
      <c r="P144">
        <f>tblOrders[[#This Row],[Quantity]]*tblOrders[[#This Row],[Unit Price]]</f>
        <v>1433.85</v>
      </c>
      <c r="Q144">
        <f>tblOrders[[#This Row],[TotalSales]]-tblOrders[[#This Row],[Calculated Sales]]</f>
        <v>0</v>
      </c>
    </row>
    <row r="145" spans="1:17" x14ac:dyDescent="0.25">
      <c r="A145">
        <v>8</v>
      </c>
      <c r="B145">
        <v>238</v>
      </c>
      <c r="C145" t="str">
        <f>_xlfn.XLOOKUP(tblOrders[[#This Row],[CustomerID]],tblCustomers[CustomerID],tblCustomers[CustomerName],"not found")</f>
        <v>Michael Banks</v>
      </c>
      <c r="D145">
        <f>_xlfn.XLOOKUP(tblOrders[[#This Row],[CustomerID]],tblCustomers[CustomerID],tblCustomers[Age],"not found")</f>
        <v>23</v>
      </c>
      <c r="E145" t="str">
        <f>_xlfn.XLOOKUP(tblOrders[[#This Row],[CustomerID]],tblCustomers[CustomerID],tblCustomers[Gender],"not found")</f>
        <v>Male</v>
      </c>
      <c r="F145" t="str">
        <f>_xlfn.XLOOKUP(tblOrders[[#This Row],[CustomerID]],tblCustomers[CustomerID],tblCustomers[Region],"not found")</f>
        <v>West</v>
      </c>
      <c r="G145">
        <v>1032</v>
      </c>
      <c r="H145" t="str">
        <f>_xlfn.XLOOKUP(tblOrders[[#This Row],[ProductID]],tblProducts[ProductID],tblProducts[ProductName],"not found")</f>
        <v>Free</v>
      </c>
      <c r="I145" t="str">
        <f>_xlfn.XLOOKUP(tblOrders[[#This Row],[ProductID]],tblProducts[ProductID],tblProducts[Category],"not found")</f>
        <v>Beauty</v>
      </c>
      <c r="J145">
        <f>_xlfn.XLOOKUP(tblOrders[[#This Row],[ProductID]],tblProducts[ProductID],tblProducts[UnitPrice],"not found")</f>
        <v>366.37</v>
      </c>
      <c r="K145" t="str">
        <f>_xlfn.XLOOKUP(tblOrders[[#This Row],[ProductID]],tblProducts[ProductID],tblProducts[Supplier],"not found")</f>
        <v>Cook-Fox</v>
      </c>
      <c r="L145" s="1" t="s">
        <v>2090</v>
      </c>
      <c r="M1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45432</v>
      </c>
      <c r="N145">
        <v>3</v>
      </c>
      <c r="O145">
        <v>1099.1099999999999</v>
      </c>
      <c r="P145">
        <f>tblOrders[[#This Row],[Quantity]]*tblOrders[[#This Row],[Unit Price]]</f>
        <v>1099.1100000000001</v>
      </c>
      <c r="Q145">
        <f>tblOrders[[#This Row],[TotalSales]]-tblOrders[[#This Row],[Calculated Sales]]</f>
        <v>0</v>
      </c>
    </row>
    <row r="146" spans="1:17" x14ac:dyDescent="0.25">
      <c r="A146">
        <v>112</v>
      </c>
      <c r="B146">
        <v>796</v>
      </c>
      <c r="C146" t="str">
        <f>_xlfn.XLOOKUP(tblOrders[[#This Row],[CustomerID]],tblCustomers[CustomerID],tblCustomers[CustomerName],"not found")</f>
        <v>Jason Jenkins</v>
      </c>
      <c r="D146">
        <f>_xlfn.XLOOKUP(tblOrders[[#This Row],[CustomerID]],tblCustomers[CustomerID],tblCustomers[Age],"not found")</f>
        <v>44</v>
      </c>
      <c r="E146" t="str">
        <f>_xlfn.XLOOKUP(tblOrders[[#This Row],[CustomerID]],tblCustomers[CustomerID],tblCustomers[Gender],"not found")</f>
        <v>Female</v>
      </c>
      <c r="F146" t="str">
        <f>_xlfn.XLOOKUP(tblOrders[[#This Row],[CustomerID]],tblCustomers[CustomerID],tblCustomers[Region],"not found")</f>
        <v>West</v>
      </c>
      <c r="G146">
        <v>1032</v>
      </c>
      <c r="H146" t="str">
        <f>_xlfn.XLOOKUP(tblOrders[[#This Row],[ProductID]],tblProducts[ProductID],tblProducts[ProductName],"not found")</f>
        <v>Free</v>
      </c>
      <c r="I146" t="str">
        <f>_xlfn.XLOOKUP(tblOrders[[#This Row],[ProductID]],tblProducts[ProductID],tblProducts[Category],"not found")</f>
        <v>Beauty</v>
      </c>
      <c r="J146">
        <f>_xlfn.XLOOKUP(tblOrders[[#This Row],[ProductID]],tblProducts[ProductID],tblProducts[UnitPrice],"not found")</f>
        <v>366.37</v>
      </c>
      <c r="K146" t="str">
        <f>_xlfn.XLOOKUP(tblOrders[[#This Row],[ProductID]],tblProducts[ProductID],tblProducts[Supplier],"not found")</f>
        <v>Cook-Fox</v>
      </c>
      <c r="L146" s="1">
        <v>45506</v>
      </c>
      <c r="M1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45506</v>
      </c>
      <c r="N146">
        <v>3</v>
      </c>
      <c r="O146">
        <v>1099.1099999999999</v>
      </c>
      <c r="P146">
        <f>tblOrders[[#This Row],[Quantity]]*tblOrders[[#This Row],[Unit Price]]</f>
        <v>1099.1100000000001</v>
      </c>
      <c r="Q146">
        <f>tblOrders[[#This Row],[TotalSales]]-tblOrders[[#This Row],[Calculated Sales]]</f>
        <v>0</v>
      </c>
    </row>
    <row r="147" spans="1:17" x14ac:dyDescent="0.25">
      <c r="A147">
        <v>176</v>
      </c>
      <c r="B147">
        <v>371</v>
      </c>
      <c r="C147" t="str">
        <f>_xlfn.XLOOKUP(tblOrders[[#This Row],[CustomerID]],tblCustomers[CustomerID],tblCustomers[CustomerName],"not found")</f>
        <v>Jennifer Cole</v>
      </c>
      <c r="D147">
        <f>_xlfn.XLOOKUP(tblOrders[[#This Row],[CustomerID]],tblCustomers[CustomerID],tblCustomers[Age],"not found")</f>
        <v>49</v>
      </c>
      <c r="E147" t="str">
        <f>_xlfn.XLOOKUP(tblOrders[[#This Row],[CustomerID]],tblCustomers[CustomerID],tblCustomers[Gender],"not found")</f>
        <v>Male</v>
      </c>
      <c r="F147" t="str">
        <f>_xlfn.XLOOKUP(tblOrders[[#This Row],[CustomerID]],tblCustomers[CustomerID],tblCustomers[Region],"not found")</f>
        <v>North</v>
      </c>
      <c r="G147">
        <v>1032</v>
      </c>
      <c r="H147" t="str">
        <f>_xlfn.XLOOKUP(tblOrders[[#This Row],[ProductID]],tblProducts[ProductID],tblProducts[ProductName],"not found")</f>
        <v>Free</v>
      </c>
      <c r="I147" t="str">
        <f>_xlfn.XLOOKUP(tblOrders[[#This Row],[ProductID]],tblProducts[ProductID],tblProducts[Category],"not found")</f>
        <v>Beauty</v>
      </c>
      <c r="J147">
        <f>_xlfn.XLOOKUP(tblOrders[[#This Row],[ProductID]],tblProducts[ProductID],tblProducts[UnitPrice],"not found")</f>
        <v>366.37</v>
      </c>
      <c r="K147" t="str">
        <f>_xlfn.XLOOKUP(tblOrders[[#This Row],[ProductID]],tblProducts[ProductID],tblProducts[Supplier],"not found")</f>
        <v>Cook-Fox</v>
      </c>
      <c r="L147" s="1">
        <v>45448</v>
      </c>
      <c r="M1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45448</v>
      </c>
      <c r="N147">
        <v>5</v>
      </c>
      <c r="O147">
        <v>1831.85</v>
      </c>
      <c r="P147">
        <f>tblOrders[[#This Row],[Quantity]]*tblOrders[[#This Row],[Unit Price]]</f>
        <v>1831.85</v>
      </c>
      <c r="Q147">
        <f>tblOrders[[#This Row],[TotalSales]]-tblOrders[[#This Row],[Calculated Sales]]</f>
        <v>0</v>
      </c>
    </row>
    <row r="148" spans="1:17" x14ac:dyDescent="0.25">
      <c r="A148">
        <v>541</v>
      </c>
      <c r="B148">
        <v>485</v>
      </c>
      <c r="C148" t="str">
        <f>_xlfn.XLOOKUP(tblOrders[[#This Row],[CustomerID]],tblCustomers[CustomerID],tblCustomers[CustomerName],"not found")</f>
        <v>Christina Stewart</v>
      </c>
      <c r="D148">
        <f>_xlfn.XLOOKUP(tblOrders[[#This Row],[CustomerID]],tblCustomers[CustomerID],tblCustomers[Age],"not found")</f>
        <v>51</v>
      </c>
      <c r="E148" t="str">
        <f>_xlfn.XLOOKUP(tblOrders[[#This Row],[CustomerID]],tblCustomers[CustomerID],tblCustomers[Gender],"not found")</f>
        <v>Female</v>
      </c>
      <c r="F148" t="str">
        <f>_xlfn.XLOOKUP(tblOrders[[#This Row],[CustomerID]],tblCustomers[CustomerID],tblCustomers[Region],"not found")</f>
        <v>Central</v>
      </c>
      <c r="G148">
        <v>1032</v>
      </c>
      <c r="H148" t="str">
        <f>_xlfn.XLOOKUP(tblOrders[[#This Row],[ProductID]],tblProducts[ProductID],tblProducts[ProductName],"not found")</f>
        <v>Free</v>
      </c>
      <c r="I148" t="str">
        <f>_xlfn.XLOOKUP(tblOrders[[#This Row],[ProductID]],tblProducts[ProductID],tblProducts[Category],"not found")</f>
        <v>Beauty</v>
      </c>
      <c r="J148">
        <f>_xlfn.XLOOKUP(tblOrders[[#This Row],[ProductID]],tblProducts[ProductID],tblProducts[UnitPrice],"not found")</f>
        <v>366.37</v>
      </c>
      <c r="K148" t="str">
        <f>_xlfn.XLOOKUP(tblOrders[[#This Row],[ProductID]],tblProducts[ProductID],tblProducts[Supplier],"not found")</f>
        <v>Cook-Fox</v>
      </c>
      <c r="L148" s="1" t="s">
        <v>2091</v>
      </c>
      <c r="M1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45426</v>
      </c>
      <c r="N148">
        <v>5</v>
      </c>
      <c r="O148">
        <v>1831.85</v>
      </c>
      <c r="P148">
        <f>tblOrders[[#This Row],[Quantity]]*tblOrders[[#This Row],[Unit Price]]</f>
        <v>1831.85</v>
      </c>
      <c r="Q148">
        <f>tblOrders[[#This Row],[TotalSales]]-tblOrders[[#This Row],[Calculated Sales]]</f>
        <v>0</v>
      </c>
    </row>
    <row r="149" spans="1:17" x14ac:dyDescent="0.25">
      <c r="A149">
        <v>577</v>
      </c>
      <c r="B149">
        <v>997</v>
      </c>
      <c r="C149" t="str">
        <f>_xlfn.XLOOKUP(tblOrders[[#This Row],[CustomerID]],tblCustomers[CustomerID],tblCustomers[CustomerName],"not found")</f>
        <v>Alison Ward</v>
      </c>
      <c r="D149">
        <f>_xlfn.XLOOKUP(tblOrders[[#This Row],[CustomerID]],tblCustomers[CustomerID],tblCustomers[Age],"not found")</f>
        <v>41</v>
      </c>
      <c r="E149" t="str">
        <f>_xlfn.XLOOKUP(tblOrders[[#This Row],[CustomerID]],tblCustomers[CustomerID],tblCustomers[Gender],"not found")</f>
        <v>Male</v>
      </c>
      <c r="F149" t="str">
        <f>_xlfn.XLOOKUP(tblOrders[[#This Row],[CustomerID]],tblCustomers[CustomerID],tblCustomers[Region],"not found")</f>
        <v>South</v>
      </c>
      <c r="G149">
        <v>1032</v>
      </c>
      <c r="H149" t="str">
        <f>_xlfn.XLOOKUP(tblOrders[[#This Row],[ProductID]],tblProducts[ProductID],tblProducts[ProductName],"not found")</f>
        <v>Free</v>
      </c>
      <c r="I149" t="str">
        <f>_xlfn.XLOOKUP(tblOrders[[#This Row],[ProductID]],tblProducts[ProductID],tblProducts[Category],"not found")</f>
        <v>Beauty</v>
      </c>
      <c r="J149">
        <f>_xlfn.XLOOKUP(tblOrders[[#This Row],[ProductID]],tblProducts[ProductID],tblProducts[UnitPrice],"not found")</f>
        <v>366.37</v>
      </c>
      <c r="K149" t="str">
        <f>_xlfn.XLOOKUP(tblOrders[[#This Row],[ProductID]],tblProducts[ProductID],tblProducts[Supplier],"not found")</f>
        <v>Cook-Fox</v>
      </c>
      <c r="L149" s="1" t="s">
        <v>2047</v>
      </c>
      <c r="M1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44948</v>
      </c>
      <c r="N149">
        <v>7</v>
      </c>
      <c r="O149">
        <v>2564.59</v>
      </c>
      <c r="P149">
        <f>tblOrders[[#This Row],[Quantity]]*tblOrders[[#This Row],[Unit Price]]</f>
        <v>2564.59</v>
      </c>
      <c r="Q149">
        <f>tblOrders[[#This Row],[TotalSales]]-tblOrders[[#This Row],[Calculated Sales]]</f>
        <v>0</v>
      </c>
    </row>
    <row r="150" spans="1:17" x14ac:dyDescent="0.25">
      <c r="A150">
        <v>615</v>
      </c>
      <c r="B150">
        <v>162</v>
      </c>
      <c r="C150" t="str">
        <f>_xlfn.XLOOKUP(tblOrders[[#This Row],[CustomerID]],tblCustomers[CustomerID],tblCustomers[CustomerName],"not found")</f>
        <v>Melanie Pollard</v>
      </c>
      <c r="D150">
        <f>_xlfn.XLOOKUP(tblOrders[[#This Row],[CustomerID]],tblCustomers[CustomerID],tblCustomers[Age],"not found")</f>
        <v>59</v>
      </c>
      <c r="E150" t="str">
        <f>_xlfn.XLOOKUP(tblOrders[[#This Row],[CustomerID]],tblCustomers[CustomerID],tblCustomers[Gender],"not found")</f>
        <v>Male</v>
      </c>
      <c r="F150" t="str">
        <f>_xlfn.XLOOKUP(tblOrders[[#This Row],[CustomerID]],tblCustomers[CustomerID],tblCustomers[Region],"not found")</f>
        <v>West</v>
      </c>
      <c r="G150">
        <v>1032</v>
      </c>
      <c r="H150" t="str">
        <f>_xlfn.XLOOKUP(tblOrders[[#This Row],[ProductID]],tblProducts[ProductID],tblProducts[ProductName],"not found")</f>
        <v>Free</v>
      </c>
      <c r="I150" t="str">
        <f>_xlfn.XLOOKUP(tblOrders[[#This Row],[ProductID]],tblProducts[ProductID],tblProducts[Category],"not found")</f>
        <v>Beauty</v>
      </c>
      <c r="J150">
        <f>_xlfn.XLOOKUP(tblOrders[[#This Row],[ProductID]],tblProducts[ProductID],tblProducts[UnitPrice],"not found")</f>
        <v>366.37</v>
      </c>
      <c r="K150" t="str">
        <f>_xlfn.XLOOKUP(tblOrders[[#This Row],[ProductID]],tblProducts[ProductID],tblProducts[Supplier],"not found")</f>
        <v>Cook-Fox</v>
      </c>
      <c r="L150" s="1" t="s">
        <v>2096</v>
      </c>
      <c r="M1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45309</v>
      </c>
      <c r="N150">
        <v>2</v>
      </c>
      <c r="O150">
        <v>732.74</v>
      </c>
      <c r="P150">
        <f>tblOrders[[#This Row],[Quantity]]*tblOrders[[#This Row],[Unit Price]]</f>
        <v>732.74</v>
      </c>
      <c r="Q150">
        <f>tblOrders[[#This Row],[TotalSales]]-tblOrders[[#This Row],[Calculated Sales]]</f>
        <v>0</v>
      </c>
    </row>
    <row r="151" spans="1:17" x14ac:dyDescent="0.25">
      <c r="A151">
        <v>684</v>
      </c>
      <c r="B151">
        <v>638</v>
      </c>
      <c r="C151" t="str">
        <f>_xlfn.XLOOKUP(tblOrders[[#This Row],[CustomerID]],tblCustomers[CustomerID],tblCustomers[CustomerName],"not found")</f>
        <v>Donna Foster</v>
      </c>
      <c r="D151">
        <f>_xlfn.XLOOKUP(tblOrders[[#This Row],[CustomerID]],tblCustomers[CustomerID],tblCustomers[Age],"not found")</f>
        <v>62</v>
      </c>
      <c r="E151" t="str">
        <f>_xlfn.XLOOKUP(tblOrders[[#This Row],[CustomerID]],tblCustomers[CustomerID],tblCustomers[Gender],"not found")</f>
        <v>Female</v>
      </c>
      <c r="F151" t="str">
        <f>_xlfn.XLOOKUP(tblOrders[[#This Row],[CustomerID]],tblCustomers[CustomerID],tblCustomers[Region],"not found")</f>
        <v>East</v>
      </c>
      <c r="G151">
        <v>1032</v>
      </c>
      <c r="H151" t="str">
        <f>_xlfn.XLOOKUP(tblOrders[[#This Row],[ProductID]],tblProducts[ProductID],tblProducts[ProductName],"not found")</f>
        <v>Free</v>
      </c>
      <c r="I151" t="str">
        <f>_xlfn.XLOOKUP(tblOrders[[#This Row],[ProductID]],tblProducts[ProductID],tblProducts[Category],"not found")</f>
        <v>Beauty</v>
      </c>
      <c r="J151">
        <f>_xlfn.XLOOKUP(tblOrders[[#This Row],[ProductID]],tblProducts[ProductID],tblProducts[UnitPrice],"not found")</f>
        <v>366.37</v>
      </c>
      <c r="K151" t="str">
        <f>_xlfn.XLOOKUP(tblOrders[[#This Row],[ProductID]],tblProducts[ProductID],tblProducts[Supplier],"not found")</f>
        <v>Cook-Fox</v>
      </c>
      <c r="L151" s="1">
        <v>44754</v>
      </c>
      <c r="M1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44754</v>
      </c>
      <c r="N151">
        <v>4</v>
      </c>
      <c r="O151">
        <v>1465.48</v>
      </c>
      <c r="P151">
        <f>tblOrders[[#This Row],[Quantity]]*tblOrders[[#This Row],[Unit Price]]</f>
        <v>1465.48</v>
      </c>
      <c r="Q151">
        <f>tblOrders[[#This Row],[TotalSales]]-tblOrders[[#This Row],[Calculated Sales]]</f>
        <v>0</v>
      </c>
    </row>
    <row r="152" spans="1:17" x14ac:dyDescent="0.25">
      <c r="A152">
        <v>690</v>
      </c>
      <c r="B152">
        <v>785</v>
      </c>
      <c r="C152" t="str">
        <f>_xlfn.XLOOKUP(tblOrders[[#This Row],[CustomerID]],tblCustomers[CustomerID],tblCustomers[CustomerName],"not found")</f>
        <v>Joshua Leonard</v>
      </c>
      <c r="D152">
        <f>_xlfn.XLOOKUP(tblOrders[[#This Row],[CustomerID]],tblCustomers[CustomerID],tblCustomers[Age],"not found")</f>
        <v>21</v>
      </c>
      <c r="E152" t="str">
        <f>_xlfn.XLOOKUP(tblOrders[[#This Row],[CustomerID]],tblCustomers[CustomerID],tblCustomers[Gender],"not found")</f>
        <v>Female</v>
      </c>
      <c r="F152" t="str">
        <f>_xlfn.XLOOKUP(tblOrders[[#This Row],[CustomerID]],tblCustomers[CustomerID],tblCustomers[Region],"not found")</f>
        <v>North</v>
      </c>
      <c r="G152">
        <v>1032</v>
      </c>
      <c r="H152" t="str">
        <f>_xlfn.XLOOKUP(tblOrders[[#This Row],[ProductID]],tblProducts[ProductID],tblProducts[ProductName],"not found")</f>
        <v>Free</v>
      </c>
      <c r="I152" t="str">
        <f>_xlfn.XLOOKUP(tblOrders[[#This Row],[ProductID]],tblProducts[ProductID],tblProducts[Category],"not found")</f>
        <v>Beauty</v>
      </c>
      <c r="J152">
        <f>_xlfn.XLOOKUP(tblOrders[[#This Row],[ProductID]],tblProducts[ProductID],tblProducts[UnitPrice],"not found")</f>
        <v>366.37</v>
      </c>
      <c r="K152" t="str">
        <f>_xlfn.XLOOKUP(tblOrders[[#This Row],[ProductID]],tblProducts[ProductID],tblProducts[Supplier],"not found")</f>
        <v>Cook-Fox</v>
      </c>
      <c r="L152" s="1">
        <v>44961</v>
      </c>
      <c r="M1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44961</v>
      </c>
      <c r="N152">
        <v>8</v>
      </c>
      <c r="O152">
        <v>2930.96</v>
      </c>
      <c r="P152">
        <f>tblOrders[[#This Row],[Quantity]]*tblOrders[[#This Row],[Unit Price]]</f>
        <v>2930.96</v>
      </c>
      <c r="Q152">
        <f>tblOrders[[#This Row],[TotalSales]]-tblOrders[[#This Row],[Calculated Sales]]</f>
        <v>0</v>
      </c>
    </row>
    <row r="153" spans="1:17" x14ac:dyDescent="0.25">
      <c r="A153">
        <v>805</v>
      </c>
      <c r="B153">
        <v>768</v>
      </c>
      <c r="C153" t="str">
        <f>_xlfn.XLOOKUP(tblOrders[[#This Row],[CustomerID]],tblCustomers[CustomerID],tblCustomers[CustomerName],"not found")</f>
        <v>Nathan Garcia</v>
      </c>
      <c r="D153">
        <f>_xlfn.XLOOKUP(tblOrders[[#This Row],[CustomerID]],tblCustomers[CustomerID],tblCustomers[Age],"not found")</f>
        <v>26</v>
      </c>
      <c r="E153" t="str">
        <f>_xlfn.XLOOKUP(tblOrders[[#This Row],[CustomerID]],tblCustomers[CustomerID],tblCustomers[Gender],"not found")</f>
        <v>Male</v>
      </c>
      <c r="F153" t="str">
        <f>_xlfn.XLOOKUP(tblOrders[[#This Row],[CustomerID]],tblCustomers[CustomerID],tblCustomers[Region],"not found")</f>
        <v>North</v>
      </c>
      <c r="G153">
        <v>1032</v>
      </c>
      <c r="H153" t="str">
        <f>_xlfn.XLOOKUP(tblOrders[[#This Row],[ProductID]],tblProducts[ProductID],tblProducts[ProductName],"not found")</f>
        <v>Free</v>
      </c>
      <c r="I153" t="str">
        <f>_xlfn.XLOOKUP(tblOrders[[#This Row],[ProductID]],tblProducts[ProductID],tblProducts[Category],"not found")</f>
        <v>Beauty</v>
      </c>
      <c r="J153">
        <f>_xlfn.XLOOKUP(tblOrders[[#This Row],[ProductID]],tblProducts[ProductID],tblProducts[UnitPrice],"not found")</f>
        <v>366.37</v>
      </c>
      <c r="K153" t="str">
        <f>_xlfn.XLOOKUP(tblOrders[[#This Row],[ProductID]],tblProducts[ProductID],tblProducts[Supplier],"not found")</f>
        <v>Cook-Fox</v>
      </c>
      <c r="L153" s="1" t="s">
        <v>2065</v>
      </c>
      <c r="M1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45195</v>
      </c>
      <c r="N153">
        <v>9</v>
      </c>
      <c r="O153">
        <v>3297.33</v>
      </c>
      <c r="P153">
        <f>tblOrders[[#This Row],[Quantity]]*tblOrders[[#This Row],[Unit Price]]</f>
        <v>3297.33</v>
      </c>
      <c r="Q153">
        <f>tblOrders[[#This Row],[TotalSales]]-tblOrders[[#This Row],[Calculated Sales]]</f>
        <v>0</v>
      </c>
    </row>
    <row r="154" spans="1:17" x14ac:dyDescent="0.25">
      <c r="A154">
        <v>851</v>
      </c>
      <c r="B154">
        <v>964</v>
      </c>
      <c r="C154" t="str">
        <f>_xlfn.XLOOKUP(tblOrders[[#This Row],[CustomerID]],tblCustomers[CustomerID],tblCustomers[CustomerName],"not found")</f>
        <v>Jorge Bowman</v>
      </c>
      <c r="D154">
        <f>_xlfn.XLOOKUP(tblOrders[[#This Row],[CustomerID]],tblCustomers[CustomerID],tblCustomers[Age],"not found")</f>
        <v>62</v>
      </c>
      <c r="E154" t="str">
        <f>_xlfn.XLOOKUP(tblOrders[[#This Row],[CustomerID]],tblCustomers[CustomerID],tblCustomers[Gender],"not found")</f>
        <v>Male</v>
      </c>
      <c r="F154" t="str">
        <f>_xlfn.XLOOKUP(tblOrders[[#This Row],[CustomerID]],tblCustomers[CustomerID],tblCustomers[Region],"not found")</f>
        <v>East</v>
      </c>
      <c r="G154">
        <v>1032</v>
      </c>
      <c r="H154" t="str">
        <f>_xlfn.XLOOKUP(tblOrders[[#This Row],[ProductID]],tblProducts[ProductID],tblProducts[ProductName],"not found")</f>
        <v>Free</v>
      </c>
      <c r="I154" t="str">
        <f>_xlfn.XLOOKUP(tblOrders[[#This Row],[ProductID]],tblProducts[ProductID],tblProducts[Category],"not found")</f>
        <v>Beauty</v>
      </c>
      <c r="J154">
        <f>_xlfn.XLOOKUP(tblOrders[[#This Row],[ProductID]],tblProducts[ProductID],tblProducts[UnitPrice],"not found")</f>
        <v>366.37</v>
      </c>
      <c r="K154" t="str">
        <f>_xlfn.XLOOKUP(tblOrders[[#This Row],[ProductID]],tblProducts[ProductID],tblProducts[Supplier],"not found")</f>
        <v>Cook-Fox</v>
      </c>
      <c r="L154" s="1" t="s">
        <v>2097</v>
      </c>
      <c r="M1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45518</v>
      </c>
      <c r="N154">
        <v>7</v>
      </c>
      <c r="O154">
        <v>2564.59</v>
      </c>
      <c r="P154">
        <f>tblOrders[[#This Row],[Quantity]]*tblOrders[[#This Row],[Unit Price]]</f>
        <v>2564.59</v>
      </c>
      <c r="Q154">
        <f>tblOrders[[#This Row],[TotalSales]]-tblOrders[[#This Row],[Calculated Sales]]</f>
        <v>0</v>
      </c>
    </row>
    <row r="155" spans="1:17" x14ac:dyDescent="0.25">
      <c r="A155">
        <v>867</v>
      </c>
      <c r="B155">
        <v>939</v>
      </c>
      <c r="C155" t="str">
        <f>_xlfn.XLOOKUP(tblOrders[[#This Row],[CustomerID]],tblCustomers[CustomerID],tblCustomers[CustomerName],"not found")</f>
        <v>Krista Moore</v>
      </c>
      <c r="D155">
        <f>_xlfn.XLOOKUP(tblOrders[[#This Row],[CustomerID]],tblCustomers[CustomerID],tblCustomers[Age],"not found")</f>
        <v>60</v>
      </c>
      <c r="E155" t="str">
        <f>_xlfn.XLOOKUP(tblOrders[[#This Row],[CustomerID]],tblCustomers[CustomerID],tblCustomers[Gender],"not found")</f>
        <v>Female</v>
      </c>
      <c r="F155" t="str">
        <f>_xlfn.XLOOKUP(tblOrders[[#This Row],[CustomerID]],tblCustomers[CustomerID],tblCustomers[Region],"not found")</f>
        <v>West</v>
      </c>
      <c r="G155">
        <v>1032</v>
      </c>
      <c r="H155" t="str">
        <f>_xlfn.XLOOKUP(tblOrders[[#This Row],[ProductID]],tblProducts[ProductID],tblProducts[ProductName],"not found")</f>
        <v>Free</v>
      </c>
      <c r="I155" t="str">
        <f>_xlfn.XLOOKUP(tblOrders[[#This Row],[ProductID]],tblProducts[ProductID],tblProducts[Category],"not found")</f>
        <v>Beauty</v>
      </c>
      <c r="J155">
        <f>_xlfn.XLOOKUP(tblOrders[[#This Row],[ProductID]],tblProducts[ProductID],tblProducts[UnitPrice],"not found")</f>
        <v>366.37</v>
      </c>
      <c r="K155" t="str">
        <f>_xlfn.XLOOKUP(tblOrders[[#This Row],[ProductID]],tblProducts[ProductID],tblProducts[Supplier],"not found")</f>
        <v>Cook-Fox</v>
      </c>
      <c r="L155" s="1">
        <v>45084</v>
      </c>
      <c r="M1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45084</v>
      </c>
      <c r="N155">
        <v>4</v>
      </c>
      <c r="O155">
        <v>1465.48</v>
      </c>
      <c r="P155">
        <f>tblOrders[[#This Row],[Quantity]]*tblOrders[[#This Row],[Unit Price]]</f>
        <v>1465.48</v>
      </c>
      <c r="Q155">
        <f>tblOrders[[#This Row],[TotalSales]]-tblOrders[[#This Row],[Calculated Sales]]</f>
        <v>0</v>
      </c>
    </row>
    <row r="156" spans="1:17" x14ac:dyDescent="0.25">
      <c r="A156">
        <v>934</v>
      </c>
      <c r="B156">
        <v>494</v>
      </c>
      <c r="C156" t="str">
        <f>_xlfn.XLOOKUP(tblOrders[[#This Row],[CustomerID]],tblCustomers[CustomerID],tblCustomers[CustomerName],"not found")</f>
        <v>Rachel Leon</v>
      </c>
      <c r="D156">
        <f>_xlfn.XLOOKUP(tblOrders[[#This Row],[CustomerID]],tblCustomers[CustomerID],tblCustomers[Age],"not found")</f>
        <v>68</v>
      </c>
      <c r="E156" t="str">
        <f>_xlfn.XLOOKUP(tblOrders[[#This Row],[CustomerID]],tblCustomers[CustomerID],tblCustomers[Gender],"not found")</f>
        <v>Female</v>
      </c>
      <c r="F156" t="str">
        <f>_xlfn.XLOOKUP(tblOrders[[#This Row],[CustomerID]],tblCustomers[CustomerID],tblCustomers[Region],"not found")</f>
        <v>North</v>
      </c>
      <c r="G156">
        <v>1032</v>
      </c>
      <c r="H156" t="str">
        <f>_xlfn.XLOOKUP(tblOrders[[#This Row],[ProductID]],tblProducts[ProductID],tblProducts[ProductName],"not found")</f>
        <v>Free</v>
      </c>
      <c r="I156" t="str">
        <f>_xlfn.XLOOKUP(tblOrders[[#This Row],[ProductID]],tblProducts[ProductID],tblProducts[Category],"not found")</f>
        <v>Beauty</v>
      </c>
      <c r="J156">
        <f>_xlfn.XLOOKUP(tblOrders[[#This Row],[ProductID]],tblProducts[ProductID],tblProducts[UnitPrice],"not found")</f>
        <v>366.37</v>
      </c>
      <c r="K156" t="str">
        <f>_xlfn.XLOOKUP(tblOrders[[#This Row],[ProductID]],tblProducts[ProductID],tblProducts[Supplier],"not found")</f>
        <v>Cook-Fox</v>
      </c>
      <c r="L156" s="1" t="s">
        <v>2098</v>
      </c>
      <c r="M1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44919</v>
      </c>
      <c r="N156">
        <v>7</v>
      </c>
      <c r="O156">
        <v>2564.59</v>
      </c>
      <c r="P156">
        <f>tblOrders[[#This Row],[Quantity]]*tblOrders[[#This Row],[Unit Price]]</f>
        <v>2564.59</v>
      </c>
      <c r="Q156">
        <f>tblOrders[[#This Row],[TotalSales]]-tblOrders[[#This Row],[Calculated Sales]]</f>
        <v>0</v>
      </c>
    </row>
    <row r="157" spans="1:17" x14ac:dyDescent="0.25">
      <c r="A157">
        <v>947</v>
      </c>
      <c r="B157">
        <v>395</v>
      </c>
      <c r="C157" t="str">
        <f>_xlfn.XLOOKUP(tblOrders[[#This Row],[CustomerID]],tblCustomers[CustomerID],tblCustomers[CustomerName],"not found")</f>
        <v>Alejandra Walton</v>
      </c>
      <c r="D157">
        <f>_xlfn.XLOOKUP(tblOrders[[#This Row],[CustomerID]],tblCustomers[CustomerID],tblCustomers[Age],"not found")</f>
        <v>61</v>
      </c>
      <c r="E157" t="str">
        <f>_xlfn.XLOOKUP(tblOrders[[#This Row],[CustomerID]],tblCustomers[CustomerID],tblCustomers[Gender],"not found")</f>
        <v>Male</v>
      </c>
      <c r="F157" t="str">
        <f>_xlfn.XLOOKUP(tblOrders[[#This Row],[CustomerID]],tblCustomers[CustomerID],tblCustomers[Region],"not found")</f>
        <v>North</v>
      </c>
      <c r="G157">
        <v>1032</v>
      </c>
      <c r="H157" t="str">
        <f>_xlfn.XLOOKUP(tblOrders[[#This Row],[ProductID]],tblProducts[ProductID],tblProducts[ProductName],"not found")</f>
        <v>Free</v>
      </c>
      <c r="I157" t="str">
        <f>_xlfn.XLOOKUP(tblOrders[[#This Row],[ProductID]],tblProducts[ProductID],tblProducts[Category],"not found")</f>
        <v>Beauty</v>
      </c>
      <c r="J157">
        <f>_xlfn.XLOOKUP(tblOrders[[#This Row],[ProductID]],tblProducts[ProductID],tblProducts[UnitPrice],"not found")</f>
        <v>366.37</v>
      </c>
      <c r="K157" t="str">
        <f>_xlfn.XLOOKUP(tblOrders[[#This Row],[ProductID]],tblProducts[ProductID],tblProducts[Supplier],"not found")</f>
        <v>Cook-Fox</v>
      </c>
      <c r="L157" s="1" t="s">
        <v>2099</v>
      </c>
      <c r="M1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45440</v>
      </c>
      <c r="N157">
        <v>2</v>
      </c>
      <c r="O157">
        <v>732.74</v>
      </c>
      <c r="P157">
        <f>tblOrders[[#This Row],[Quantity]]*tblOrders[[#This Row],[Unit Price]]</f>
        <v>732.74</v>
      </c>
      <c r="Q157">
        <f>tblOrders[[#This Row],[TotalSales]]-tblOrders[[#This Row],[Calculated Sales]]</f>
        <v>0</v>
      </c>
    </row>
    <row r="158" spans="1:17" x14ac:dyDescent="0.25">
      <c r="A158">
        <v>973</v>
      </c>
      <c r="B158">
        <v>649</v>
      </c>
      <c r="C158" t="str">
        <f>_xlfn.XLOOKUP(tblOrders[[#This Row],[CustomerID]],tblCustomers[CustomerID],tblCustomers[CustomerName],"not found")</f>
        <v>Anthony Scott</v>
      </c>
      <c r="D158">
        <f>_xlfn.XLOOKUP(tblOrders[[#This Row],[CustomerID]],tblCustomers[CustomerID],tblCustomers[Age],"not found")</f>
        <v>29</v>
      </c>
      <c r="E158" t="str">
        <f>_xlfn.XLOOKUP(tblOrders[[#This Row],[CustomerID]],tblCustomers[CustomerID],tblCustomers[Gender],"not found")</f>
        <v>Male</v>
      </c>
      <c r="F158" t="str">
        <f>_xlfn.XLOOKUP(tblOrders[[#This Row],[CustomerID]],tblCustomers[CustomerID],tblCustomers[Region],"not found")</f>
        <v>East</v>
      </c>
      <c r="G158">
        <v>1032</v>
      </c>
      <c r="H158" t="str">
        <f>_xlfn.XLOOKUP(tblOrders[[#This Row],[ProductID]],tblProducts[ProductID],tblProducts[ProductName],"not found")</f>
        <v>Free</v>
      </c>
      <c r="I158" t="str">
        <f>_xlfn.XLOOKUP(tblOrders[[#This Row],[ProductID]],tblProducts[ProductID],tblProducts[Category],"not found")</f>
        <v>Beauty</v>
      </c>
      <c r="J158">
        <f>_xlfn.XLOOKUP(tblOrders[[#This Row],[ProductID]],tblProducts[ProductID],tblProducts[UnitPrice],"not found")</f>
        <v>366.37</v>
      </c>
      <c r="K158" t="str">
        <f>_xlfn.XLOOKUP(tblOrders[[#This Row],[ProductID]],tblProducts[ProductID],tblProducts[Supplier],"not found")</f>
        <v>Cook-Fox</v>
      </c>
      <c r="L158" s="1">
        <v>45597</v>
      </c>
      <c r="M1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158">
        <v>6</v>
      </c>
      <c r="O158">
        <v>2198.2199999999998</v>
      </c>
      <c r="P158">
        <f>tblOrders[[#This Row],[Quantity]]*tblOrders[[#This Row],[Unit Price]]</f>
        <v>2198.2200000000003</v>
      </c>
      <c r="Q158">
        <f>tblOrders[[#This Row],[TotalSales]]-tblOrders[[#This Row],[Calculated Sales]]</f>
        <v>0</v>
      </c>
    </row>
    <row r="159" spans="1:17" x14ac:dyDescent="0.25">
      <c r="A159">
        <v>1139</v>
      </c>
      <c r="B159">
        <v>149</v>
      </c>
      <c r="C159" t="str">
        <f>_xlfn.XLOOKUP(tblOrders[[#This Row],[CustomerID]],tblCustomers[CustomerID],tblCustomers[CustomerName],"not found")</f>
        <v>Sandra Lane</v>
      </c>
      <c r="D159">
        <f>_xlfn.XLOOKUP(tblOrders[[#This Row],[CustomerID]],tblCustomers[CustomerID],tblCustomers[Age],"not found")</f>
        <v>28</v>
      </c>
      <c r="E159" t="str">
        <f>_xlfn.XLOOKUP(tblOrders[[#This Row],[CustomerID]],tblCustomers[CustomerID],tblCustomers[Gender],"not found")</f>
        <v>Female</v>
      </c>
      <c r="F159" t="str">
        <f>_xlfn.XLOOKUP(tblOrders[[#This Row],[CustomerID]],tblCustomers[CustomerID],tblCustomers[Region],"not found")</f>
        <v>East</v>
      </c>
      <c r="G159">
        <v>1032</v>
      </c>
      <c r="H159" t="str">
        <f>_xlfn.XLOOKUP(tblOrders[[#This Row],[ProductID]],tblProducts[ProductID],tblProducts[ProductName],"not found")</f>
        <v>Free</v>
      </c>
      <c r="I159" t="str">
        <f>_xlfn.XLOOKUP(tblOrders[[#This Row],[ProductID]],tblProducts[ProductID],tblProducts[Category],"not found")</f>
        <v>Beauty</v>
      </c>
      <c r="J159">
        <f>_xlfn.XLOOKUP(tblOrders[[#This Row],[ProductID]],tblProducts[ProductID],tblProducts[UnitPrice],"not found")</f>
        <v>366.37</v>
      </c>
      <c r="K159" t="str">
        <f>_xlfn.XLOOKUP(tblOrders[[#This Row],[ProductID]],tblProducts[ProductID],tblProducts[Supplier],"not found")</f>
        <v>Cook-Fox</v>
      </c>
      <c r="L159" s="1" t="s">
        <v>2100</v>
      </c>
      <c r="M1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44878</v>
      </c>
      <c r="N159">
        <v>9</v>
      </c>
      <c r="O159">
        <v>3297.33</v>
      </c>
      <c r="P159">
        <f>tblOrders[[#This Row],[Quantity]]*tblOrders[[#This Row],[Unit Price]]</f>
        <v>3297.33</v>
      </c>
      <c r="Q159">
        <f>tblOrders[[#This Row],[TotalSales]]-tblOrders[[#This Row],[Calculated Sales]]</f>
        <v>0</v>
      </c>
    </row>
    <row r="160" spans="1:17" x14ac:dyDescent="0.25">
      <c r="A160">
        <v>1483</v>
      </c>
      <c r="B160">
        <v>840</v>
      </c>
      <c r="C160" t="str">
        <f>_xlfn.XLOOKUP(tblOrders[[#This Row],[CustomerID]],tblCustomers[CustomerID],tblCustomers[CustomerName],"not found")</f>
        <v>Alicia Martinez</v>
      </c>
      <c r="D160">
        <f>_xlfn.XLOOKUP(tblOrders[[#This Row],[CustomerID]],tblCustomers[CustomerID],tblCustomers[Age],"not found")</f>
        <v>63</v>
      </c>
      <c r="E160" t="str">
        <f>_xlfn.XLOOKUP(tblOrders[[#This Row],[CustomerID]],tblCustomers[CustomerID],tblCustomers[Gender],"not found")</f>
        <v>Male</v>
      </c>
      <c r="F160" t="str">
        <f>_xlfn.XLOOKUP(tblOrders[[#This Row],[CustomerID]],tblCustomers[CustomerID],tblCustomers[Region],"not found")</f>
        <v>North</v>
      </c>
      <c r="G160">
        <v>1032</v>
      </c>
      <c r="H160" t="str">
        <f>_xlfn.XLOOKUP(tblOrders[[#This Row],[ProductID]],tblProducts[ProductID],tblProducts[ProductName],"not found")</f>
        <v>Free</v>
      </c>
      <c r="I160" t="str">
        <f>_xlfn.XLOOKUP(tblOrders[[#This Row],[ProductID]],tblProducts[ProductID],tblProducts[Category],"not found")</f>
        <v>Beauty</v>
      </c>
      <c r="J160">
        <f>_xlfn.XLOOKUP(tblOrders[[#This Row],[ProductID]],tblProducts[ProductID],tblProducts[UnitPrice],"not found")</f>
        <v>366.37</v>
      </c>
      <c r="K160" t="str">
        <f>_xlfn.XLOOKUP(tblOrders[[#This Row],[ProductID]],tblProducts[ProductID],tblProducts[Supplier],"not found")</f>
        <v>Cook-Fox</v>
      </c>
      <c r="L160" s="1">
        <v>45026</v>
      </c>
      <c r="M1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45026</v>
      </c>
      <c r="N160">
        <v>3</v>
      </c>
      <c r="O160">
        <v>1099.1099999999999</v>
      </c>
      <c r="P160">
        <f>tblOrders[[#This Row],[Quantity]]*tblOrders[[#This Row],[Unit Price]]</f>
        <v>1099.1100000000001</v>
      </c>
      <c r="Q160">
        <f>tblOrders[[#This Row],[TotalSales]]-tblOrders[[#This Row],[Calculated Sales]]</f>
        <v>0</v>
      </c>
    </row>
    <row r="161" spans="1:17" x14ac:dyDescent="0.25">
      <c r="A161">
        <v>1508</v>
      </c>
      <c r="B161">
        <v>243</v>
      </c>
      <c r="C161" t="str">
        <f>_xlfn.XLOOKUP(tblOrders[[#This Row],[CustomerID]],tblCustomers[CustomerID],tblCustomers[CustomerName],"not found")</f>
        <v>Emily Watson</v>
      </c>
      <c r="D161">
        <f>_xlfn.XLOOKUP(tblOrders[[#This Row],[CustomerID]],tblCustomers[CustomerID],tblCustomers[Age],"not found")</f>
        <v>46</v>
      </c>
      <c r="E161" t="str">
        <f>_xlfn.XLOOKUP(tblOrders[[#This Row],[CustomerID]],tblCustomers[CustomerID],tblCustomers[Gender],"not found")</f>
        <v>Male</v>
      </c>
      <c r="F161" t="str">
        <f>_xlfn.XLOOKUP(tblOrders[[#This Row],[CustomerID]],tblCustomers[CustomerID],tblCustomers[Region],"not found")</f>
        <v>South</v>
      </c>
      <c r="G161">
        <v>1032</v>
      </c>
      <c r="H161" t="str">
        <f>_xlfn.XLOOKUP(tblOrders[[#This Row],[ProductID]],tblProducts[ProductID],tblProducts[ProductName],"not found")</f>
        <v>Free</v>
      </c>
      <c r="I161" t="str">
        <f>_xlfn.XLOOKUP(tblOrders[[#This Row],[ProductID]],tblProducts[ProductID],tblProducts[Category],"not found")</f>
        <v>Beauty</v>
      </c>
      <c r="J161">
        <f>_xlfn.XLOOKUP(tblOrders[[#This Row],[ProductID]],tblProducts[ProductID],tblProducts[UnitPrice],"not found")</f>
        <v>366.37</v>
      </c>
      <c r="K161" t="str">
        <f>_xlfn.XLOOKUP(tblOrders[[#This Row],[ProductID]],tblProducts[ProductID],tblProducts[Supplier],"not found")</f>
        <v>Cook-Fox</v>
      </c>
      <c r="L161" s="1" t="s">
        <v>2040</v>
      </c>
      <c r="M1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45107</v>
      </c>
      <c r="N161">
        <v>3</v>
      </c>
      <c r="O161">
        <v>1099.1099999999999</v>
      </c>
      <c r="P161">
        <f>tblOrders[[#This Row],[Quantity]]*tblOrders[[#This Row],[Unit Price]]</f>
        <v>1099.1100000000001</v>
      </c>
      <c r="Q161">
        <f>tblOrders[[#This Row],[TotalSales]]-tblOrders[[#This Row],[Calculated Sales]]</f>
        <v>0</v>
      </c>
    </row>
    <row r="162" spans="1:17" x14ac:dyDescent="0.25">
      <c r="A162">
        <v>1620</v>
      </c>
      <c r="B162">
        <v>559</v>
      </c>
      <c r="C162" t="str">
        <f>_xlfn.XLOOKUP(tblOrders[[#This Row],[CustomerID]],tblCustomers[CustomerID],tblCustomers[CustomerName],"not found")</f>
        <v>Stephanie Dunn</v>
      </c>
      <c r="D162">
        <f>_xlfn.XLOOKUP(tblOrders[[#This Row],[CustomerID]],tblCustomers[CustomerID],tblCustomers[Age],"not found")</f>
        <v>48</v>
      </c>
      <c r="E162" t="str">
        <f>_xlfn.XLOOKUP(tblOrders[[#This Row],[CustomerID]],tblCustomers[CustomerID],tblCustomers[Gender],"not found")</f>
        <v>Female</v>
      </c>
      <c r="F162" t="str">
        <f>_xlfn.XLOOKUP(tblOrders[[#This Row],[CustomerID]],tblCustomers[CustomerID],tblCustomers[Region],"not found")</f>
        <v>Central</v>
      </c>
      <c r="G162">
        <v>1032</v>
      </c>
      <c r="H162" t="str">
        <f>_xlfn.XLOOKUP(tblOrders[[#This Row],[ProductID]],tblProducts[ProductID],tblProducts[ProductName],"not found")</f>
        <v>Free</v>
      </c>
      <c r="I162" t="str">
        <f>_xlfn.XLOOKUP(tblOrders[[#This Row],[ProductID]],tblProducts[ProductID],tblProducts[Category],"not found")</f>
        <v>Beauty</v>
      </c>
      <c r="J162">
        <f>_xlfn.XLOOKUP(tblOrders[[#This Row],[ProductID]],tblProducts[ProductID],tblProducts[UnitPrice],"not found")</f>
        <v>366.37</v>
      </c>
      <c r="K162" t="str">
        <f>_xlfn.XLOOKUP(tblOrders[[#This Row],[ProductID]],tblProducts[ProductID],tblProducts[Supplier],"not found")</f>
        <v>Cook-Fox</v>
      </c>
      <c r="L162" s="1">
        <v>45389</v>
      </c>
      <c r="M1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45389</v>
      </c>
      <c r="N162">
        <v>5</v>
      </c>
      <c r="O162">
        <v>1831.85</v>
      </c>
      <c r="P162">
        <f>tblOrders[[#This Row],[Quantity]]*tblOrders[[#This Row],[Unit Price]]</f>
        <v>1831.85</v>
      </c>
      <c r="Q162">
        <f>tblOrders[[#This Row],[TotalSales]]-tblOrders[[#This Row],[Calculated Sales]]</f>
        <v>0</v>
      </c>
    </row>
    <row r="163" spans="1:17" x14ac:dyDescent="0.25">
      <c r="A163">
        <v>1714</v>
      </c>
      <c r="B163">
        <v>420</v>
      </c>
      <c r="C163" t="str">
        <f>_xlfn.XLOOKUP(tblOrders[[#This Row],[CustomerID]],tblCustomers[CustomerID],tblCustomers[CustomerName],"not found")</f>
        <v>James Gonzalez</v>
      </c>
      <c r="D163">
        <f>_xlfn.XLOOKUP(tblOrders[[#This Row],[CustomerID]],tblCustomers[CustomerID],tblCustomers[Age],"not found")</f>
        <v>35</v>
      </c>
      <c r="E163" t="str">
        <f>_xlfn.XLOOKUP(tblOrders[[#This Row],[CustomerID]],tblCustomers[CustomerID],tblCustomers[Gender],"not found")</f>
        <v>Male</v>
      </c>
      <c r="F163" t="str">
        <f>_xlfn.XLOOKUP(tblOrders[[#This Row],[CustomerID]],tblCustomers[CustomerID],tblCustomers[Region],"not found")</f>
        <v>East</v>
      </c>
      <c r="G163">
        <v>1032</v>
      </c>
      <c r="H163" t="str">
        <f>_xlfn.XLOOKUP(tblOrders[[#This Row],[ProductID]],tblProducts[ProductID],tblProducts[ProductName],"not found")</f>
        <v>Free</v>
      </c>
      <c r="I163" t="str">
        <f>_xlfn.XLOOKUP(tblOrders[[#This Row],[ProductID]],tblProducts[ProductID],tblProducts[Category],"not found")</f>
        <v>Beauty</v>
      </c>
      <c r="J163">
        <f>_xlfn.XLOOKUP(tblOrders[[#This Row],[ProductID]],tblProducts[ProductID],tblProducts[UnitPrice],"not found")</f>
        <v>366.37</v>
      </c>
      <c r="K163" t="str">
        <f>_xlfn.XLOOKUP(tblOrders[[#This Row],[ProductID]],tblProducts[ProductID],tblProducts[Supplier],"not found")</f>
        <v>Cook-Fox</v>
      </c>
      <c r="L163" s="1">
        <v>45479</v>
      </c>
      <c r="M1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45479</v>
      </c>
      <c r="N163">
        <v>3</v>
      </c>
      <c r="O163">
        <v>1099.1099999999999</v>
      </c>
      <c r="P163">
        <f>tblOrders[[#This Row],[Quantity]]*tblOrders[[#This Row],[Unit Price]]</f>
        <v>1099.1100000000001</v>
      </c>
      <c r="Q163">
        <f>tblOrders[[#This Row],[TotalSales]]-tblOrders[[#This Row],[Calculated Sales]]</f>
        <v>0</v>
      </c>
    </row>
    <row r="164" spans="1:17" x14ac:dyDescent="0.25">
      <c r="A164">
        <v>1913</v>
      </c>
      <c r="B164">
        <v>216</v>
      </c>
      <c r="C164" t="str">
        <f>_xlfn.XLOOKUP(tblOrders[[#This Row],[CustomerID]],tblCustomers[CustomerID],tblCustomers[CustomerName],"not found")</f>
        <v>Kayla Cox</v>
      </c>
      <c r="D164">
        <f>_xlfn.XLOOKUP(tblOrders[[#This Row],[CustomerID]],tblCustomers[CustomerID],tblCustomers[Age],"not found")</f>
        <v>48</v>
      </c>
      <c r="E164" t="str">
        <f>_xlfn.XLOOKUP(tblOrders[[#This Row],[CustomerID]],tblCustomers[CustomerID],tblCustomers[Gender],"not found")</f>
        <v>Female</v>
      </c>
      <c r="F164" t="str">
        <f>_xlfn.XLOOKUP(tblOrders[[#This Row],[CustomerID]],tblCustomers[CustomerID],tblCustomers[Region],"not found")</f>
        <v>Central</v>
      </c>
      <c r="G164">
        <v>1032</v>
      </c>
      <c r="H164" t="str">
        <f>_xlfn.XLOOKUP(tblOrders[[#This Row],[ProductID]],tblProducts[ProductID],tblProducts[ProductName],"not found")</f>
        <v>Free</v>
      </c>
      <c r="I164" t="str">
        <f>_xlfn.XLOOKUP(tblOrders[[#This Row],[ProductID]],tblProducts[ProductID],tblProducts[Category],"not found")</f>
        <v>Beauty</v>
      </c>
      <c r="J164">
        <f>_xlfn.XLOOKUP(tblOrders[[#This Row],[ProductID]],tblProducts[ProductID],tblProducts[UnitPrice],"not found")</f>
        <v>366.37</v>
      </c>
      <c r="K164" t="str">
        <f>_xlfn.XLOOKUP(tblOrders[[#This Row],[ProductID]],tblProducts[ProductID],tblProducts[Supplier],"not found")</f>
        <v>Cook-Fox</v>
      </c>
      <c r="L164" s="1">
        <v>44968</v>
      </c>
      <c r="M1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44968</v>
      </c>
      <c r="N164">
        <v>3</v>
      </c>
      <c r="O164">
        <v>1099.1099999999999</v>
      </c>
      <c r="P164">
        <f>tblOrders[[#This Row],[Quantity]]*tblOrders[[#This Row],[Unit Price]]</f>
        <v>1099.1100000000001</v>
      </c>
      <c r="Q164">
        <f>tblOrders[[#This Row],[TotalSales]]-tblOrders[[#This Row],[Calculated Sales]]</f>
        <v>0</v>
      </c>
    </row>
    <row r="165" spans="1:17" x14ac:dyDescent="0.25">
      <c r="A165">
        <v>1978</v>
      </c>
      <c r="B165">
        <v>820</v>
      </c>
      <c r="C165" t="str">
        <f>_xlfn.XLOOKUP(tblOrders[[#This Row],[CustomerID]],tblCustomers[CustomerID],tblCustomers[CustomerName],"not found")</f>
        <v>Roberta Jones</v>
      </c>
      <c r="D165">
        <f>_xlfn.XLOOKUP(tblOrders[[#This Row],[CustomerID]],tblCustomers[CustomerID],tblCustomers[Age],"not found")</f>
        <v>38</v>
      </c>
      <c r="E165" t="str">
        <f>_xlfn.XLOOKUP(tblOrders[[#This Row],[CustomerID]],tblCustomers[CustomerID],tblCustomers[Gender],"not found")</f>
        <v>Male</v>
      </c>
      <c r="F165" t="str">
        <f>_xlfn.XLOOKUP(tblOrders[[#This Row],[CustomerID]],tblCustomers[CustomerID],tblCustomers[Region],"not found")</f>
        <v>Central</v>
      </c>
      <c r="G165">
        <v>1032</v>
      </c>
      <c r="H165" t="str">
        <f>_xlfn.XLOOKUP(tblOrders[[#This Row],[ProductID]],tblProducts[ProductID],tblProducts[ProductName],"not found")</f>
        <v>Free</v>
      </c>
      <c r="I165" t="str">
        <f>_xlfn.XLOOKUP(tblOrders[[#This Row],[ProductID]],tblProducts[ProductID],tblProducts[Category],"not found")</f>
        <v>Beauty</v>
      </c>
      <c r="J165">
        <f>_xlfn.XLOOKUP(tblOrders[[#This Row],[ProductID]],tblProducts[ProductID],tblProducts[UnitPrice],"not found")</f>
        <v>366.37</v>
      </c>
      <c r="K165" t="str">
        <f>_xlfn.XLOOKUP(tblOrders[[#This Row],[ProductID]],tblProducts[ProductID],tblProducts[Supplier],"not found")</f>
        <v>Cook-Fox</v>
      </c>
      <c r="L165" s="1" t="s">
        <v>2101</v>
      </c>
      <c r="M1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45456</v>
      </c>
      <c r="N165">
        <v>6</v>
      </c>
      <c r="O165">
        <v>2198.2199999999998</v>
      </c>
      <c r="P165">
        <f>tblOrders[[#This Row],[Quantity]]*tblOrders[[#This Row],[Unit Price]]</f>
        <v>2198.2200000000003</v>
      </c>
      <c r="Q165">
        <f>tblOrders[[#This Row],[TotalSales]]-tblOrders[[#This Row],[Calculated Sales]]</f>
        <v>0</v>
      </c>
    </row>
    <row r="166" spans="1:17" x14ac:dyDescent="0.25">
      <c r="A166">
        <v>9</v>
      </c>
      <c r="B166">
        <v>820</v>
      </c>
      <c r="C166" t="str">
        <f>_xlfn.XLOOKUP(tblOrders[[#This Row],[CustomerID]],tblCustomers[CustomerID],tblCustomers[CustomerName],"not found")</f>
        <v>Roberta Jones</v>
      </c>
      <c r="D166">
        <f>_xlfn.XLOOKUP(tblOrders[[#This Row],[CustomerID]],tblCustomers[CustomerID],tblCustomers[Age],"not found")</f>
        <v>38</v>
      </c>
      <c r="E166" t="str">
        <f>_xlfn.XLOOKUP(tblOrders[[#This Row],[CustomerID]],tblCustomers[CustomerID],tblCustomers[Gender],"not found")</f>
        <v>Male</v>
      </c>
      <c r="F166" t="str">
        <f>_xlfn.XLOOKUP(tblOrders[[#This Row],[CustomerID]],tblCustomers[CustomerID],tblCustomers[Region],"not found")</f>
        <v>Central</v>
      </c>
      <c r="G166">
        <v>1023</v>
      </c>
      <c r="H166" t="str">
        <f>_xlfn.XLOOKUP(tblOrders[[#This Row],[ProductID]],tblProducts[ProductID],tblProducts[ProductName],"not found")</f>
        <v>Whose</v>
      </c>
      <c r="I166" t="str">
        <f>_xlfn.XLOOKUP(tblOrders[[#This Row],[ProductID]],tblProducts[ProductID],tblProducts[Category],"not found")</f>
        <v>Electronics</v>
      </c>
      <c r="J166">
        <f>_xlfn.XLOOKUP(tblOrders[[#This Row],[ProductID]],tblProducts[ProductID],tblProducts[UnitPrice],"not found")</f>
        <v>239.03</v>
      </c>
      <c r="K166" t="str">
        <f>_xlfn.XLOOKUP(tblOrders[[#This Row],[ProductID]],tblProducts[ProductID],tblProducts[Supplier],"not found")</f>
        <v>Carter Group</v>
      </c>
      <c r="L166" s="1">
        <v>44663</v>
      </c>
      <c r="M1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44663</v>
      </c>
      <c r="N166">
        <v>5</v>
      </c>
      <c r="O166">
        <v>1195.1500000000001</v>
      </c>
      <c r="P166">
        <f>tblOrders[[#This Row],[Quantity]]*tblOrders[[#This Row],[Unit Price]]</f>
        <v>1195.1500000000001</v>
      </c>
      <c r="Q166">
        <f>tblOrders[[#This Row],[TotalSales]]-tblOrders[[#This Row],[Calculated Sales]]</f>
        <v>0</v>
      </c>
    </row>
    <row r="167" spans="1:17" x14ac:dyDescent="0.25">
      <c r="A167">
        <v>130</v>
      </c>
      <c r="B167">
        <v>310</v>
      </c>
      <c r="C167" t="str">
        <f>_xlfn.XLOOKUP(tblOrders[[#This Row],[CustomerID]],tblCustomers[CustomerID],tblCustomers[CustomerName],"not found")</f>
        <v>Timothy Higgins</v>
      </c>
      <c r="D167">
        <f>_xlfn.XLOOKUP(tblOrders[[#This Row],[CustomerID]],tblCustomers[CustomerID],tblCustomers[Age],"not found")</f>
        <v>58</v>
      </c>
      <c r="E167" t="str">
        <f>_xlfn.XLOOKUP(tblOrders[[#This Row],[CustomerID]],tblCustomers[CustomerID],tblCustomers[Gender],"not found")</f>
        <v>Female</v>
      </c>
      <c r="F167" t="str">
        <f>_xlfn.XLOOKUP(tblOrders[[#This Row],[CustomerID]],tblCustomers[CustomerID],tblCustomers[Region],"not found")</f>
        <v>North</v>
      </c>
      <c r="G167">
        <v>1023</v>
      </c>
      <c r="H167" t="str">
        <f>_xlfn.XLOOKUP(tblOrders[[#This Row],[ProductID]],tblProducts[ProductID],tblProducts[ProductName],"not found")</f>
        <v>Whose</v>
      </c>
      <c r="I167" t="str">
        <f>_xlfn.XLOOKUP(tblOrders[[#This Row],[ProductID]],tblProducts[ProductID],tblProducts[Category],"not found")</f>
        <v>Electronics</v>
      </c>
      <c r="J167">
        <f>_xlfn.XLOOKUP(tblOrders[[#This Row],[ProductID]],tblProducts[ProductID],tblProducts[UnitPrice],"not found")</f>
        <v>239.03</v>
      </c>
      <c r="K167" t="str">
        <f>_xlfn.XLOOKUP(tblOrders[[#This Row],[ProductID]],tblProducts[ProductID],tblProducts[Supplier],"not found")</f>
        <v>Carter Group</v>
      </c>
      <c r="L167" s="1">
        <v>45358</v>
      </c>
      <c r="M1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45358</v>
      </c>
      <c r="N167">
        <v>8</v>
      </c>
      <c r="O167">
        <v>1912.24</v>
      </c>
      <c r="P167">
        <f>tblOrders[[#This Row],[Quantity]]*tblOrders[[#This Row],[Unit Price]]</f>
        <v>1912.24</v>
      </c>
      <c r="Q167">
        <f>tblOrders[[#This Row],[TotalSales]]-tblOrders[[#This Row],[Calculated Sales]]</f>
        <v>0</v>
      </c>
    </row>
    <row r="168" spans="1:17" x14ac:dyDescent="0.25">
      <c r="A168">
        <v>252</v>
      </c>
      <c r="B168">
        <v>898</v>
      </c>
      <c r="C168" t="str">
        <f>_xlfn.XLOOKUP(tblOrders[[#This Row],[CustomerID]],tblCustomers[CustomerID],tblCustomers[CustomerName],"not found")</f>
        <v>Lauren Watson</v>
      </c>
      <c r="D168">
        <f>_xlfn.XLOOKUP(tblOrders[[#This Row],[CustomerID]],tblCustomers[CustomerID],tblCustomers[Age],"not found")</f>
        <v>50</v>
      </c>
      <c r="E168" t="str">
        <f>_xlfn.XLOOKUP(tblOrders[[#This Row],[CustomerID]],tblCustomers[CustomerID],tblCustomers[Gender],"not found")</f>
        <v>Female</v>
      </c>
      <c r="F168" t="str">
        <f>_xlfn.XLOOKUP(tblOrders[[#This Row],[CustomerID]],tblCustomers[CustomerID],tblCustomers[Region],"not found")</f>
        <v>East</v>
      </c>
      <c r="G168">
        <v>1023</v>
      </c>
      <c r="H168" t="str">
        <f>_xlfn.XLOOKUP(tblOrders[[#This Row],[ProductID]],tblProducts[ProductID],tblProducts[ProductName],"not found")</f>
        <v>Whose</v>
      </c>
      <c r="I168" t="str">
        <f>_xlfn.XLOOKUP(tblOrders[[#This Row],[ProductID]],tblProducts[ProductID],tblProducts[Category],"not found")</f>
        <v>Electronics</v>
      </c>
      <c r="J168">
        <f>_xlfn.XLOOKUP(tblOrders[[#This Row],[ProductID]],tblProducts[ProductID],tblProducts[UnitPrice],"not found")</f>
        <v>239.03</v>
      </c>
      <c r="K168" t="str">
        <f>_xlfn.XLOOKUP(tblOrders[[#This Row],[ProductID]],tblProducts[ProductID],tblProducts[Supplier],"not found")</f>
        <v>Carter Group</v>
      </c>
      <c r="L168" s="1" t="s">
        <v>2050</v>
      </c>
      <c r="M1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168">
        <v>8</v>
      </c>
      <c r="O168">
        <v>1912.24</v>
      </c>
      <c r="P168">
        <f>tblOrders[[#This Row],[Quantity]]*tblOrders[[#This Row],[Unit Price]]</f>
        <v>1912.24</v>
      </c>
      <c r="Q168">
        <f>tblOrders[[#This Row],[TotalSales]]-tblOrders[[#This Row],[Calculated Sales]]</f>
        <v>0</v>
      </c>
    </row>
    <row r="169" spans="1:17" x14ac:dyDescent="0.25">
      <c r="A169">
        <v>323</v>
      </c>
      <c r="B169">
        <v>301</v>
      </c>
      <c r="C169" t="str">
        <f>_xlfn.XLOOKUP(tblOrders[[#This Row],[CustomerID]],tblCustomers[CustomerID],tblCustomers[CustomerName],"not found")</f>
        <v>Andrew Hudson Jr.</v>
      </c>
      <c r="D169">
        <f>_xlfn.XLOOKUP(tblOrders[[#This Row],[CustomerID]],tblCustomers[CustomerID],tblCustomers[Age],"not found")</f>
        <v>28</v>
      </c>
      <c r="E169" t="str">
        <f>_xlfn.XLOOKUP(tblOrders[[#This Row],[CustomerID]],tblCustomers[CustomerID],tblCustomers[Gender],"not found")</f>
        <v>Male</v>
      </c>
      <c r="F169" t="str">
        <f>_xlfn.XLOOKUP(tblOrders[[#This Row],[CustomerID]],tblCustomers[CustomerID],tblCustomers[Region],"not found")</f>
        <v>North</v>
      </c>
      <c r="G169">
        <v>1023</v>
      </c>
      <c r="H169" t="str">
        <f>_xlfn.XLOOKUP(tblOrders[[#This Row],[ProductID]],tblProducts[ProductID],tblProducts[ProductName],"not found")</f>
        <v>Whose</v>
      </c>
      <c r="I169" t="str">
        <f>_xlfn.XLOOKUP(tblOrders[[#This Row],[ProductID]],tblProducts[ProductID],tblProducts[Category],"not found")</f>
        <v>Electronics</v>
      </c>
      <c r="J169">
        <f>_xlfn.XLOOKUP(tblOrders[[#This Row],[ProductID]],tblProducts[ProductID],tblProducts[UnitPrice],"not found")</f>
        <v>239.03</v>
      </c>
      <c r="K169" t="str">
        <f>_xlfn.XLOOKUP(tblOrders[[#This Row],[ProductID]],tblProducts[ProductID],tblProducts[Supplier],"not found")</f>
        <v>Carter Group</v>
      </c>
      <c r="L169" s="1">
        <v>45447</v>
      </c>
      <c r="M1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45447</v>
      </c>
      <c r="N169">
        <v>5</v>
      </c>
      <c r="O169">
        <v>1195.1500000000001</v>
      </c>
      <c r="P169">
        <f>tblOrders[[#This Row],[Quantity]]*tblOrders[[#This Row],[Unit Price]]</f>
        <v>1195.1500000000001</v>
      </c>
      <c r="Q169">
        <f>tblOrders[[#This Row],[TotalSales]]-tblOrders[[#This Row],[Calculated Sales]]</f>
        <v>0</v>
      </c>
    </row>
    <row r="170" spans="1:17" x14ac:dyDescent="0.25">
      <c r="A170">
        <v>342</v>
      </c>
      <c r="B170">
        <v>663</v>
      </c>
      <c r="C170" t="str">
        <f>_xlfn.XLOOKUP(tblOrders[[#This Row],[CustomerID]],tblCustomers[CustomerID],tblCustomers[CustomerName],"not found")</f>
        <v>Lucas Oneal</v>
      </c>
      <c r="D170">
        <f>_xlfn.XLOOKUP(tblOrders[[#This Row],[CustomerID]],tblCustomers[CustomerID],tblCustomers[Age],"not found")</f>
        <v>53</v>
      </c>
      <c r="E170" t="str">
        <f>_xlfn.XLOOKUP(tblOrders[[#This Row],[CustomerID]],tblCustomers[CustomerID],tblCustomers[Gender],"not found")</f>
        <v>Female</v>
      </c>
      <c r="F170" t="str">
        <f>_xlfn.XLOOKUP(tblOrders[[#This Row],[CustomerID]],tblCustomers[CustomerID],tblCustomers[Region],"not found")</f>
        <v>East</v>
      </c>
      <c r="G170">
        <v>1023</v>
      </c>
      <c r="H170" t="str">
        <f>_xlfn.XLOOKUP(tblOrders[[#This Row],[ProductID]],tblProducts[ProductID],tblProducts[ProductName],"not found")</f>
        <v>Whose</v>
      </c>
      <c r="I170" t="str">
        <f>_xlfn.XLOOKUP(tblOrders[[#This Row],[ProductID]],tblProducts[ProductID],tblProducts[Category],"not found")</f>
        <v>Electronics</v>
      </c>
      <c r="J170">
        <f>_xlfn.XLOOKUP(tblOrders[[#This Row],[ProductID]],tblProducts[ProductID],tblProducts[UnitPrice],"not found")</f>
        <v>239.03</v>
      </c>
      <c r="K170" t="str">
        <f>_xlfn.XLOOKUP(tblOrders[[#This Row],[ProductID]],tblProducts[ProductID],tblProducts[Supplier],"not found")</f>
        <v>Carter Group</v>
      </c>
      <c r="L170" s="1">
        <v>45080</v>
      </c>
      <c r="M1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45080</v>
      </c>
      <c r="N170">
        <v>3</v>
      </c>
      <c r="O170">
        <v>717.09</v>
      </c>
      <c r="P170">
        <f>tblOrders[[#This Row],[Quantity]]*tblOrders[[#This Row],[Unit Price]]</f>
        <v>717.09</v>
      </c>
      <c r="Q170">
        <f>tblOrders[[#This Row],[TotalSales]]-tblOrders[[#This Row],[Calculated Sales]]</f>
        <v>0</v>
      </c>
    </row>
    <row r="171" spans="1:17" x14ac:dyDescent="0.25">
      <c r="A171">
        <v>349</v>
      </c>
      <c r="B171">
        <v>36</v>
      </c>
      <c r="C171" t="str">
        <f>_xlfn.XLOOKUP(tblOrders[[#This Row],[CustomerID]],tblCustomers[CustomerID],tblCustomers[CustomerName],"not found")</f>
        <v>Christopher Thomas</v>
      </c>
      <c r="D171">
        <f>_xlfn.XLOOKUP(tblOrders[[#This Row],[CustomerID]],tblCustomers[CustomerID],tblCustomers[Age],"not found")</f>
        <v>49</v>
      </c>
      <c r="E171" t="str">
        <f>_xlfn.XLOOKUP(tblOrders[[#This Row],[CustomerID]],tblCustomers[CustomerID],tblCustomers[Gender],"not found")</f>
        <v>Female</v>
      </c>
      <c r="F171" t="str">
        <f>_xlfn.XLOOKUP(tblOrders[[#This Row],[CustomerID]],tblCustomers[CustomerID],tblCustomers[Region],"not found")</f>
        <v>East</v>
      </c>
      <c r="G171">
        <v>1023</v>
      </c>
      <c r="H171" t="str">
        <f>_xlfn.XLOOKUP(tblOrders[[#This Row],[ProductID]],tblProducts[ProductID],tblProducts[ProductName],"not found")</f>
        <v>Whose</v>
      </c>
      <c r="I171" t="str">
        <f>_xlfn.XLOOKUP(tblOrders[[#This Row],[ProductID]],tblProducts[ProductID],tblProducts[Category],"not found")</f>
        <v>Electronics</v>
      </c>
      <c r="J171">
        <f>_xlfn.XLOOKUP(tblOrders[[#This Row],[ProductID]],tblProducts[ProductID],tblProducts[UnitPrice],"not found")</f>
        <v>239.03</v>
      </c>
      <c r="K171" t="str">
        <f>_xlfn.XLOOKUP(tblOrders[[#This Row],[ProductID]],tblProducts[ProductID],tblProducts[Supplier],"not found")</f>
        <v>Carter Group</v>
      </c>
      <c r="L171" s="1">
        <v>45566</v>
      </c>
      <c r="M1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45566</v>
      </c>
      <c r="N171">
        <v>8</v>
      </c>
      <c r="O171">
        <v>1912.24</v>
      </c>
      <c r="P171">
        <f>tblOrders[[#This Row],[Quantity]]*tblOrders[[#This Row],[Unit Price]]</f>
        <v>1912.24</v>
      </c>
      <c r="Q171">
        <f>tblOrders[[#This Row],[TotalSales]]-tblOrders[[#This Row],[Calculated Sales]]</f>
        <v>0</v>
      </c>
    </row>
    <row r="172" spans="1:17" x14ac:dyDescent="0.25">
      <c r="A172">
        <v>500</v>
      </c>
      <c r="B172">
        <v>177</v>
      </c>
      <c r="C172" t="str">
        <f>_xlfn.XLOOKUP(tblOrders[[#This Row],[CustomerID]],tblCustomers[CustomerID],tblCustomers[CustomerName],"not found")</f>
        <v>Cassandra Wright</v>
      </c>
      <c r="D172">
        <f>_xlfn.XLOOKUP(tblOrders[[#This Row],[CustomerID]],tblCustomers[CustomerID],tblCustomers[Age],"not found")</f>
        <v>45</v>
      </c>
      <c r="E172" t="str">
        <f>_xlfn.XLOOKUP(tblOrders[[#This Row],[CustomerID]],tblCustomers[CustomerID],tblCustomers[Gender],"not found")</f>
        <v>Male</v>
      </c>
      <c r="F172" t="str">
        <f>_xlfn.XLOOKUP(tblOrders[[#This Row],[CustomerID]],tblCustomers[CustomerID],tblCustomers[Region],"not found")</f>
        <v>East</v>
      </c>
      <c r="G172">
        <v>1023</v>
      </c>
      <c r="H172" t="str">
        <f>_xlfn.XLOOKUP(tblOrders[[#This Row],[ProductID]],tblProducts[ProductID],tblProducts[ProductName],"not found")</f>
        <v>Whose</v>
      </c>
      <c r="I172" t="str">
        <f>_xlfn.XLOOKUP(tblOrders[[#This Row],[ProductID]],tblProducts[ProductID],tblProducts[Category],"not found")</f>
        <v>Electronics</v>
      </c>
      <c r="J172">
        <f>_xlfn.XLOOKUP(tblOrders[[#This Row],[ProductID]],tblProducts[ProductID],tblProducts[UnitPrice],"not found")</f>
        <v>239.03</v>
      </c>
      <c r="K172" t="str">
        <f>_xlfn.XLOOKUP(tblOrders[[#This Row],[ProductID]],tblProducts[ProductID],tblProducts[Supplier],"not found")</f>
        <v>Carter Group</v>
      </c>
      <c r="L172" s="1" t="s">
        <v>2102</v>
      </c>
      <c r="M1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45249</v>
      </c>
      <c r="N172">
        <v>1</v>
      </c>
      <c r="O172">
        <v>239.03</v>
      </c>
      <c r="P172">
        <f>tblOrders[[#This Row],[Quantity]]*tblOrders[[#This Row],[Unit Price]]</f>
        <v>239.03</v>
      </c>
      <c r="Q172">
        <f>tblOrders[[#This Row],[TotalSales]]-tblOrders[[#This Row],[Calculated Sales]]</f>
        <v>0</v>
      </c>
    </row>
    <row r="173" spans="1:17" x14ac:dyDescent="0.25">
      <c r="A173">
        <v>708</v>
      </c>
      <c r="B173">
        <v>588</v>
      </c>
      <c r="C173" t="str">
        <f>_xlfn.XLOOKUP(tblOrders[[#This Row],[CustomerID]],tblCustomers[CustomerID],tblCustomers[CustomerName],"not found")</f>
        <v>Raymond Bell Jr.</v>
      </c>
      <c r="D173">
        <f>_xlfn.XLOOKUP(tblOrders[[#This Row],[CustomerID]],tblCustomers[CustomerID],tblCustomers[Age],"not found")</f>
        <v>38</v>
      </c>
      <c r="E173" t="str">
        <f>_xlfn.XLOOKUP(tblOrders[[#This Row],[CustomerID]],tblCustomers[CustomerID],tblCustomers[Gender],"not found")</f>
        <v>Male</v>
      </c>
      <c r="F173" t="str">
        <f>_xlfn.XLOOKUP(tblOrders[[#This Row],[CustomerID]],tblCustomers[CustomerID],tblCustomers[Region],"not found")</f>
        <v>West</v>
      </c>
      <c r="G173">
        <v>1023</v>
      </c>
      <c r="H173" t="str">
        <f>_xlfn.XLOOKUP(tblOrders[[#This Row],[ProductID]],tblProducts[ProductID],tblProducts[ProductName],"not found")</f>
        <v>Whose</v>
      </c>
      <c r="I173" t="str">
        <f>_xlfn.XLOOKUP(tblOrders[[#This Row],[ProductID]],tblProducts[ProductID],tblProducts[Category],"not found")</f>
        <v>Electronics</v>
      </c>
      <c r="J173">
        <f>_xlfn.XLOOKUP(tblOrders[[#This Row],[ProductID]],tblProducts[ProductID],tblProducts[UnitPrice],"not found")</f>
        <v>239.03</v>
      </c>
      <c r="K173" t="str">
        <f>_xlfn.XLOOKUP(tblOrders[[#This Row],[ProductID]],tblProducts[ProductID],tblProducts[Supplier],"not found")</f>
        <v>Carter Group</v>
      </c>
      <c r="L173" s="1">
        <v>45292</v>
      </c>
      <c r="M1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45292</v>
      </c>
      <c r="N173">
        <v>5</v>
      </c>
      <c r="O173">
        <v>1195.1500000000001</v>
      </c>
      <c r="P173">
        <f>tblOrders[[#This Row],[Quantity]]*tblOrders[[#This Row],[Unit Price]]</f>
        <v>1195.1500000000001</v>
      </c>
      <c r="Q173">
        <f>tblOrders[[#This Row],[TotalSales]]-tblOrders[[#This Row],[Calculated Sales]]</f>
        <v>0</v>
      </c>
    </row>
    <row r="174" spans="1:17" x14ac:dyDescent="0.25">
      <c r="A174">
        <v>748</v>
      </c>
      <c r="B174">
        <v>338</v>
      </c>
      <c r="C174" t="str">
        <f>_xlfn.XLOOKUP(tblOrders[[#This Row],[CustomerID]],tblCustomers[CustomerID],tblCustomers[CustomerName],"not found")</f>
        <v>Michelle Campbell</v>
      </c>
      <c r="D174">
        <f>_xlfn.XLOOKUP(tblOrders[[#This Row],[CustomerID]],tblCustomers[CustomerID],tblCustomers[Age],"not found")</f>
        <v>49</v>
      </c>
      <c r="E174" t="str">
        <f>_xlfn.XLOOKUP(tblOrders[[#This Row],[CustomerID]],tblCustomers[CustomerID],tblCustomers[Gender],"not found")</f>
        <v>Male</v>
      </c>
      <c r="F174" t="str">
        <f>_xlfn.XLOOKUP(tblOrders[[#This Row],[CustomerID]],tblCustomers[CustomerID],tblCustomers[Region],"not found")</f>
        <v>West</v>
      </c>
      <c r="G174">
        <v>1023</v>
      </c>
      <c r="H174" t="str">
        <f>_xlfn.XLOOKUP(tblOrders[[#This Row],[ProductID]],tblProducts[ProductID],tblProducts[ProductName],"not found")</f>
        <v>Whose</v>
      </c>
      <c r="I174" t="str">
        <f>_xlfn.XLOOKUP(tblOrders[[#This Row],[ProductID]],tblProducts[ProductID],tblProducts[Category],"not found")</f>
        <v>Electronics</v>
      </c>
      <c r="J174">
        <f>_xlfn.XLOOKUP(tblOrders[[#This Row],[ProductID]],tblProducts[ProductID],tblProducts[UnitPrice],"not found")</f>
        <v>239.03</v>
      </c>
      <c r="K174" t="str">
        <f>_xlfn.XLOOKUP(tblOrders[[#This Row],[ProductID]],tblProducts[ProductID],tblProducts[Supplier],"not found")</f>
        <v>Carter Group</v>
      </c>
      <c r="L174" s="1" t="s">
        <v>2103</v>
      </c>
      <c r="M1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45532</v>
      </c>
      <c r="N174">
        <v>2</v>
      </c>
      <c r="O174">
        <v>478.06</v>
      </c>
      <c r="P174">
        <f>tblOrders[[#This Row],[Quantity]]*tblOrders[[#This Row],[Unit Price]]</f>
        <v>478.06</v>
      </c>
      <c r="Q174">
        <f>tblOrders[[#This Row],[TotalSales]]-tblOrders[[#This Row],[Calculated Sales]]</f>
        <v>0</v>
      </c>
    </row>
    <row r="175" spans="1:17" x14ac:dyDescent="0.25">
      <c r="A175">
        <v>877</v>
      </c>
      <c r="B175">
        <v>793</v>
      </c>
      <c r="C175" t="str">
        <f>_xlfn.XLOOKUP(tblOrders[[#This Row],[CustomerID]],tblCustomers[CustomerID],tblCustomers[CustomerName],"not found")</f>
        <v>Anne Gardner</v>
      </c>
      <c r="D175">
        <f>_xlfn.XLOOKUP(tblOrders[[#This Row],[CustomerID]],tblCustomers[CustomerID],tblCustomers[Age],"not found")</f>
        <v>25</v>
      </c>
      <c r="E175" t="str">
        <f>_xlfn.XLOOKUP(tblOrders[[#This Row],[CustomerID]],tblCustomers[CustomerID],tblCustomers[Gender],"not found")</f>
        <v>Female</v>
      </c>
      <c r="F175" t="str">
        <f>_xlfn.XLOOKUP(tblOrders[[#This Row],[CustomerID]],tblCustomers[CustomerID],tblCustomers[Region],"not found")</f>
        <v>Central</v>
      </c>
      <c r="G175">
        <v>1023</v>
      </c>
      <c r="H175" t="str">
        <f>_xlfn.XLOOKUP(tblOrders[[#This Row],[ProductID]],tblProducts[ProductID],tblProducts[ProductName],"not found")</f>
        <v>Whose</v>
      </c>
      <c r="I175" t="str">
        <f>_xlfn.XLOOKUP(tblOrders[[#This Row],[ProductID]],tblProducts[ProductID],tblProducts[Category],"not found")</f>
        <v>Electronics</v>
      </c>
      <c r="J175">
        <f>_xlfn.XLOOKUP(tblOrders[[#This Row],[ProductID]],tblProducts[ProductID],tblProducts[UnitPrice],"not found")</f>
        <v>239.03</v>
      </c>
      <c r="K175" t="str">
        <f>_xlfn.XLOOKUP(tblOrders[[#This Row],[ProductID]],tblProducts[ProductID],tblProducts[Supplier],"not found")</f>
        <v>Carter Group</v>
      </c>
      <c r="L175" s="1" t="s">
        <v>2104</v>
      </c>
      <c r="M1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45045</v>
      </c>
      <c r="N175">
        <v>7</v>
      </c>
      <c r="O175">
        <v>1673.21</v>
      </c>
      <c r="P175">
        <f>tblOrders[[#This Row],[Quantity]]*tblOrders[[#This Row],[Unit Price]]</f>
        <v>1673.21</v>
      </c>
      <c r="Q175">
        <f>tblOrders[[#This Row],[TotalSales]]-tblOrders[[#This Row],[Calculated Sales]]</f>
        <v>0</v>
      </c>
    </row>
    <row r="176" spans="1:17" x14ac:dyDescent="0.25">
      <c r="A176">
        <v>1076</v>
      </c>
      <c r="B176">
        <v>909</v>
      </c>
      <c r="C176" t="str">
        <f>_xlfn.XLOOKUP(tblOrders[[#This Row],[CustomerID]],tblCustomers[CustomerID],tblCustomers[CustomerName],"not found")</f>
        <v>Gerald Gardner</v>
      </c>
      <c r="D176">
        <f>_xlfn.XLOOKUP(tblOrders[[#This Row],[CustomerID]],tblCustomers[CustomerID],tblCustomers[Age],"not found")</f>
        <v>62</v>
      </c>
      <c r="E176" t="str">
        <f>_xlfn.XLOOKUP(tblOrders[[#This Row],[CustomerID]],tblCustomers[CustomerID],tblCustomers[Gender],"not found")</f>
        <v>Female</v>
      </c>
      <c r="F176" t="str">
        <f>_xlfn.XLOOKUP(tblOrders[[#This Row],[CustomerID]],tblCustomers[CustomerID],tblCustomers[Region],"not found")</f>
        <v>North</v>
      </c>
      <c r="G176">
        <v>1023</v>
      </c>
      <c r="H176" t="str">
        <f>_xlfn.XLOOKUP(tblOrders[[#This Row],[ProductID]],tblProducts[ProductID],tblProducts[ProductName],"not found")</f>
        <v>Whose</v>
      </c>
      <c r="I176" t="str">
        <f>_xlfn.XLOOKUP(tblOrders[[#This Row],[ProductID]],tblProducts[ProductID],tblProducts[Category],"not found")</f>
        <v>Electronics</v>
      </c>
      <c r="J176">
        <f>_xlfn.XLOOKUP(tblOrders[[#This Row],[ProductID]],tblProducts[ProductID],tblProducts[UnitPrice],"not found")</f>
        <v>239.03</v>
      </c>
      <c r="K176" t="str">
        <f>_xlfn.XLOOKUP(tblOrders[[#This Row],[ProductID]],tblProducts[ProductID],tblProducts[Supplier],"not found")</f>
        <v>Carter Group</v>
      </c>
      <c r="L176" s="1" t="s">
        <v>2084</v>
      </c>
      <c r="M1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45460</v>
      </c>
      <c r="N176">
        <v>6</v>
      </c>
      <c r="O176">
        <v>1434.18</v>
      </c>
      <c r="P176">
        <f>tblOrders[[#This Row],[Quantity]]*tblOrders[[#This Row],[Unit Price]]</f>
        <v>1434.18</v>
      </c>
      <c r="Q176">
        <f>tblOrders[[#This Row],[TotalSales]]-tblOrders[[#This Row],[Calculated Sales]]</f>
        <v>0</v>
      </c>
    </row>
    <row r="177" spans="1:17" x14ac:dyDescent="0.25">
      <c r="A177">
        <v>1241</v>
      </c>
      <c r="B177">
        <v>973</v>
      </c>
      <c r="C177" t="str">
        <f>_xlfn.XLOOKUP(tblOrders[[#This Row],[CustomerID]],tblCustomers[CustomerID],tblCustomers[CustomerName],"not found")</f>
        <v>Kathy Moore</v>
      </c>
      <c r="D177">
        <f>_xlfn.XLOOKUP(tblOrders[[#This Row],[CustomerID]],tblCustomers[CustomerID],tblCustomers[Age],"not found")</f>
        <v>31</v>
      </c>
      <c r="E177" t="str">
        <f>_xlfn.XLOOKUP(tblOrders[[#This Row],[CustomerID]],tblCustomers[CustomerID],tblCustomers[Gender],"not found")</f>
        <v>Female</v>
      </c>
      <c r="F177" t="str">
        <f>_xlfn.XLOOKUP(tblOrders[[#This Row],[CustomerID]],tblCustomers[CustomerID],tblCustomers[Region],"not found")</f>
        <v>North</v>
      </c>
      <c r="G177">
        <v>1023</v>
      </c>
      <c r="H177" t="str">
        <f>_xlfn.XLOOKUP(tblOrders[[#This Row],[ProductID]],tblProducts[ProductID],tblProducts[ProductName],"not found")</f>
        <v>Whose</v>
      </c>
      <c r="I177" t="str">
        <f>_xlfn.XLOOKUP(tblOrders[[#This Row],[ProductID]],tblProducts[ProductID],tblProducts[Category],"not found")</f>
        <v>Electronics</v>
      </c>
      <c r="J177">
        <f>_xlfn.XLOOKUP(tblOrders[[#This Row],[ProductID]],tblProducts[ProductID],tblProducts[UnitPrice],"not found")</f>
        <v>239.03</v>
      </c>
      <c r="K177" t="str">
        <f>_xlfn.XLOOKUP(tblOrders[[#This Row],[ProductID]],tblProducts[ProductID],tblProducts[Supplier],"not found")</f>
        <v>Carter Group</v>
      </c>
      <c r="L177" s="1" t="s">
        <v>2065</v>
      </c>
      <c r="M1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45195</v>
      </c>
      <c r="N177">
        <v>6</v>
      </c>
      <c r="O177">
        <v>1434.18</v>
      </c>
      <c r="P177">
        <f>tblOrders[[#This Row],[Quantity]]*tblOrders[[#This Row],[Unit Price]]</f>
        <v>1434.18</v>
      </c>
      <c r="Q177">
        <f>tblOrders[[#This Row],[TotalSales]]-tblOrders[[#This Row],[Calculated Sales]]</f>
        <v>0</v>
      </c>
    </row>
    <row r="178" spans="1:17" x14ac:dyDescent="0.25">
      <c r="A178">
        <v>1284</v>
      </c>
      <c r="B178">
        <v>451</v>
      </c>
      <c r="C178" t="str">
        <f>_xlfn.XLOOKUP(tblOrders[[#This Row],[CustomerID]],tblCustomers[CustomerID],tblCustomers[CustomerName],"not found")</f>
        <v>Ronald West</v>
      </c>
      <c r="D178">
        <f>_xlfn.XLOOKUP(tblOrders[[#This Row],[CustomerID]],tblCustomers[CustomerID],tblCustomers[Age],"not found")</f>
        <v>46</v>
      </c>
      <c r="E178" t="str">
        <f>_xlfn.XLOOKUP(tblOrders[[#This Row],[CustomerID]],tblCustomers[CustomerID],tblCustomers[Gender],"not found")</f>
        <v>Male</v>
      </c>
      <c r="F178" t="str">
        <f>_xlfn.XLOOKUP(tblOrders[[#This Row],[CustomerID]],tblCustomers[CustomerID],tblCustomers[Region],"not found")</f>
        <v>Central</v>
      </c>
      <c r="G178">
        <v>1023</v>
      </c>
      <c r="H178" t="str">
        <f>_xlfn.XLOOKUP(tblOrders[[#This Row],[ProductID]],tblProducts[ProductID],tblProducts[ProductName],"not found")</f>
        <v>Whose</v>
      </c>
      <c r="I178" t="str">
        <f>_xlfn.XLOOKUP(tblOrders[[#This Row],[ProductID]],tblProducts[ProductID],tblProducts[Category],"not found")</f>
        <v>Electronics</v>
      </c>
      <c r="J178">
        <f>_xlfn.XLOOKUP(tblOrders[[#This Row],[ProductID]],tblProducts[ProductID],tblProducts[UnitPrice],"not found")</f>
        <v>239.03</v>
      </c>
      <c r="K178" t="str">
        <f>_xlfn.XLOOKUP(tblOrders[[#This Row],[ProductID]],tblProducts[ProductID],tblProducts[Supplier],"not found")</f>
        <v>Carter Group</v>
      </c>
      <c r="L178" s="1">
        <v>45211</v>
      </c>
      <c r="M1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45211</v>
      </c>
      <c r="N178">
        <v>1</v>
      </c>
      <c r="O178">
        <v>239.03</v>
      </c>
      <c r="P178">
        <f>tblOrders[[#This Row],[Quantity]]*tblOrders[[#This Row],[Unit Price]]</f>
        <v>239.03</v>
      </c>
      <c r="Q178">
        <f>tblOrders[[#This Row],[TotalSales]]-tblOrders[[#This Row],[Calculated Sales]]</f>
        <v>0</v>
      </c>
    </row>
    <row r="179" spans="1:17" x14ac:dyDescent="0.25">
      <c r="A179">
        <v>1374</v>
      </c>
      <c r="B179">
        <v>787</v>
      </c>
      <c r="C179" t="str">
        <f>_xlfn.XLOOKUP(tblOrders[[#This Row],[CustomerID]],tblCustomers[CustomerID],tblCustomers[CustomerName],"not found")</f>
        <v>Danielle Flowers</v>
      </c>
      <c r="D179">
        <f>_xlfn.XLOOKUP(tblOrders[[#This Row],[CustomerID]],tblCustomers[CustomerID],tblCustomers[Age],"not found")</f>
        <v>46</v>
      </c>
      <c r="E179" t="str">
        <f>_xlfn.XLOOKUP(tblOrders[[#This Row],[CustomerID]],tblCustomers[CustomerID],tblCustomers[Gender],"not found")</f>
        <v>Male</v>
      </c>
      <c r="F179" t="str">
        <f>_xlfn.XLOOKUP(tblOrders[[#This Row],[CustomerID]],tblCustomers[CustomerID],tblCustomers[Region],"not found")</f>
        <v>West</v>
      </c>
      <c r="G179">
        <v>1023</v>
      </c>
      <c r="H179" t="str">
        <f>_xlfn.XLOOKUP(tblOrders[[#This Row],[ProductID]],tblProducts[ProductID],tblProducts[ProductName],"not found")</f>
        <v>Whose</v>
      </c>
      <c r="I179" t="str">
        <f>_xlfn.XLOOKUP(tblOrders[[#This Row],[ProductID]],tblProducts[ProductID],tblProducts[Category],"not found")</f>
        <v>Electronics</v>
      </c>
      <c r="J179">
        <f>_xlfn.XLOOKUP(tblOrders[[#This Row],[ProductID]],tblProducts[ProductID],tblProducts[UnitPrice],"not found")</f>
        <v>239.03</v>
      </c>
      <c r="K179" t="str">
        <f>_xlfn.XLOOKUP(tblOrders[[#This Row],[ProductID]],tblProducts[ProductID],tblProducts[Supplier],"not found")</f>
        <v>Carter Group</v>
      </c>
      <c r="L179" s="1">
        <v>45173</v>
      </c>
      <c r="M1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45173</v>
      </c>
      <c r="N179">
        <v>9</v>
      </c>
      <c r="O179">
        <v>2151.27</v>
      </c>
      <c r="P179">
        <f>tblOrders[[#This Row],[Quantity]]*tblOrders[[#This Row],[Unit Price]]</f>
        <v>2151.27</v>
      </c>
      <c r="Q179">
        <f>tblOrders[[#This Row],[TotalSales]]-tblOrders[[#This Row],[Calculated Sales]]</f>
        <v>0</v>
      </c>
    </row>
    <row r="180" spans="1:17" x14ac:dyDescent="0.25">
      <c r="A180">
        <v>1497</v>
      </c>
      <c r="B180">
        <v>843</v>
      </c>
      <c r="C180" t="str">
        <f>_xlfn.XLOOKUP(tblOrders[[#This Row],[CustomerID]],tblCustomers[CustomerID],tblCustomers[CustomerName],"not found")</f>
        <v>Deborah Wilson</v>
      </c>
      <c r="D180">
        <f>_xlfn.XLOOKUP(tblOrders[[#This Row],[CustomerID]],tblCustomers[CustomerID],tblCustomers[Age],"not found")</f>
        <v>54</v>
      </c>
      <c r="E180" t="str">
        <f>_xlfn.XLOOKUP(tblOrders[[#This Row],[CustomerID]],tblCustomers[CustomerID],tblCustomers[Gender],"not found")</f>
        <v>Female</v>
      </c>
      <c r="F180" t="str">
        <f>_xlfn.XLOOKUP(tblOrders[[#This Row],[CustomerID]],tblCustomers[CustomerID],tblCustomers[Region],"not found")</f>
        <v>East</v>
      </c>
      <c r="G180">
        <v>1023</v>
      </c>
      <c r="H180" t="str">
        <f>_xlfn.XLOOKUP(tblOrders[[#This Row],[ProductID]],tblProducts[ProductID],tblProducts[ProductName],"not found")</f>
        <v>Whose</v>
      </c>
      <c r="I180" t="str">
        <f>_xlfn.XLOOKUP(tblOrders[[#This Row],[ProductID]],tblProducts[ProductID],tblProducts[Category],"not found")</f>
        <v>Electronics</v>
      </c>
      <c r="J180">
        <f>_xlfn.XLOOKUP(tblOrders[[#This Row],[ProductID]],tblProducts[ProductID],tblProducts[UnitPrice],"not found")</f>
        <v>239.03</v>
      </c>
      <c r="K180" t="str">
        <f>_xlfn.XLOOKUP(tblOrders[[#This Row],[ProductID]],tblProducts[ProductID],tblProducts[Supplier],"not found")</f>
        <v>Carter Group</v>
      </c>
      <c r="L180" s="1" t="s">
        <v>2105</v>
      </c>
      <c r="M1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45279</v>
      </c>
      <c r="N180">
        <v>7</v>
      </c>
      <c r="O180">
        <v>1673.21</v>
      </c>
      <c r="P180">
        <f>tblOrders[[#This Row],[Quantity]]*tblOrders[[#This Row],[Unit Price]]</f>
        <v>1673.21</v>
      </c>
      <c r="Q180">
        <f>tblOrders[[#This Row],[TotalSales]]-tblOrders[[#This Row],[Calculated Sales]]</f>
        <v>0</v>
      </c>
    </row>
    <row r="181" spans="1:17" x14ac:dyDescent="0.25">
      <c r="A181">
        <v>1507</v>
      </c>
      <c r="B181">
        <v>659</v>
      </c>
      <c r="C181" t="str">
        <f>_xlfn.XLOOKUP(tblOrders[[#This Row],[CustomerID]],tblCustomers[CustomerID],tblCustomers[CustomerName],"not found")</f>
        <v>Tommy Haas</v>
      </c>
      <c r="D181">
        <f>_xlfn.XLOOKUP(tblOrders[[#This Row],[CustomerID]],tblCustomers[CustomerID],tblCustomers[Age],"not found")</f>
        <v>28</v>
      </c>
      <c r="E181" t="str">
        <f>_xlfn.XLOOKUP(tblOrders[[#This Row],[CustomerID]],tblCustomers[CustomerID],tblCustomers[Gender],"not found")</f>
        <v>Female</v>
      </c>
      <c r="F181" t="str">
        <f>_xlfn.XLOOKUP(tblOrders[[#This Row],[CustomerID]],tblCustomers[CustomerID],tblCustomers[Region],"not found")</f>
        <v>Central</v>
      </c>
      <c r="G181">
        <v>1023</v>
      </c>
      <c r="H181" t="str">
        <f>_xlfn.XLOOKUP(tblOrders[[#This Row],[ProductID]],tblProducts[ProductID],tblProducts[ProductName],"not found")</f>
        <v>Whose</v>
      </c>
      <c r="I181" t="str">
        <f>_xlfn.XLOOKUP(tblOrders[[#This Row],[ProductID]],tblProducts[ProductID],tblProducts[Category],"not found")</f>
        <v>Electronics</v>
      </c>
      <c r="J181">
        <f>_xlfn.XLOOKUP(tblOrders[[#This Row],[ProductID]],tblProducts[ProductID],tblProducts[UnitPrice],"not found")</f>
        <v>239.03</v>
      </c>
      <c r="K181" t="str">
        <f>_xlfn.XLOOKUP(tblOrders[[#This Row],[ProductID]],tblProducts[ProductID],tblProducts[Supplier],"not found")</f>
        <v>Carter Group</v>
      </c>
      <c r="L181" s="1" t="s">
        <v>2106</v>
      </c>
      <c r="M1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45186</v>
      </c>
      <c r="N181">
        <v>7</v>
      </c>
      <c r="O181">
        <v>1673.21</v>
      </c>
      <c r="P181">
        <f>tblOrders[[#This Row],[Quantity]]*tblOrders[[#This Row],[Unit Price]]</f>
        <v>1673.21</v>
      </c>
      <c r="Q181">
        <f>tblOrders[[#This Row],[TotalSales]]-tblOrders[[#This Row],[Calculated Sales]]</f>
        <v>0</v>
      </c>
    </row>
    <row r="182" spans="1:17" x14ac:dyDescent="0.25">
      <c r="A182">
        <v>1560</v>
      </c>
      <c r="B182">
        <v>823</v>
      </c>
      <c r="C182" t="str">
        <f>_xlfn.XLOOKUP(tblOrders[[#This Row],[CustomerID]],tblCustomers[CustomerID],tblCustomers[CustomerName],"not found")</f>
        <v>Scott Thomas</v>
      </c>
      <c r="D182">
        <f>_xlfn.XLOOKUP(tblOrders[[#This Row],[CustomerID]],tblCustomers[CustomerID],tblCustomers[Age],"not found")</f>
        <v>28</v>
      </c>
      <c r="E182" t="str">
        <f>_xlfn.XLOOKUP(tblOrders[[#This Row],[CustomerID]],tblCustomers[CustomerID],tblCustomers[Gender],"not found")</f>
        <v>Male</v>
      </c>
      <c r="F182" t="str">
        <f>_xlfn.XLOOKUP(tblOrders[[#This Row],[CustomerID]],tblCustomers[CustomerID],tblCustomers[Region],"not found")</f>
        <v>East</v>
      </c>
      <c r="G182">
        <v>1023</v>
      </c>
      <c r="H182" t="str">
        <f>_xlfn.XLOOKUP(tblOrders[[#This Row],[ProductID]],tblProducts[ProductID],tblProducts[ProductName],"not found")</f>
        <v>Whose</v>
      </c>
      <c r="I182" t="str">
        <f>_xlfn.XLOOKUP(tblOrders[[#This Row],[ProductID]],tblProducts[ProductID],tblProducts[Category],"not found")</f>
        <v>Electronics</v>
      </c>
      <c r="J182">
        <f>_xlfn.XLOOKUP(tblOrders[[#This Row],[ProductID]],tblProducts[ProductID],tblProducts[UnitPrice],"not found")</f>
        <v>239.03</v>
      </c>
      <c r="K182" t="str">
        <f>_xlfn.XLOOKUP(tblOrders[[#This Row],[ProductID]],tblProducts[ProductID],tblProducts[Supplier],"not found")</f>
        <v>Carter Group</v>
      </c>
      <c r="L182" s="1" t="s">
        <v>2107</v>
      </c>
      <c r="M1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182">
        <v>3</v>
      </c>
      <c r="O182">
        <v>717.09</v>
      </c>
      <c r="P182">
        <f>tblOrders[[#This Row],[Quantity]]*tblOrders[[#This Row],[Unit Price]]</f>
        <v>717.09</v>
      </c>
      <c r="Q182">
        <f>tblOrders[[#This Row],[TotalSales]]-tblOrders[[#This Row],[Calculated Sales]]</f>
        <v>0</v>
      </c>
    </row>
    <row r="183" spans="1:17" x14ac:dyDescent="0.25">
      <c r="A183">
        <v>1735</v>
      </c>
      <c r="B183">
        <v>508</v>
      </c>
      <c r="C183" t="str">
        <f>_xlfn.XLOOKUP(tblOrders[[#This Row],[CustomerID]],tblCustomers[CustomerID],tblCustomers[CustomerName],"not found")</f>
        <v>George Kidd</v>
      </c>
      <c r="D183">
        <f>_xlfn.XLOOKUP(tblOrders[[#This Row],[CustomerID]],tblCustomers[CustomerID],tblCustomers[Age],"not found")</f>
        <v>58</v>
      </c>
      <c r="E183" t="str">
        <f>_xlfn.XLOOKUP(tblOrders[[#This Row],[CustomerID]],tblCustomers[CustomerID],tblCustomers[Gender],"not found")</f>
        <v>Female</v>
      </c>
      <c r="F183" t="str">
        <f>_xlfn.XLOOKUP(tblOrders[[#This Row],[CustomerID]],tblCustomers[CustomerID],tblCustomers[Region],"not found")</f>
        <v>South</v>
      </c>
      <c r="G183">
        <v>1023</v>
      </c>
      <c r="H183" t="str">
        <f>_xlfn.XLOOKUP(tblOrders[[#This Row],[ProductID]],tblProducts[ProductID],tblProducts[ProductName],"not found")</f>
        <v>Whose</v>
      </c>
      <c r="I183" t="str">
        <f>_xlfn.XLOOKUP(tblOrders[[#This Row],[ProductID]],tblProducts[ProductID],tblProducts[Category],"not found")</f>
        <v>Electronics</v>
      </c>
      <c r="J183">
        <f>_xlfn.XLOOKUP(tblOrders[[#This Row],[ProductID]],tblProducts[ProductID],tblProducts[UnitPrice],"not found")</f>
        <v>239.03</v>
      </c>
      <c r="K183" t="str">
        <f>_xlfn.XLOOKUP(tblOrders[[#This Row],[ProductID]],tblProducts[ProductID],tblProducts[Supplier],"not found")</f>
        <v>Carter Group</v>
      </c>
      <c r="L183" s="1" t="s">
        <v>2108</v>
      </c>
      <c r="M1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45042</v>
      </c>
      <c r="N183">
        <v>3</v>
      </c>
      <c r="O183">
        <v>717.09</v>
      </c>
      <c r="P183">
        <f>tblOrders[[#This Row],[Quantity]]*tblOrders[[#This Row],[Unit Price]]</f>
        <v>717.09</v>
      </c>
      <c r="Q183">
        <f>tblOrders[[#This Row],[TotalSales]]-tblOrders[[#This Row],[Calculated Sales]]</f>
        <v>0</v>
      </c>
    </row>
    <row r="184" spans="1:17" x14ac:dyDescent="0.25">
      <c r="A184">
        <v>1745</v>
      </c>
      <c r="B184">
        <v>813</v>
      </c>
      <c r="C184" t="str">
        <f>_xlfn.XLOOKUP(tblOrders[[#This Row],[CustomerID]],tblCustomers[CustomerID],tblCustomers[CustomerName],"not found")</f>
        <v>Elizabeth Johnson</v>
      </c>
      <c r="D184">
        <f>_xlfn.XLOOKUP(tblOrders[[#This Row],[CustomerID]],tblCustomers[CustomerID],tblCustomers[Age],"not found")</f>
        <v>67</v>
      </c>
      <c r="E184" t="str">
        <f>_xlfn.XLOOKUP(tblOrders[[#This Row],[CustomerID]],tblCustomers[CustomerID],tblCustomers[Gender],"not found")</f>
        <v>Female</v>
      </c>
      <c r="F184" t="str">
        <f>_xlfn.XLOOKUP(tblOrders[[#This Row],[CustomerID]],tblCustomers[CustomerID],tblCustomers[Region],"not found")</f>
        <v>North</v>
      </c>
      <c r="G184">
        <v>1023</v>
      </c>
      <c r="H184" t="str">
        <f>_xlfn.XLOOKUP(tblOrders[[#This Row],[ProductID]],tblProducts[ProductID],tblProducts[ProductName],"not found")</f>
        <v>Whose</v>
      </c>
      <c r="I184" t="str">
        <f>_xlfn.XLOOKUP(tblOrders[[#This Row],[ProductID]],tblProducts[ProductID],tblProducts[Category],"not found")</f>
        <v>Electronics</v>
      </c>
      <c r="J184">
        <f>_xlfn.XLOOKUP(tblOrders[[#This Row],[ProductID]],tblProducts[ProductID],tblProducts[UnitPrice],"not found")</f>
        <v>239.03</v>
      </c>
      <c r="K184" t="str">
        <f>_xlfn.XLOOKUP(tblOrders[[#This Row],[ProductID]],tblProducts[ProductID],tblProducts[Supplier],"not found")</f>
        <v>Carter Group</v>
      </c>
      <c r="L184" s="1" t="s">
        <v>2109</v>
      </c>
      <c r="M1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45101</v>
      </c>
      <c r="N184">
        <v>5</v>
      </c>
      <c r="O184">
        <v>1195.1500000000001</v>
      </c>
      <c r="P184">
        <f>tblOrders[[#This Row],[Quantity]]*tblOrders[[#This Row],[Unit Price]]</f>
        <v>1195.1500000000001</v>
      </c>
      <c r="Q184">
        <f>tblOrders[[#This Row],[TotalSales]]-tblOrders[[#This Row],[Calculated Sales]]</f>
        <v>0</v>
      </c>
    </row>
    <row r="185" spans="1:17" x14ac:dyDescent="0.25">
      <c r="A185">
        <v>1793</v>
      </c>
      <c r="B185">
        <v>907</v>
      </c>
      <c r="C185" t="str">
        <f>_xlfn.XLOOKUP(tblOrders[[#This Row],[CustomerID]],tblCustomers[CustomerID],tblCustomers[CustomerName],"not found")</f>
        <v>Edgar Lewis</v>
      </c>
      <c r="D185">
        <f>_xlfn.XLOOKUP(tblOrders[[#This Row],[CustomerID]],tblCustomers[CustomerID],tblCustomers[Age],"not found")</f>
        <v>48</v>
      </c>
      <c r="E185" t="str">
        <f>_xlfn.XLOOKUP(tblOrders[[#This Row],[CustomerID]],tblCustomers[CustomerID],tblCustomers[Gender],"not found")</f>
        <v>Female</v>
      </c>
      <c r="F185" t="str">
        <f>_xlfn.XLOOKUP(tblOrders[[#This Row],[CustomerID]],tblCustomers[CustomerID],tblCustomers[Region],"not found")</f>
        <v>Central</v>
      </c>
      <c r="G185">
        <v>1023</v>
      </c>
      <c r="H185" t="str">
        <f>_xlfn.XLOOKUP(tblOrders[[#This Row],[ProductID]],tblProducts[ProductID],tblProducts[ProductName],"not found")</f>
        <v>Whose</v>
      </c>
      <c r="I185" t="str">
        <f>_xlfn.XLOOKUP(tblOrders[[#This Row],[ProductID]],tblProducts[ProductID],tblProducts[Category],"not found")</f>
        <v>Electronics</v>
      </c>
      <c r="J185">
        <f>_xlfn.XLOOKUP(tblOrders[[#This Row],[ProductID]],tblProducts[ProductID],tblProducts[UnitPrice],"not found")</f>
        <v>239.03</v>
      </c>
      <c r="K185" t="str">
        <f>_xlfn.XLOOKUP(tblOrders[[#This Row],[ProductID]],tblProducts[ProductID],tblProducts[Supplier],"not found")</f>
        <v>Carter Group</v>
      </c>
      <c r="L185" s="1">
        <v>45606</v>
      </c>
      <c r="M1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45606</v>
      </c>
      <c r="N185">
        <v>3</v>
      </c>
      <c r="O185">
        <v>717.09</v>
      </c>
      <c r="P185">
        <f>tblOrders[[#This Row],[Quantity]]*tblOrders[[#This Row],[Unit Price]]</f>
        <v>717.09</v>
      </c>
      <c r="Q185">
        <f>tblOrders[[#This Row],[TotalSales]]-tblOrders[[#This Row],[Calculated Sales]]</f>
        <v>0</v>
      </c>
    </row>
    <row r="186" spans="1:17" x14ac:dyDescent="0.25">
      <c r="A186">
        <v>1805</v>
      </c>
      <c r="B186">
        <v>755</v>
      </c>
      <c r="C186" t="str">
        <f>_xlfn.XLOOKUP(tblOrders[[#This Row],[CustomerID]],tblCustomers[CustomerID],tblCustomers[CustomerName],"not found")</f>
        <v>Donna Mendoza</v>
      </c>
      <c r="D186">
        <f>_xlfn.XLOOKUP(tblOrders[[#This Row],[CustomerID]],tblCustomers[CustomerID],tblCustomers[Age],"not found")</f>
        <v>54</v>
      </c>
      <c r="E186" t="str">
        <f>_xlfn.XLOOKUP(tblOrders[[#This Row],[CustomerID]],tblCustomers[CustomerID],tblCustomers[Gender],"not found")</f>
        <v>Female</v>
      </c>
      <c r="F186" t="str">
        <f>_xlfn.XLOOKUP(tblOrders[[#This Row],[CustomerID]],tblCustomers[CustomerID],tblCustomers[Region],"not found")</f>
        <v>Central</v>
      </c>
      <c r="G186">
        <v>1023</v>
      </c>
      <c r="H186" t="str">
        <f>_xlfn.XLOOKUP(tblOrders[[#This Row],[ProductID]],tblProducts[ProductID],tblProducts[ProductName],"not found")</f>
        <v>Whose</v>
      </c>
      <c r="I186" t="str">
        <f>_xlfn.XLOOKUP(tblOrders[[#This Row],[ProductID]],tblProducts[ProductID],tblProducts[Category],"not found")</f>
        <v>Electronics</v>
      </c>
      <c r="J186">
        <f>_xlfn.XLOOKUP(tblOrders[[#This Row],[ProductID]],tblProducts[ProductID],tblProducts[UnitPrice],"not found")</f>
        <v>239.03</v>
      </c>
      <c r="K186" t="str">
        <f>_xlfn.XLOOKUP(tblOrders[[#This Row],[ProductID]],tblProducts[ProductID],tblProducts[Supplier],"not found")</f>
        <v>Carter Group</v>
      </c>
      <c r="L186" s="1" t="s">
        <v>2110</v>
      </c>
      <c r="M1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45489</v>
      </c>
      <c r="N186">
        <v>3</v>
      </c>
      <c r="O186">
        <v>717.09</v>
      </c>
      <c r="P186">
        <f>tblOrders[[#This Row],[Quantity]]*tblOrders[[#This Row],[Unit Price]]</f>
        <v>717.09</v>
      </c>
      <c r="Q186">
        <f>tblOrders[[#This Row],[TotalSales]]-tblOrders[[#This Row],[Calculated Sales]]</f>
        <v>0</v>
      </c>
    </row>
    <row r="187" spans="1:17" x14ac:dyDescent="0.25">
      <c r="A187">
        <v>1908</v>
      </c>
      <c r="B187">
        <v>560</v>
      </c>
      <c r="C187" t="str">
        <f>_xlfn.XLOOKUP(tblOrders[[#This Row],[CustomerID]],tblCustomers[CustomerID],tblCustomers[CustomerName],"not found")</f>
        <v>Rose Lopez</v>
      </c>
      <c r="D187">
        <f>_xlfn.XLOOKUP(tblOrders[[#This Row],[CustomerID]],tblCustomers[CustomerID],tblCustomers[Age],"not found")</f>
        <v>21</v>
      </c>
      <c r="E187" t="str">
        <f>_xlfn.XLOOKUP(tblOrders[[#This Row],[CustomerID]],tblCustomers[CustomerID],tblCustomers[Gender],"not found")</f>
        <v>Male</v>
      </c>
      <c r="F187" t="str">
        <f>_xlfn.XLOOKUP(tblOrders[[#This Row],[CustomerID]],tblCustomers[CustomerID],tblCustomers[Region],"not found")</f>
        <v>East</v>
      </c>
      <c r="G187">
        <v>1023</v>
      </c>
      <c r="H187" t="str">
        <f>_xlfn.XLOOKUP(tblOrders[[#This Row],[ProductID]],tblProducts[ProductID],tblProducts[ProductName],"not found")</f>
        <v>Whose</v>
      </c>
      <c r="I187" t="str">
        <f>_xlfn.XLOOKUP(tblOrders[[#This Row],[ProductID]],tblProducts[ProductID],tblProducts[Category],"not found")</f>
        <v>Electronics</v>
      </c>
      <c r="J187">
        <f>_xlfn.XLOOKUP(tblOrders[[#This Row],[ProductID]],tblProducts[ProductID],tblProducts[UnitPrice],"not found")</f>
        <v>239.03</v>
      </c>
      <c r="K187" t="str">
        <f>_xlfn.XLOOKUP(tblOrders[[#This Row],[ProductID]],tblProducts[ProductID],tblProducts[Supplier],"not found")</f>
        <v>Carter Group</v>
      </c>
      <c r="L187" s="1" t="s">
        <v>2064</v>
      </c>
      <c r="M1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45135</v>
      </c>
      <c r="N187">
        <v>3</v>
      </c>
      <c r="O187">
        <v>717.09</v>
      </c>
      <c r="P187">
        <f>tblOrders[[#This Row],[Quantity]]*tblOrders[[#This Row],[Unit Price]]</f>
        <v>717.09</v>
      </c>
      <c r="Q187">
        <f>tblOrders[[#This Row],[TotalSales]]-tblOrders[[#This Row],[Calculated Sales]]</f>
        <v>0</v>
      </c>
    </row>
    <row r="188" spans="1:17" x14ac:dyDescent="0.25">
      <c r="A188">
        <v>10</v>
      </c>
      <c r="B188">
        <v>396</v>
      </c>
      <c r="C188" t="str">
        <f>_xlfn.XLOOKUP(tblOrders[[#This Row],[CustomerID]],tblCustomers[CustomerID],tblCustomers[CustomerName],"not found")</f>
        <v>Austin Montes</v>
      </c>
      <c r="D188">
        <f>_xlfn.XLOOKUP(tblOrders[[#This Row],[CustomerID]],tblCustomers[CustomerID],tblCustomers[Age],"not found")</f>
        <v>20</v>
      </c>
      <c r="E188" t="str">
        <f>_xlfn.XLOOKUP(tblOrders[[#This Row],[CustomerID]],tblCustomers[CustomerID],tblCustomers[Gender],"not found")</f>
        <v>Female</v>
      </c>
      <c r="F188" t="str">
        <f>_xlfn.XLOOKUP(tblOrders[[#This Row],[CustomerID]],tblCustomers[CustomerID],tblCustomers[Region],"not found")</f>
        <v>Central</v>
      </c>
      <c r="G188">
        <v>1073</v>
      </c>
      <c r="H188" t="str">
        <f>_xlfn.XLOOKUP(tblOrders[[#This Row],[ProductID]],tblProducts[ProductID],tblProducts[ProductName],"not found")</f>
        <v>Commercial</v>
      </c>
      <c r="I188" t="str">
        <f>_xlfn.XLOOKUP(tblOrders[[#This Row],[ProductID]],tblProducts[ProductID],tblProducts[Category],"not found")</f>
        <v>Electronics</v>
      </c>
      <c r="J188">
        <f>_xlfn.XLOOKUP(tblOrders[[#This Row],[ProductID]],tblProducts[ProductID],tblProducts[UnitPrice],"not found")</f>
        <v>356.32</v>
      </c>
      <c r="K188" t="str">
        <f>_xlfn.XLOOKUP(tblOrders[[#This Row],[ProductID]],tblProducts[ProductID],tblProducts[Supplier],"not found")</f>
        <v>Hunt-Thompson</v>
      </c>
      <c r="L188" s="1" t="s">
        <v>2111</v>
      </c>
      <c r="M1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45343</v>
      </c>
      <c r="N188">
        <v>9</v>
      </c>
      <c r="O188">
        <v>3206.88</v>
      </c>
      <c r="P188">
        <f>tblOrders[[#This Row],[Quantity]]*tblOrders[[#This Row],[Unit Price]]</f>
        <v>3206.88</v>
      </c>
      <c r="Q188">
        <f>tblOrders[[#This Row],[TotalSales]]-tblOrders[[#This Row],[Calculated Sales]]</f>
        <v>0</v>
      </c>
    </row>
    <row r="189" spans="1:17" x14ac:dyDescent="0.25">
      <c r="A189">
        <v>148</v>
      </c>
      <c r="B189">
        <v>619</v>
      </c>
      <c r="C189" t="str">
        <f>_xlfn.XLOOKUP(tblOrders[[#This Row],[CustomerID]],tblCustomers[CustomerID],tblCustomers[CustomerName],"not found")</f>
        <v>Samantha Kennedy</v>
      </c>
      <c r="D189">
        <f>_xlfn.XLOOKUP(tblOrders[[#This Row],[CustomerID]],tblCustomers[CustomerID],tblCustomers[Age],"not found")</f>
        <v>35</v>
      </c>
      <c r="E189" t="str">
        <f>_xlfn.XLOOKUP(tblOrders[[#This Row],[CustomerID]],tblCustomers[CustomerID],tblCustomers[Gender],"not found")</f>
        <v>Male</v>
      </c>
      <c r="F189" t="str">
        <f>_xlfn.XLOOKUP(tblOrders[[#This Row],[CustomerID]],tblCustomers[CustomerID],tblCustomers[Region],"not found")</f>
        <v>South</v>
      </c>
      <c r="G189">
        <v>1073</v>
      </c>
      <c r="H189" t="str">
        <f>_xlfn.XLOOKUP(tblOrders[[#This Row],[ProductID]],tblProducts[ProductID],tblProducts[ProductName],"not found")</f>
        <v>Commercial</v>
      </c>
      <c r="I189" t="str">
        <f>_xlfn.XLOOKUP(tblOrders[[#This Row],[ProductID]],tblProducts[ProductID],tblProducts[Category],"not found")</f>
        <v>Electronics</v>
      </c>
      <c r="J189">
        <f>_xlfn.XLOOKUP(tblOrders[[#This Row],[ProductID]],tblProducts[ProductID],tblProducts[UnitPrice],"not found")</f>
        <v>356.32</v>
      </c>
      <c r="K189" t="str">
        <f>_xlfn.XLOOKUP(tblOrders[[#This Row],[ProductID]],tblProducts[ProductID],tblProducts[Supplier],"not found")</f>
        <v>Hunt-Thompson</v>
      </c>
      <c r="L189" s="1" t="s">
        <v>2112</v>
      </c>
      <c r="M1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45436</v>
      </c>
      <c r="N189">
        <v>7</v>
      </c>
      <c r="O189">
        <v>2494.2399999999998</v>
      </c>
      <c r="P189">
        <f>tblOrders[[#This Row],[Quantity]]*tblOrders[[#This Row],[Unit Price]]</f>
        <v>2494.2399999999998</v>
      </c>
      <c r="Q189">
        <f>tblOrders[[#This Row],[TotalSales]]-tblOrders[[#This Row],[Calculated Sales]]</f>
        <v>0</v>
      </c>
    </row>
    <row r="190" spans="1:17" x14ac:dyDescent="0.25">
      <c r="A190">
        <v>309</v>
      </c>
      <c r="B190">
        <v>353</v>
      </c>
      <c r="C190" t="str">
        <f>_xlfn.XLOOKUP(tblOrders[[#This Row],[CustomerID]],tblCustomers[CustomerID],tblCustomers[CustomerName],"not found")</f>
        <v>Virginia Hart</v>
      </c>
      <c r="D190">
        <f>_xlfn.XLOOKUP(tblOrders[[#This Row],[CustomerID]],tblCustomers[CustomerID],tblCustomers[Age],"not found")</f>
        <v>67</v>
      </c>
      <c r="E190" t="str">
        <f>_xlfn.XLOOKUP(tblOrders[[#This Row],[CustomerID]],tblCustomers[CustomerID],tblCustomers[Gender],"not found")</f>
        <v>Male</v>
      </c>
      <c r="F190" t="str">
        <f>_xlfn.XLOOKUP(tblOrders[[#This Row],[CustomerID]],tblCustomers[CustomerID],tblCustomers[Region],"not found")</f>
        <v>North</v>
      </c>
      <c r="G190">
        <v>1073</v>
      </c>
      <c r="H190" t="str">
        <f>_xlfn.XLOOKUP(tblOrders[[#This Row],[ProductID]],tblProducts[ProductID],tblProducts[ProductName],"not found")</f>
        <v>Commercial</v>
      </c>
      <c r="I190" t="str">
        <f>_xlfn.XLOOKUP(tblOrders[[#This Row],[ProductID]],tblProducts[ProductID],tblProducts[Category],"not found")</f>
        <v>Electronics</v>
      </c>
      <c r="J190">
        <f>_xlfn.XLOOKUP(tblOrders[[#This Row],[ProductID]],tblProducts[ProductID],tblProducts[UnitPrice],"not found")</f>
        <v>356.32</v>
      </c>
      <c r="K190" t="str">
        <f>_xlfn.XLOOKUP(tblOrders[[#This Row],[ProductID]],tblProducts[ProductID],tblProducts[Supplier],"not found")</f>
        <v>Hunt-Thompson</v>
      </c>
      <c r="L190" s="1">
        <v>45506</v>
      </c>
      <c r="M1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45506</v>
      </c>
      <c r="N190">
        <v>3</v>
      </c>
      <c r="O190">
        <v>1068.96</v>
      </c>
      <c r="P190">
        <f>tblOrders[[#This Row],[Quantity]]*tblOrders[[#This Row],[Unit Price]]</f>
        <v>1068.96</v>
      </c>
      <c r="Q190">
        <f>tblOrders[[#This Row],[TotalSales]]-tblOrders[[#This Row],[Calculated Sales]]</f>
        <v>0</v>
      </c>
    </row>
    <row r="191" spans="1:17" x14ac:dyDescent="0.25">
      <c r="A191">
        <v>385</v>
      </c>
      <c r="B191">
        <v>934</v>
      </c>
      <c r="C191" t="str">
        <f>_xlfn.XLOOKUP(tblOrders[[#This Row],[CustomerID]],tblCustomers[CustomerID],tblCustomers[CustomerName],"not found")</f>
        <v>Michael Sanchez</v>
      </c>
      <c r="D191">
        <f>_xlfn.XLOOKUP(tblOrders[[#This Row],[CustomerID]],tblCustomers[CustomerID],tblCustomers[Age],"not found")</f>
        <v>56</v>
      </c>
      <c r="E191" t="str">
        <f>_xlfn.XLOOKUP(tblOrders[[#This Row],[CustomerID]],tblCustomers[CustomerID],tblCustomers[Gender],"not found")</f>
        <v>Female</v>
      </c>
      <c r="F191" t="str">
        <f>_xlfn.XLOOKUP(tblOrders[[#This Row],[CustomerID]],tblCustomers[CustomerID],tblCustomers[Region],"not found")</f>
        <v>West</v>
      </c>
      <c r="G191">
        <v>1073</v>
      </c>
      <c r="H191" t="str">
        <f>_xlfn.XLOOKUP(tblOrders[[#This Row],[ProductID]],tblProducts[ProductID],tblProducts[ProductName],"not found")</f>
        <v>Commercial</v>
      </c>
      <c r="I191" t="str">
        <f>_xlfn.XLOOKUP(tblOrders[[#This Row],[ProductID]],tblProducts[ProductID],tblProducts[Category],"not found")</f>
        <v>Electronics</v>
      </c>
      <c r="J191">
        <f>_xlfn.XLOOKUP(tblOrders[[#This Row],[ProductID]],tblProducts[ProductID],tblProducts[UnitPrice],"not found")</f>
        <v>356.32</v>
      </c>
      <c r="K191" t="str">
        <f>_xlfn.XLOOKUP(tblOrders[[#This Row],[ProductID]],tblProducts[ProductID],tblProducts[Supplier],"not found")</f>
        <v>Hunt-Thompson</v>
      </c>
      <c r="L191" s="1" t="s">
        <v>2062</v>
      </c>
      <c r="M1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45468</v>
      </c>
      <c r="N191">
        <v>8</v>
      </c>
      <c r="O191">
        <v>2850.56</v>
      </c>
      <c r="P191">
        <f>tblOrders[[#This Row],[Quantity]]*tblOrders[[#This Row],[Unit Price]]</f>
        <v>2850.56</v>
      </c>
      <c r="Q191">
        <f>tblOrders[[#This Row],[TotalSales]]-tblOrders[[#This Row],[Calculated Sales]]</f>
        <v>0</v>
      </c>
    </row>
    <row r="192" spans="1:17" x14ac:dyDescent="0.25">
      <c r="A192">
        <v>428</v>
      </c>
      <c r="B192">
        <v>731</v>
      </c>
      <c r="C192" t="str">
        <f>_xlfn.XLOOKUP(tblOrders[[#This Row],[CustomerID]],tblCustomers[CustomerID],tblCustomers[CustomerName],"not found")</f>
        <v>Kelly Roberts</v>
      </c>
      <c r="D192">
        <f>_xlfn.XLOOKUP(tblOrders[[#This Row],[CustomerID]],tblCustomers[CustomerID],tblCustomers[Age],"not found")</f>
        <v>29</v>
      </c>
      <c r="E192" t="str">
        <f>_xlfn.XLOOKUP(tblOrders[[#This Row],[CustomerID]],tblCustomers[CustomerID],tblCustomers[Gender],"not found")</f>
        <v>Female</v>
      </c>
      <c r="F192" t="str">
        <f>_xlfn.XLOOKUP(tblOrders[[#This Row],[CustomerID]],tblCustomers[CustomerID],tblCustomers[Region],"not found")</f>
        <v>East</v>
      </c>
      <c r="G192">
        <v>1073</v>
      </c>
      <c r="H192" t="str">
        <f>_xlfn.XLOOKUP(tblOrders[[#This Row],[ProductID]],tblProducts[ProductID],tblProducts[ProductName],"not found")</f>
        <v>Commercial</v>
      </c>
      <c r="I192" t="str">
        <f>_xlfn.XLOOKUP(tblOrders[[#This Row],[ProductID]],tblProducts[ProductID],tblProducts[Category],"not found")</f>
        <v>Electronics</v>
      </c>
      <c r="J192">
        <f>_xlfn.XLOOKUP(tblOrders[[#This Row],[ProductID]],tblProducts[ProductID],tblProducts[UnitPrice],"not found")</f>
        <v>356.32</v>
      </c>
      <c r="K192" t="str">
        <f>_xlfn.XLOOKUP(tblOrders[[#This Row],[ProductID]],tblProducts[ProductID],tblProducts[Supplier],"not found")</f>
        <v>Hunt-Thompson</v>
      </c>
      <c r="L192" s="1" t="s">
        <v>2113</v>
      </c>
      <c r="M1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44881</v>
      </c>
      <c r="N192">
        <v>2</v>
      </c>
      <c r="O192">
        <v>712.64</v>
      </c>
      <c r="P192">
        <f>tblOrders[[#This Row],[Quantity]]*tblOrders[[#This Row],[Unit Price]]</f>
        <v>712.64</v>
      </c>
      <c r="Q192">
        <f>tblOrders[[#This Row],[TotalSales]]-tblOrders[[#This Row],[Calculated Sales]]</f>
        <v>0</v>
      </c>
    </row>
    <row r="193" spans="1:17" x14ac:dyDescent="0.25">
      <c r="A193">
        <v>473</v>
      </c>
      <c r="B193">
        <v>481</v>
      </c>
      <c r="C193" t="str">
        <f>_xlfn.XLOOKUP(tblOrders[[#This Row],[CustomerID]],tblCustomers[CustomerID],tblCustomers[CustomerName],"not found")</f>
        <v>Benjamin Porter</v>
      </c>
      <c r="D193">
        <f>_xlfn.XLOOKUP(tblOrders[[#This Row],[CustomerID]],tblCustomers[CustomerID],tblCustomers[Age],"not found")</f>
        <v>20</v>
      </c>
      <c r="E193" t="str">
        <f>_xlfn.XLOOKUP(tblOrders[[#This Row],[CustomerID]],tblCustomers[CustomerID],tblCustomers[Gender],"not found")</f>
        <v>Male</v>
      </c>
      <c r="F193" t="str">
        <f>_xlfn.XLOOKUP(tblOrders[[#This Row],[CustomerID]],tblCustomers[CustomerID],tblCustomers[Region],"not found")</f>
        <v>Central</v>
      </c>
      <c r="G193">
        <v>1073</v>
      </c>
      <c r="H193" t="str">
        <f>_xlfn.XLOOKUP(tblOrders[[#This Row],[ProductID]],tblProducts[ProductID],tblProducts[ProductName],"not found")</f>
        <v>Commercial</v>
      </c>
      <c r="I193" t="str">
        <f>_xlfn.XLOOKUP(tblOrders[[#This Row],[ProductID]],tblProducts[ProductID],tblProducts[Category],"not found")</f>
        <v>Electronics</v>
      </c>
      <c r="J193">
        <f>_xlfn.XLOOKUP(tblOrders[[#This Row],[ProductID]],tblProducts[ProductID],tblProducts[UnitPrice],"not found")</f>
        <v>356.32</v>
      </c>
      <c r="K193" t="str">
        <f>_xlfn.XLOOKUP(tblOrders[[#This Row],[ProductID]],tblProducts[ProductID],tblProducts[Supplier],"not found")</f>
        <v>Hunt-Thompson</v>
      </c>
      <c r="L193" s="1" t="s">
        <v>2114</v>
      </c>
      <c r="M1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45282</v>
      </c>
      <c r="N193">
        <v>3</v>
      </c>
      <c r="O193">
        <v>1068.96</v>
      </c>
      <c r="P193">
        <f>tblOrders[[#This Row],[Quantity]]*tblOrders[[#This Row],[Unit Price]]</f>
        <v>1068.96</v>
      </c>
      <c r="Q193">
        <f>tblOrders[[#This Row],[TotalSales]]-tblOrders[[#This Row],[Calculated Sales]]</f>
        <v>0</v>
      </c>
    </row>
    <row r="194" spans="1:17" x14ac:dyDescent="0.25">
      <c r="A194">
        <v>508</v>
      </c>
      <c r="B194">
        <v>794</v>
      </c>
      <c r="C194" t="str">
        <f>_xlfn.XLOOKUP(tblOrders[[#This Row],[CustomerID]],tblCustomers[CustomerID],tblCustomers[CustomerName],"not found")</f>
        <v>Alexandra Rogers</v>
      </c>
      <c r="D194">
        <f>_xlfn.XLOOKUP(tblOrders[[#This Row],[CustomerID]],tblCustomers[CustomerID],tblCustomers[Age],"not found")</f>
        <v>65</v>
      </c>
      <c r="E194" t="str">
        <f>_xlfn.XLOOKUP(tblOrders[[#This Row],[CustomerID]],tblCustomers[CustomerID],tblCustomers[Gender],"not found")</f>
        <v>Male</v>
      </c>
      <c r="F194" t="str">
        <f>_xlfn.XLOOKUP(tblOrders[[#This Row],[CustomerID]],tblCustomers[CustomerID],tblCustomers[Region],"not found")</f>
        <v>North</v>
      </c>
      <c r="G194">
        <v>1073</v>
      </c>
      <c r="H194" t="str">
        <f>_xlfn.XLOOKUP(tblOrders[[#This Row],[ProductID]],tblProducts[ProductID],tblProducts[ProductName],"not found")</f>
        <v>Commercial</v>
      </c>
      <c r="I194" t="str">
        <f>_xlfn.XLOOKUP(tblOrders[[#This Row],[ProductID]],tblProducts[ProductID],tblProducts[Category],"not found")</f>
        <v>Electronics</v>
      </c>
      <c r="J194">
        <f>_xlfn.XLOOKUP(tblOrders[[#This Row],[ProductID]],tblProducts[ProductID],tblProducts[UnitPrice],"not found")</f>
        <v>356.32</v>
      </c>
      <c r="K194" t="str">
        <f>_xlfn.XLOOKUP(tblOrders[[#This Row],[ProductID]],tblProducts[ProductID],tblProducts[Supplier],"not found")</f>
        <v>Hunt-Thompson</v>
      </c>
      <c r="L194" s="1">
        <v>45385</v>
      </c>
      <c r="M1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45385</v>
      </c>
      <c r="N194">
        <v>3</v>
      </c>
      <c r="O194">
        <v>1068.96</v>
      </c>
      <c r="P194">
        <f>tblOrders[[#This Row],[Quantity]]*tblOrders[[#This Row],[Unit Price]]</f>
        <v>1068.96</v>
      </c>
      <c r="Q194">
        <f>tblOrders[[#This Row],[TotalSales]]-tblOrders[[#This Row],[Calculated Sales]]</f>
        <v>0</v>
      </c>
    </row>
    <row r="195" spans="1:17" x14ac:dyDescent="0.25">
      <c r="A195">
        <v>628</v>
      </c>
      <c r="B195">
        <v>730</v>
      </c>
      <c r="C195" t="str">
        <f>_xlfn.XLOOKUP(tblOrders[[#This Row],[CustomerID]],tblCustomers[CustomerID],tblCustomers[CustomerName],"not found")</f>
        <v>Deborah Ross</v>
      </c>
      <c r="D195">
        <f>_xlfn.XLOOKUP(tblOrders[[#This Row],[CustomerID]],tblCustomers[CustomerID],tblCustomers[Age],"not found")</f>
        <v>55</v>
      </c>
      <c r="E195" t="str">
        <f>_xlfn.XLOOKUP(tblOrders[[#This Row],[CustomerID]],tblCustomers[CustomerID],tblCustomers[Gender],"not found")</f>
        <v>Male</v>
      </c>
      <c r="F195" t="str">
        <f>_xlfn.XLOOKUP(tblOrders[[#This Row],[CustomerID]],tblCustomers[CustomerID],tblCustomers[Region],"not found")</f>
        <v>East</v>
      </c>
      <c r="G195">
        <v>1073</v>
      </c>
      <c r="H195" t="str">
        <f>_xlfn.XLOOKUP(tblOrders[[#This Row],[ProductID]],tblProducts[ProductID],tblProducts[ProductName],"not found")</f>
        <v>Commercial</v>
      </c>
      <c r="I195" t="str">
        <f>_xlfn.XLOOKUP(tblOrders[[#This Row],[ProductID]],tblProducts[ProductID],tblProducts[Category],"not found")</f>
        <v>Electronics</v>
      </c>
      <c r="J195">
        <f>_xlfn.XLOOKUP(tblOrders[[#This Row],[ProductID]],tblProducts[ProductID],tblProducts[UnitPrice],"not found")</f>
        <v>356.32</v>
      </c>
      <c r="K195" t="str">
        <f>_xlfn.XLOOKUP(tblOrders[[#This Row],[ProductID]],tblProducts[ProductID],tblProducts[Supplier],"not found")</f>
        <v>Hunt-Thompson</v>
      </c>
      <c r="L195" s="1">
        <v>45108</v>
      </c>
      <c r="M1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45108</v>
      </c>
      <c r="N195">
        <v>7</v>
      </c>
      <c r="O195">
        <v>2494.2399999999998</v>
      </c>
      <c r="P195">
        <f>tblOrders[[#This Row],[Quantity]]*tblOrders[[#This Row],[Unit Price]]</f>
        <v>2494.2399999999998</v>
      </c>
      <c r="Q195">
        <f>tblOrders[[#This Row],[TotalSales]]-tblOrders[[#This Row],[Calculated Sales]]</f>
        <v>0</v>
      </c>
    </row>
    <row r="196" spans="1:17" x14ac:dyDescent="0.25">
      <c r="A196">
        <v>757</v>
      </c>
      <c r="B196">
        <v>2</v>
      </c>
      <c r="C196" t="str">
        <f>_xlfn.XLOOKUP(tblOrders[[#This Row],[CustomerID]],tblCustomers[CustomerID],tblCustomers[CustomerName],"not found")</f>
        <v>Joseph Chapman</v>
      </c>
      <c r="D196">
        <f>_xlfn.XLOOKUP(tblOrders[[#This Row],[CustomerID]],tblCustomers[CustomerID],tblCustomers[Age],"not found")</f>
        <v>21</v>
      </c>
      <c r="E196" t="str">
        <f>_xlfn.XLOOKUP(tblOrders[[#This Row],[CustomerID]],tblCustomers[CustomerID],tblCustomers[Gender],"not found")</f>
        <v>Female</v>
      </c>
      <c r="F196" t="str">
        <f>_xlfn.XLOOKUP(tblOrders[[#This Row],[CustomerID]],tblCustomers[CustomerID],tblCustomers[Region],"not found")</f>
        <v>East</v>
      </c>
      <c r="G196">
        <v>1073</v>
      </c>
      <c r="H196" t="str">
        <f>_xlfn.XLOOKUP(tblOrders[[#This Row],[ProductID]],tblProducts[ProductID],tblProducts[ProductName],"not found")</f>
        <v>Commercial</v>
      </c>
      <c r="I196" t="str">
        <f>_xlfn.XLOOKUP(tblOrders[[#This Row],[ProductID]],tblProducts[ProductID],tblProducts[Category],"not found")</f>
        <v>Electronics</v>
      </c>
      <c r="J196">
        <f>_xlfn.XLOOKUP(tblOrders[[#This Row],[ProductID]],tblProducts[ProductID],tblProducts[UnitPrice],"not found")</f>
        <v>356.32</v>
      </c>
      <c r="K196" t="str">
        <f>_xlfn.XLOOKUP(tblOrders[[#This Row],[ProductID]],tblProducts[ProductID],tblProducts[Supplier],"not found")</f>
        <v>Hunt-Thompson</v>
      </c>
      <c r="L196" s="1" t="s">
        <v>2115</v>
      </c>
      <c r="M1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196">
        <v>3</v>
      </c>
      <c r="O196">
        <v>1068.96</v>
      </c>
      <c r="P196">
        <f>tblOrders[[#This Row],[Quantity]]*tblOrders[[#This Row],[Unit Price]]</f>
        <v>1068.96</v>
      </c>
      <c r="Q196">
        <f>tblOrders[[#This Row],[TotalSales]]-tblOrders[[#This Row],[Calculated Sales]]</f>
        <v>0</v>
      </c>
    </row>
    <row r="197" spans="1:17" x14ac:dyDescent="0.25">
      <c r="A197">
        <v>880</v>
      </c>
      <c r="B197">
        <v>356</v>
      </c>
      <c r="C197" t="str">
        <f>_xlfn.XLOOKUP(tblOrders[[#This Row],[CustomerID]],tblCustomers[CustomerID],tblCustomers[CustomerName],"not found")</f>
        <v>Justin Moreno</v>
      </c>
      <c r="D197">
        <f>_xlfn.XLOOKUP(tblOrders[[#This Row],[CustomerID]],tblCustomers[CustomerID],tblCustomers[Age],"not found")</f>
        <v>35</v>
      </c>
      <c r="E197" t="str">
        <f>_xlfn.XLOOKUP(tblOrders[[#This Row],[CustomerID]],tblCustomers[CustomerID],tblCustomers[Gender],"not found")</f>
        <v>Female</v>
      </c>
      <c r="F197" t="str">
        <f>_xlfn.XLOOKUP(tblOrders[[#This Row],[CustomerID]],tblCustomers[CustomerID],tblCustomers[Region],"not found")</f>
        <v>East</v>
      </c>
      <c r="G197">
        <v>1073</v>
      </c>
      <c r="H197" t="str">
        <f>_xlfn.XLOOKUP(tblOrders[[#This Row],[ProductID]],tblProducts[ProductID],tblProducts[ProductName],"not found")</f>
        <v>Commercial</v>
      </c>
      <c r="I197" t="str">
        <f>_xlfn.XLOOKUP(tblOrders[[#This Row],[ProductID]],tblProducts[ProductID],tblProducts[Category],"not found")</f>
        <v>Electronics</v>
      </c>
      <c r="J197">
        <f>_xlfn.XLOOKUP(tblOrders[[#This Row],[ProductID]],tblProducts[ProductID],tblProducts[UnitPrice],"not found")</f>
        <v>356.32</v>
      </c>
      <c r="K197" t="str">
        <f>_xlfn.XLOOKUP(tblOrders[[#This Row],[ProductID]],tblProducts[ProductID],tblProducts[Supplier],"not found")</f>
        <v>Hunt-Thompson</v>
      </c>
      <c r="L197" s="1" t="s">
        <v>2047</v>
      </c>
      <c r="M1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44948</v>
      </c>
      <c r="N197">
        <v>1</v>
      </c>
      <c r="O197">
        <v>356.32</v>
      </c>
      <c r="P197">
        <f>tblOrders[[#This Row],[Quantity]]*tblOrders[[#This Row],[Unit Price]]</f>
        <v>356.32</v>
      </c>
      <c r="Q197">
        <f>tblOrders[[#This Row],[TotalSales]]-tblOrders[[#This Row],[Calculated Sales]]</f>
        <v>0</v>
      </c>
    </row>
    <row r="198" spans="1:17" x14ac:dyDescent="0.25">
      <c r="A198">
        <v>1202</v>
      </c>
      <c r="B198">
        <v>848</v>
      </c>
      <c r="C198" t="str">
        <f>_xlfn.XLOOKUP(tblOrders[[#This Row],[CustomerID]],tblCustomers[CustomerID],tblCustomers[CustomerName],"not found")</f>
        <v>Barbara Reese</v>
      </c>
      <c r="D198">
        <f>_xlfn.XLOOKUP(tblOrders[[#This Row],[CustomerID]],tblCustomers[CustomerID],tblCustomers[Age],"not found")</f>
        <v>44</v>
      </c>
      <c r="E198" t="str">
        <f>_xlfn.XLOOKUP(tblOrders[[#This Row],[CustomerID]],tblCustomers[CustomerID],tblCustomers[Gender],"not found")</f>
        <v>Female</v>
      </c>
      <c r="F198" t="str">
        <f>_xlfn.XLOOKUP(tblOrders[[#This Row],[CustomerID]],tblCustomers[CustomerID],tblCustomers[Region],"not found")</f>
        <v>Central</v>
      </c>
      <c r="G198">
        <v>1073</v>
      </c>
      <c r="H198" t="str">
        <f>_xlfn.XLOOKUP(tblOrders[[#This Row],[ProductID]],tblProducts[ProductID],tblProducts[ProductName],"not found")</f>
        <v>Commercial</v>
      </c>
      <c r="I198" t="str">
        <f>_xlfn.XLOOKUP(tblOrders[[#This Row],[ProductID]],tblProducts[ProductID],tblProducts[Category],"not found")</f>
        <v>Electronics</v>
      </c>
      <c r="J198">
        <f>_xlfn.XLOOKUP(tblOrders[[#This Row],[ProductID]],tblProducts[ProductID],tblProducts[UnitPrice],"not found")</f>
        <v>356.32</v>
      </c>
      <c r="K198" t="str">
        <f>_xlfn.XLOOKUP(tblOrders[[#This Row],[ProductID]],tblProducts[ProductID],tblProducts[Supplier],"not found")</f>
        <v>Hunt-Thompson</v>
      </c>
      <c r="L198" s="1" t="s">
        <v>2116</v>
      </c>
      <c r="M1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45404</v>
      </c>
      <c r="N198">
        <v>3</v>
      </c>
      <c r="O198">
        <v>1068.96</v>
      </c>
      <c r="P198">
        <f>tblOrders[[#This Row],[Quantity]]*tblOrders[[#This Row],[Unit Price]]</f>
        <v>1068.96</v>
      </c>
      <c r="Q198">
        <f>tblOrders[[#This Row],[TotalSales]]-tblOrders[[#This Row],[Calculated Sales]]</f>
        <v>0</v>
      </c>
    </row>
    <row r="199" spans="1:17" x14ac:dyDescent="0.25">
      <c r="A199">
        <v>1343</v>
      </c>
      <c r="B199">
        <v>755</v>
      </c>
      <c r="C199" t="str">
        <f>_xlfn.XLOOKUP(tblOrders[[#This Row],[CustomerID]],tblCustomers[CustomerID],tblCustomers[CustomerName],"not found")</f>
        <v>Donna Mendoza</v>
      </c>
      <c r="D199">
        <f>_xlfn.XLOOKUP(tblOrders[[#This Row],[CustomerID]],tblCustomers[CustomerID],tblCustomers[Age],"not found")</f>
        <v>54</v>
      </c>
      <c r="E199" t="str">
        <f>_xlfn.XLOOKUP(tblOrders[[#This Row],[CustomerID]],tblCustomers[CustomerID],tblCustomers[Gender],"not found")</f>
        <v>Female</v>
      </c>
      <c r="F199" t="str">
        <f>_xlfn.XLOOKUP(tblOrders[[#This Row],[CustomerID]],tblCustomers[CustomerID],tblCustomers[Region],"not found")</f>
        <v>Central</v>
      </c>
      <c r="G199">
        <v>1073</v>
      </c>
      <c r="H199" t="str">
        <f>_xlfn.XLOOKUP(tblOrders[[#This Row],[ProductID]],tblProducts[ProductID],tblProducts[ProductName],"not found")</f>
        <v>Commercial</v>
      </c>
      <c r="I199" t="str">
        <f>_xlfn.XLOOKUP(tblOrders[[#This Row],[ProductID]],tblProducts[ProductID],tblProducts[Category],"not found")</f>
        <v>Electronics</v>
      </c>
      <c r="J199">
        <f>_xlfn.XLOOKUP(tblOrders[[#This Row],[ProductID]],tblProducts[ProductID],tblProducts[UnitPrice],"not found")</f>
        <v>356.32</v>
      </c>
      <c r="K199" t="str">
        <f>_xlfn.XLOOKUP(tblOrders[[#This Row],[ProductID]],tblProducts[ProductID],tblProducts[Supplier],"not found")</f>
        <v>Hunt-Thompson</v>
      </c>
      <c r="L199" s="1">
        <v>44988</v>
      </c>
      <c r="M1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44988</v>
      </c>
      <c r="N199">
        <v>6</v>
      </c>
      <c r="O199">
        <v>2137.92</v>
      </c>
      <c r="P199">
        <f>tblOrders[[#This Row],[Quantity]]*tblOrders[[#This Row],[Unit Price]]</f>
        <v>2137.92</v>
      </c>
      <c r="Q199">
        <f>tblOrders[[#This Row],[TotalSales]]-tblOrders[[#This Row],[Calculated Sales]]</f>
        <v>0</v>
      </c>
    </row>
    <row r="200" spans="1:17" x14ac:dyDescent="0.25">
      <c r="A200">
        <v>1441</v>
      </c>
      <c r="B200">
        <v>565</v>
      </c>
      <c r="C200" t="str">
        <f>_xlfn.XLOOKUP(tblOrders[[#This Row],[CustomerID]],tblCustomers[CustomerID],tblCustomers[CustomerName],"not found")</f>
        <v>Kathleen Wise</v>
      </c>
      <c r="D200">
        <f>_xlfn.XLOOKUP(tblOrders[[#This Row],[CustomerID]],tblCustomers[CustomerID],tblCustomers[Age],"not found")</f>
        <v>62</v>
      </c>
      <c r="E200" t="str">
        <f>_xlfn.XLOOKUP(tblOrders[[#This Row],[CustomerID]],tblCustomers[CustomerID],tblCustomers[Gender],"not found")</f>
        <v>Female</v>
      </c>
      <c r="F200" t="str">
        <f>_xlfn.XLOOKUP(tblOrders[[#This Row],[CustomerID]],tblCustomers[CustomerID],tblCustomers[Region],"not found")</f>
        <v>North</v>
      </c>
      <c r="G200">
        <v>1073</v>
      </c>
      <c r="H200" t="str">
        <f>_xlfn.XLOOKUP(tblOrders[[#This Row],[ProductID]],tblProducts[ProductID],tblProducts[ProductName],"not found")</f>
        <v>Commercial</v>
      </c>
      <c r="I200" t="str">
        <f>_xlfn.XLOOKUP(tblOrders[[#This Row],[ProductID]],tblProducts[ProductID],tblProducts[Category],"not found")</f>
        <v>Electronics</v>
      </c>
      <c r="J200">
        <f>_xlfn.XLOOKUP(tblOrders[[#This Row],[ProductID]],tblProducts[ProductID],tblProducts[UnitPrice],"not found")</f>
        <v>356.32</v>
      </c>
      <c r="K200" t="str">
        <f>_xlfn.XLOOKUP(tblOrders[[#This Row],[ProductID]],tblProducts[ProductID],tblProducts[Supplier],"not found")</f>
        <v>Hunt-Thompson</v>
      </c>
      <c r="L200" s="1">
        <v>45627</v>
      </c>
      <c r="M2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45627</v>
      </c>
      <c r="N200">
        <v>8</v>
      </c>
      <c r="O200">
        <v>2850.56</v>
      </c>
      <c r="P200">
        <f>tblOrders[[#This Row],[Quantity]]*tblOrders[[#This Row],[Unit Price]]</f>
        <v>2850.56</v>
      </c>
      <c r="Q200">
        <f>tblOrders[[#This Row],[TotalSales]]-tblOrders[[#This Row],[Calculated Sales]]</f>
        <v>0</v>
      </c>
    </row>
    <row r="201" spans="1:17" x14ac:dyDescent="0.25">
      <c r="A201">
        <v>1563</v>
      </c>
      <c r="B201">
        <v>92</v>
      </c>
      <c r="C201" t="str">
        <f>_xlfn.XLOOKUP(tblOrders[[#This Row],[CustomerID]],tblCustomers[CustomerID],tblCustomers[CustomerName],"not found")</f>
        <v>Pamela Gordon</v>
      </c>
      <c r="D201">
        <f>_xlfn.XLOOKUP(tblOrders[[#This Row],[CustomerID]],tblCustomers[CustomerID],tblCustomers[Age],"not found")</f>
        <v>51</v>
      </c>
      <c r="E201" t="str">
        <f>_xlfn.XLOOKUP(tblOrders[[#This Row],[CustomerID]],tblCustomers[CustomerID],tblCustomers[Gender],"not found")</f>
        <v>Male</v>
      </c>
      <c r="F201" t="str">
        <f>_xlfn.XLOOKUP(tblOrders[[#This Row],[CustomerID]],tblCustomers[CustomerID],tblCustomers[Region],"not found")</f>
        <v>North</v>
      </c>
      <c r="G201">
        <v>1073</v>
      </c>
      <c r="H201" t="str">
        <f>_xlfn.XLOOKUP(tblOrders[[#This Row],[ProductID]],tblProducts[ProductID],tblProducts[ProductName],"not found")</f>
        <v>Commercial</v>
      </c>
      <c r="I201" t="str">
        <f>_xlfn.XLOOKUP(tblOrders[[#This Row],[ProductID]],tblProducts[ProductID],tblProducts[Category],"not found")</f>
        <v>Electronics</v>
      </c>
      <c r="J201">
        <f>_xlfn.XLOOKUP(tblOrders[[#This Row],[ProductID]],tblProducts[ProductID],tblProducts[UnitPrice],"not found")</f>
        <v>356.32</v>
      </c>
      <c r="K201" t="str">
        <f>_xlfn.XLOOKUP(tblOrders[[#This Row],[ProductID]],tblProducts[ProductID],tblProducts[Supplier],"not found")</f>
        <v>Hunt-Thompson</v>
      </c>
      <c r="L201" s="1" t="s">
        <v>2117</v>
      </c>
      <c r="M2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45254</v>
      </c>
      <c r="N201">
        <v>2</v>
      </c>
      <c r="O201">
        <v>712.64</v>
      </c>
      <c r="P201">
        <f>tblOrders[[#This Row],[Quantity]]*tblOrders[[#This Row],[Unit Price]]</f>
        <v>712.64</v>
      </c>
      <c r="Q201">
        <f>tblOrders[[#This Row],[TotalSales]]-tblOrders[[#This Row],[Calculated Sales]]</f>
        <v>0</v>
      </c>
    </row>
    <row r="202" spans="1:17" x14ac:dyDescent="0.25">
      <c r="A202">
        <v>1584</v>
      </c>
      <c r="B202">
        <v>340</v>
      </c>
      <c r="C202" t="str">
        <f>_xlfn.XLOOKUP(tblOrders[[#This Row],[CustomerID]],tblCustomers[CustomerID],tblCustomers[CustomerName],"not found")</f>
        <v>Shannon Burke</v>
      </c>
      <c r="D202">
        <f>_xlfn.XLOOKUP(tblOrders[[#This Row],[CustomerID]],tblCustomers[CustomerID],tblCustomers[Age],"not found")</f>
        <v>59</v>
      </c>
      <c r="E202" t="str">
        <f>_xlfn.XLOOKUP(tblOrders[[#This Row],[CustomerID]],tblCustomers[CustomerID],tblCustomers[Gender],"not found")</f>
        <v>Male</v>
      </c>
      <c r="F202" t="str">
        <f>_xlfn.XLOOKUP(tblOrders[[#This Row],[CustomerID]],tblCustomers[CustomerID],tblCustomers[Region],"not found")</f>
        <v>West</v>
      </c>
      <c r="G202">
        <v>1073</v>
      </c>
      <c r="H202" t="str">
        <f>_xlfn.XLOOKUP(tblOrders[[#This Row],[ProductID]],tblProducts[ProductID],tblProducts[ProductName],"not found")</f>
        <v>Commercial</v>
      </c>
      <c r="I202" t="str">
        <f>_xlfn.XLOOKUP(tblOrders[[#This Row],[ProductID]],tblProducts[ProductID],tblProducts[Category],"not found")</f>
        <v>Electronics</v>
      </c>
      <c r="J202">
        <f>_xlfn.XLOOKUP(tblOrders[[#This Row],[ProductID]],tblProducts[ProductID],tblProducts[UnitPrice],"not found")</f>
        <v>356.32</v>
      </c>
      <c r="K202" t="str">
        <f>_xlfn.XLOOKUP(tblOrders[[#This Row],[ProductID]],tblProducts[ProductID],tblProducts[Supplier],"not found")</f>
        <v>Hunt-Thompson</v>
      </c>
      <c r="L202" s="1" t="s">
        <v>2118</v>
      </c>
      <c r="M2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45247</v>
      </c>
      <c r="N202">
        <v>2</v>
      </c>
      <c r="O202">
        <v>712.64</v>
      </c>
      <c r="P202">
        <f>tblOrders[[#This Row],[Quantity]]*tblOrders[[#This Row],[Unit Price]]</f>
        <v>712.64</v>
      </c>
      <c r="Q202">
        <f>tblOrders[[#This Row],[TotalSales]]-tblOrders[[#This Row],[Calculated Sales]]</f>
        <v>0</v>
      </c>
    </row>
    <row r="203" spans="1:17" x14ac:dyDescent="0.25">
      <c r="A203">
        <v>1778</v>
      </c>
      <c r="B203">
        <v>756</v>
      </c>
      <c r="C203" t="str">
        <f>_xlfn.XLOOKUP(tblOrders[[#This Row],[CustomerID]],tblCustomers[CustomerID],tblCustomers[CustomerName],"not found")</f>
        <v>Monica Adams</v>
      </c>
      <c r="D203">
        <f>_xlfn.XLOOKUP(tblOrders[[#This Row],[CustomerID]],tblCustomers[CustomerID],tblCustomers[Age],"not found")</f>
        <v>50</v>
      </c>
      <c r="E203" t="str">
        <f>_xlfn.XLOOKUP(tblOrders[[#This Row],[CustomerID]],tblCustomers[CustomerID],tblCustomers[Gender],"not found")</f>
        <v>Female</v>
      </c>
      <c r="F203" t="str">
        <f>_xlfn.XLOOKUP(tblOrders[[#This Row],[CustomerID]],tblCustomers[CustomerID],tblCustomers[Region],"not found")</f>
        <v>West</v>
      </c>
      <c r="G203">
        <v>1073</v>
      </c>
      <c r="H203" t="str">
        <f>_xlfn.XLOOKUP(tblOrders[[#This Row],[ProductID]],tblProducts[ProductID],tblProducts[ProductName],"not found")</f>
        <v>Commercial</v>
      </c>
      <c r="I203" t="str">
        <f>_xlfn.XLOOKUP(tblOrders[[#This Row],[ProductID]],tblProducts[ProductID],tblProducts[Category],"not found")</f>
        <v>Electronics</v>
      </c>
      <c r="J203">
        <f>_xlfn.XLOOKUP(tblOrders[[#This Row],[ProductID]],tblProducts[ProductID],tblProducts[UnitPrice],"not found")</f>
        <v>356.32</v>
      </c>
      <c r="K203" t="str">
        <f>_xlfn.XLOOKUP(tblOrders[[#This Row],[ProductID]],tblProducts[ProductID],tblProducts[Supplier],"not found")</f>
        <v>Hunt-Thompson</v>
      </c>
      <c r="L203" s="1" t="s">
        <v>2119</v>
      </c>
      <c r="M2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44979</v>
      </c>
      <c r="N203">
        <v>4</v>
      </c>
      <c r="O203">
        <v>1425.28</v>
      </c>
      <c r="P203">
        <f>tblOrders[[#This Row],[Quantity]]*tblOrders[[#This Row],[Unit Price]]</f>
        <v>1425.28</v>
      </c>
      <c r="Q203">
        <f>tblOrders[[#This Row],[TotalSales]]-tblOrders[[#This Row],[Calculated Sales]]</f>
        <v>0</v>
      </c>
    </row>
    <row r="204" spans="1:17" x14ac:dyDescent="0.25">
      <c r="A204">
        <v>1905</v>
      </c>
      <c r="B204">
        <v>329</v>
      </c>
      <c r="C204" t="str">
        <f>_xlfn.XLOOKUP(tblOrders[[#This Row],[CustomerID]],tblCustomers[CustomerID],tblCustomers[CustomerName],"not found")</f>
        <v>Mark Christian</v>
      </c>
      <c r="D204">
        <f>_xlfn.XLOOKUP(tblOrders[[#This Row],[CustomerID]],tblCustomers[CustomerID],tblCustomers[Age],"not found")</f>
        <v>59</v>
      </c>
      <c r="E204" t="str">
        <f>_xlfn.XLOOKUP(tblOrders[[#This Row],[CustomerID]],tblCustomers[CustomerID],tblCustomers[Gender],"not found")</f>
        <v>Female</v>
      </c>
      <c r="F204" t="str">
        <f>_xlfn.XLOOKUP(tblOrders[[#This Row],[CustomerID]],tblCustomers[CustomerID],tblCustomers[Region],"not found")</f>
        <v>East</v>
      </c>
      <c r="G204">
        <v>1073</v>
      </c>
      <c r="H204" t="str">
        <f>_xlfn.XLOOKUP(tblOrders[[#This Row],[ProductID]],tblProducts[ProductID],tblProducts[ProductName],"not found")</f>
        <v>Commercial</v>
      </c>
      <c r="I204" t="str">
        <f>_xlfn.XLOOKUP(tblOrders[[#This Row],[ProductID]],tblProducts[ProductID],tblProducts[Category],"not found")</f>
        <v>Electronics</v>
      </c>
      <c r="J204">
        <f>_xlfn.XLOOKUP(tblOrders[[#This Row],[ProductID]],tblProducts[ProductID],tblProducts[UnitPrice],"not found")</f>
        <v>356.32</v>
      </c>
      <c r="K204" t="str">
        <f>_xlfn.XLOOKUP(tblOrders[[#This Row],[ProductID]],tblProducts[ProductID],tblProducts[Supplier],"not found")</f>
        <v>Hunt-Thompson</v>
      </c>
      <c r="L204" s="1" t="s">
        <v>2120</v>
      </c>
      <c r="M2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45095</v>
      </c>
      <c r="N204">
        <v>2</v>
      </c>
      <c r="O204">
        <v>712.64</v>
      </c>
      <c r="P204">
        <f>tblOrders[[#This Row],[Quantity]]*tblOrders[[#This Row],[Unit Price]]</f>
        <v>712.64</v>
      </c>
      <c r="Q204">
        <f>tblOrders[[#This Row],[TotalSales]]-tblOrders[[#This Row],[Calculated Sales]]</f>
        <v>0</v>
      </c>
    </row>
    <row r="205" spans="1:17" x14ac:dyDescent="0.25">
      <c r="A205">
        <v>11</v>
      </c>
      <c r="B205">
        <v>920</v>
      </c>
      <c r="C205" t="str">
        <f>_xlfn.XLOOKUP(tblOrders[[#This Row],[CustomerID]],tblCustomers[CustomerID],tblCustomers[CustomerName],"not found")</f>
        <v>Steven White</v>
      </c>
      <c r="D205">
        <f>_xlfn.XLOOKUP(tblOrders[[#This Row],[CustomerID]],tblCustomers[CustomerID],tblCustomers[Age],"not found")</f>
        <v>60</v>
      </c>
      <c r="E205" t="str">
        <f>_xlfn.XLOOKUP(tblOrders[[#This Row],[CustomerID]],tblCustomers[CustomerID],tblCustomers[Gender],"not found")</f>
        <v>Male</v>
      </c>
      <c r="F205" t="str">
        <f>_xlfn.XLOOKUP(tblOrders[[#This Row],[CustomerID]],tblCustomers[CustomerID],tblCustomers[Region],"not found")</f>
        <v>West</v>
      </c>
      <c r="G205">
        <v>1056</v>
      </c>
      <c r="H205" t="str">
        <f>_xlfn.XLOOKUP(tblOrders[[#This Row],[ProductID]],tblProducts[ProductID],tblProducts[ProductName],"not found")</f>
        <v>Song</v>
      </c>
      <c r="I205" t="str">
        <f>_xlfn.XLOOKUP(tblOrders[[#This Row],[ProductID]],tblProducts[ProductID],tblProducts[Category],"not found")</f>
        <v>Furniture</v>
      </c>
      <c r="J205">
        <f>_xlfn.XLOOKUP(tblOrders[[#This Row],[ProductID]],tblProducts[ProductID],tblProducts[UnitPrice],"not found")</f>
        <v>210.69</v>
      </c>
      <c r="K205" t="str">
        <f>_xlfn.XLOOKUP(tblOrders[[#This Row],[ProductID]],tblProducts[ProductID],tblProducts[Supplier],"not found")</f>
        <v>Brown PLC</v>
      </c>
      <c r="L205" s="1">
        <v>44988</v>
      </c>
      <c r="M2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44988</v>
      </c>
      <c r="N205">
        <v>1</v>
      </c>
      <c r="O205">
        <v>210.69</v>
      </c>
      <c r="P205">
        <f>tblOrders[[#This Row],[Quantity]]*tblOrders[[#This Row],[Unit Price]]</f>
        <v>210.69</v>
      </c>
      <c r="Q205">
        <f>tblOrders[[#This Row],[TotalSales]]-tblOrders[[#This Row],[Calculated Sales]]</f>
        <v>0</v>
      </c>
    </row>
    <row r="206" spans="1:17" x14ac:dyDescent="0.25">
      <c r="A206">
        <v>388</v>
      </c>
      <c r="B206">
        <v>611</v>
      </c>
      <c r="C206" t="str">
        <f>_xlfn.XLOOKUP(tblOrders[[#This Row],[CustomerID]],tblCustomers[CustomerID],tblCustomers[CustomerName],"not found")</f>
        <v>Marcus Thomas</v>
      </c>
      <c r="D206">
        <f>_xlfn.XLOOKUP(tblOrders[[#This Row],[CustomerID]],tblCustomers[CustomerID],tblCustomers[Age],"not found")</f>
        <v>38</v>
      </c>
      <c r="E206" t="str">
        <f>_xlfn.XLOOKUP(tblOrders[[#This Row],[CustomerID]],tblCustomers[CustomerID],tblCustomers[Gender],"not found")</f>
        <v>Female</v>
      </c>
      <c r="F206" t="str">
        <f>_xlfn.XLOOKUP(tblOrders[[#This Row],[CustomerID]],tblCustomers[CustomerID],tblCustomers[Region],"not found")</f>
        <v>Central</v>
      </c>
      <c r="G206">
        <v>1056</v>
      </c>
      <c r="H206" t="str">
        <f>_xlfn.XLOOKUP(tblOrders[[#This Row],[ProductID]],tblProducts[ProductID],tblProducts[ProductName],"not found")</f>
        <v>Song</v>
      </c>
      <c r="I206" t="str">
        <f>_xlfn.XLOOKUP(tblOrders[[#This Row],[ProductID]],tblProducts[ProductID],tblProducts[Category],"not found")</f>
        <v>Furniture</v>
      </c>
      <c r="J206">
        <f>_xlfn.XLOOKUP(tblOrders[[#This Row],[ProductID]],tblProducts[ProductID],tblProducts[UnitPrice],"not found")</f>
        <v>210.69</v>
      </c>
      <c r="K206" t="str">
        <f>_xlfn.XLOOKUP(tblOrders[[#This Row],[ProductID]],tblProducts[ProductID],tblProducts[Supplier],"not found")</f>
        <v>Brown PLC</v>
      </c>
      <c r="L206" s="1">
        <v>45269</v>
      </c>
      <c r="M2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45269</v>
      </c>
      <c r="N206">
        <v>9</v>
      </c>
      <c r="O206">
        <v>1896.21</v>
      </c>
      <c r="P206">
        <f>tblOrders[[#This Row],[Quantity]]*tblOrders[[#This Row],[Unit Price]]</f>
        <v>1896.21</v>
      </c>
      <c r="Q206">
        <f>tblOrders[[#This Row],[TotalSales]]-tblOrders[[#This Row],[Calculated Sales]]</f>
        <v>0</v>
      </c>
    </row>
    <row r="207" spans="1:17" x14ac:dyDescent="0.25">
      <c r="A207">
        <v>419</v>
      </c>
      <c r="B207">
        <v>47</v>
      </c>
      <c r="C207" t="str">
        <f>_xlfn.XLOOKUP(tblOrders[[#This Row],[CustomerID]],tblCustomers[CustomerID],tblCustomers[CustomerName],"not found")</f>
        <v>Brian Smith</v>
      </c>
      <c r="D207">
        <f>_xlfn.XLOOKUP(tblOrders[[#This Row],[CustomerID]],tblCustomers[CustomerID],tblCustomers[Age],"not found")</f>
        <v>55</v>
      </c>
      <c r="E207" t="str">
        <f>_xlfn.XLOOKUP(tblOrders[[#This Row],[CustomerID]],tblCustomers[CustomerID],tblCustomers[Gender],"not found")</f>
        <v>Male</v>
      </c>
      <c r="F207" t="str">
        <f>_xlfn.XLOOKUP(tblOrders[[#This Row],[CustomerID]],tblCustomers[CustomerID],tblCustomers[Region],"not found")</f>
        <v>South</v>
      </c>
      <c r="G207">
        <v>1056</v>
      </c>
      <c r="H207" t="str">
        <f>_xlfn.XLOOKUP(tblOrders[[#This Row],[ProductID]],tblProducts[ProductID],tblProducts[ProductName],"not found")</f>
        <v>Song</v>
      </c>
      <c r="I207" t="str">
        <f>_xlfn.XLOOKUP(tblOrders[[#This Row],[ProductID]],tblProducts[ProductID],tblProducts[Category],"not found")</f>
        <v>Furniture</v>
      </c>
      <c r="J207">
        <f>_xlfn.XLOOKUP(tblOrders[[#This Row],[ProductID]],tblProducts[ProductID],tblProducts[UnitPrice],"not found")</f>
        <v>210.69</v>
      </c>
      <c r="K207" t="str">
        <f>_xlfn.XLOOKUP(tblOrders[[#This Row],[ProductID]],tblProducts[ProductID],tblProducts[Supplier],"not found")</f>
        <v>Brown PLC</v>
      </c>
      <c r="L207" s="1">
        <v>45390</v>
      </c>
      <c r="M2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45390</v>
      </c>
      <c r="N207">
        <v>9</v>
      </c>
      <c r="O207">
        <v>1896.21</v>
      </c>
      <c r="P207">
        <f>tblOrders[[#This Row],[Quantity]]*tblOrders[[#This Row],[Unit Price]]</f>
        <v>1896.21</v>
      </c>
      <c r="Q207">
        <f>tblOrders[[#This Row],[TotalSales]]-tblOrders[[#This Row],[Calculated Sales]]</f>
        <v>0</v>
      </c>
    </row>
    <row r="208" spans="1:17" x14ac:dyDescent="0.25">
      <c r="A208">
        <v>528</v>
      </c>
      <c r="B208">
        <v>420</v>
      </c>
      <c r="C208" t="str">
        <f>_xlfn.XLOOKUP(tblOrders[[#This Row],[CustomerID]],tblCustomers[CustomerID],tblCustomers[CustomerName],"not found")</f>
        <v>James Gonzalez</v>
      </c>
      <c r="D208">
        <f>_xlfn.XLOOKUP(tblOrders[[#This Row],[CustomerID]],tblCustomers[CustomerID],tblCustomers[Age],"not found")</f>
        <v>35</v>
      </c>
      <c r="E208" t="str">
        <f>_xlfn.XLOOKUP(tblOrders[[#This Row],[CustomerID]],tblCustomers[CustomerID],tblCustomers[Gender],"not found")</f>
        <v>Male</v>
      </c>
      <c r="F208" t="str">
        <f>_xlfn.XLOOKUP(tblOrders[[#This Row],[CustomerID]],tblCustomers[CustomerID],tblCustomers[Region],"not found")</f>
        <v>East</v>
      </c>
      <c r="G208">
        <v>1056</v>
      </c>
      <c r="H208" t="str">
        <f>_xlfn.XLOOKUP(tblOrders[[#This Row],[ProductID]],tblProducts[ProductID],tblProducts[ProductName],"not found")</f>
        <v>Song</v>
      </c>
      <c r="I208" t="str">
        <f>_xlfn.XLOOKUP(tblOrders[[#This Row],[ProductID]],tblProducts[ProductID],tblProducts[Category],"not found")</f>
        <v>Furniture</v>
      </c>
      <c r="J208">
        <f>_xlfn.XLOOKUP(tblOrders[[#This Row],[ProductID]],tblProducts[ProductID],tblProducts[UnitPrice],"not found")</f>
        <v>210.69</v>
      </c>
      <c r="K208" t="str">
        <f>_xlfn.XLOOKUP(tblOrders[[#This Row],[ProductID]],tblProducts[ProductID],tblProducts[Supplier],"not found")</f>
        <v>Brown PLC</v>
      </c>
      <c r="L208" s="1">
        <v>45262</v>
      </c>
      <c r="M2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45262</v>
      </c>
      <c r="N208">
        <v>3</v>
      </c>
      <c r="O208">
        <v>632.07000000000005</v>
      </c>
      <c r="P208">
        <f>tblOrders[[#This Row],[Quantity]]*tblOrders[[#This Row],[Unit Price]]</f>
        <v>632.06999999999994</v>
      </c>
      <c r="Q208">
        <f>tblOrders[[#This Row],[TotalSales]]-tblOrders[[#This Row],[Calculated Sales]]</f>
        <v>0</v>
      </c>
    </row>
    <row r="209" spans="1:17" x14ac:dyDescent="0.25">
      <c r="A209">
        <v>590</v>
      </c>
      <c r="B209">
        <v>607</v>
      </c>
      <c r="C209" t="str">
        <f>_xlfn.XLOOKUP(tblOrders[[#This Row],[CustomerID]],tblCustomers[CustomerID],tblCustomers[CustomerName],"not found")</f>
        <v>Benjamin Farrell</v>
      </c>
      <c r="D209">
        <f>_xlfn.XLOOKUP(tblOrders[[#This Row],[CustomerID]],tblCustomers[CustomerID],tblCustomers[Age],"not found")</f>
        <v>38</v>
      </c>
      <c r="E209" t="str">
        <f>_xlfn.XLOOKUP(tblOrders[[#This Row],[CustomerID]],tblCustomers[CustomerID],tblCustomers[Gender],"not found")</f>
        <v>Male</v>
      </c>
      <c r="F209" t="str">
        <f>_xlfn.XLOOKUP(tblOrders[[#This Row],[CustomerID]],tblCustomers[CustomerID],tblCustomers[Region],"not found")</f>
        <v>East</v>
      </c>
      <c r="G209">
        <v>1056</v>
      </c>
      <c r="H209" t="str">
        <f>_xlfn.XLOOKUP(tblOrders[[#This Row],[ProductID]],tblProducts[ProductID],tblProducts[ProductName],"not found")</f>
        <v>Song</v>
      </c>
      <c r="I209" t="str">
        <f>_xlfn.XLOOKUP(tblOrders[[#This Row],[ProductID]],tblProducts[ProductID],tblProducts[Category],"not found")</f>
        <v>Furniture</v>
      </c>
      <c r="J209">
        <f>_xlfn.XLOOKUP(tblOrders[[#This Row],[ProductID]],tblProducts[ProductID],tblProducts[UnitPrice],"not found")</f>
        <v>210.69</v>
      </c>
      <c r="K209" t="str">
        <f>_xlfn.XLOOKUP(tblOrders[[#This Row],[ProductID]],tblProducts[ProductID],tblProducts[Supplier],"not found")</f>
        <v>Brown PLC</v>
      </c>
      <c r="L209" s="1" t="s">
        <v>2044</v>
      </c>
      <c r="M2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45160</v>
      </c>
      <c r="N209">
        <v>4</v>
      </c>
      <c r="O209">
        <v>842.76</v>
      </c>
      <c r="P209">
        <f>tblOrders[[#This Row],[Quantity]]*tblOrders[[#This Row],[Unit Price]]</f>
        <v>842.76</v>
      </c>
      <c r="Q209">
        <f>tblOrders[[#This Row],[TotalSales]]-tblOrders[[#This Row],[Calculated Sales]]</f>
        <v>0</v>
      </c>
    </row>
    <row r="210" spans="1:17" x14ac:dyDescent="0.25">
      <c r="A210">
        <v>649</v>
      </c>
      <c r="B210">
        <v>200</v>
      </c>
      <c r="C210" t="str">
        <f>_xlfn.XLOOKUP(tblOrders[[#This Row],[CustomerID]],tblCustomers[CustomerID],tblCustomers[CustomerName],"not found")</f>
        <v>Melissa Bonilla</v>
      </c>
      <c r="D210">
        <f>_xlfn.XLOOKUP(tblOrders[[#This Row],[CustomerID]],tblCustomers[CustomerID],tblCustomers[Age],"not found")</f>
        <v>54</v>
      </c>
      <c r="E210" t="str">
        <f>_xlfn.XLOOKUP(tblOrders[[#This Row],[CustomerID]],tblCustomers[CustomerID],tblCustomers[Gender],"not found")</f>
        <v>Male</v>
      </c>
      <c r="F210" t="str">
        <f>_xlfn.XLOOKUP(tblOrders[[#This Row],[CustomerID]],tblCustomers[CustomerID],tblCustomers[Region],"not found")</f>
        <v>South</v>
      </c>
      <c r="G210">
        <v>1056</v>
      </c>
      <c r="H210" t="str">
        <f>_xlfn.XLOOKUP(tblOrders[[#This Row],[ProductID]],tblProducts[ProductID],tblProducts[ProductName],"not found")</f>
        <v>Song</v>
      </c>
      <c r="I210" t="str">
        <f>_xlfn.XLOOKUP(tblOrders[[#This Row],[ProductID]],tblProducts[ProductID],tblProducts[Category],"not found")</f>
        <v>Furniture</v>
      </c>
      <c r="J210">
        <f>_xlfn.XLOOKUP(tblOrders[[#This Row],[ProductID]],tblProducts[ProductID],tblProducts[UnitPrice],"not found")</f>
        <v>210.69</v>
      </c>
      <c r="K210" t="str">
        <f>_xlfn.XLOOKUP(tblOrders[[#This Row],[ProductID]],tblProducts[ProductID],tblProducts[Supplier],"not found")</f>
        <v>Brown PLC</v>
      </c>
      <c r="L210" s="1">
        <v>44936</v>
      </c>
      <c r="M2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210">
        <v>8</v>
      </c>
      <c r="O210">
        <v>1685.52</v>
      </c>
      <c r="P210">
        <f>tblOrders[[#This Row],[Quantity]]*tblOrders[[#This Row],[Unit Price]]</f>
        <v>1685.52</v>
      </c>
      <c r="Q210">
        <f>tblOrders[[#This Row],[TotalSales]]-tblOrders[[#This Row],[Calculated Sales]]</f>
        <v>0</v>
      </c>
    </row>
    <row r="211" spans="1:17" x14ac:dyDescent="0.25">
      <c r="A211">
        <v>700</v>
      </c>
      <c r="B211">
        <v>386</v>
      </c>
      <c r="C211" t="str">
        <f>_xlfn.XLOOKUP(tblOrders[[#This Row],[CustomerID]],tblCustomers[CustomerID],tblCustomers[CustomerName],"not found")</f>
        <v>Tara Bentley</v>
      </c>
      <c r="D211">
        <f>_xlfn.XLOOKUP(tblOrders[[#This Row],[CustomerID]],tblCustomers[CustomerID],tblCustomers[Age],"not found")</f>
        <v>61</v>
      </c>
      <c r="E211" t="str">
        <f>_xlfn.XLOOKUP(tblOrders[[#This Row],[CustomerID]],tblCustomers[CustomerID],tblCustomers[Gender],"not found")</f>
        <v>Male</v>
      </c>
      <c r="F211" t="str">
        <f>_xlfn.XLOOKUP(tblOrders[[#This Row],[CustomerID]],tblCustomers[CustomerID],tblCustomers[Region],"not found")</f>
        <v>East</v>
      </c>
      <c r="G211">
        <v>1056</v>
      </c>
      <c r="H211" t="str">
        <f>_xlfn.XLOOKUP(tblOrders[[#This Row],[ProductID]],tblProducts[ProductID],tblProducts[ProductName],"not found")</f>
        <v>Song</v>
      </c>
      <c r="I211" t="str">
        <f>_xlfn.XLOOKUP(tblOrders[[#This Row],[ProductID]],tblProducts[ProductID],tblProducts[Category],"not found")</f>
        <v>Furniture</v>
      </c>
      <c r="J211">
        <f>_xlfn.XLOOKUP(tblOrders[[#This Row],[ProductID]],tblProducts[ProductID],tblProducts[UnitPrice],"not found")</f>
        <v>210.69</v>
      </c>
      <c r="K211" t="str">
        <f>_xlfn.XLOOKUP(tblOrders[[#This Row],[ProductID]],tblProducts[ProductID],tblProducts[Supplier],"not found")</f>
        <v>Brown PLC</v>
      </c>
      <c r="L211" s="1" t="s">
        <v>2121</v>
      </c>
      <c r="M2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45487</v>
      </c>
      <c r="N211">
        <v>4</v>
      </c>
      <c r="O211">
        <v>842.76</v>
      </c>
      <c r="P211">
        <f>tblOrders[[#This Row],[Quantity]]*tblOrders[[#This Row],[Unit Price]]</f>
        <v>842.76</v>
      </c>
      <c r="Q211">
        <f>tblOrders[[#This Row],[TotalSales]]-tblOrders[[#This Row],[Calculated Sales]]</f>
        <v>0</v>
      </c>
    </row>
    <row r="212" spans="1:17" x14ac:dyDescent="0.25">
      <c r="A212">
        <v>773</v>
      </c>
      <c r="B212">
        <v>316</v>
      </c>
      <c r="C212" t="str">
        <f>_xlfn.XLOOKUP(tblOrders[[#This Row],[CustomerID]],tblCustomers[CustomerID],tblCustomers[CustomerName],"not found")</f>
        <v>Joseph Lawrence</v>
      </c>
      <c r="D212">
        <f>_xlfn.XLOOKUP(tblOrders[[#This Row],[CustomerID]],tblCustomers[CustomerID],tblCustomers[Age],"not found")</f>
        <v>62</v>
      </c>
      <c r="E212" t="str">
        <f>_xlfn.XLOOKUP(tblOrders[[#This Row],[CustomerID]],tblCustomers[CustomerID],tblCustomers[Gender],"not found")</f>
        <v>Female</v>
      </c>
      <c r="F212" t="str">
        <f>_xlfn.XLOOKUP(tblOrders[[#This Row],[CustomerID]],tblCustomers[CustomerID],tblCustomers[Region],"not found")</f>
        <v>South</v>
      </c>
      <c r="G212">
        <v>1056</v>
      </c>
      <c r="H212" t="str">
        <f>_xlfn.XLOOKUP(tblOrders[[#This Row],[ProductID]],tblProducts[ProductID],tblProducts[ProductName],"not found")</f>
        <v>Song</v>
      </c>
      <c r="I212" t="str">
        <f>_xlfn.XLOOKUP(tblOrders[[#This Row],[ProductID]],tblProducts[ProductID],tblProducts[Category],"not found")</f>
        <v>Furniture</v>
      </c>
      <c r="J212">
        <f>_xlfn.XLOOKUP(tblOrders[[#This Row],[ProductID]],tblProducts[ProductID],tblProducts[UnitPrice],"not found")</f>
        <v>210.69</v>
      </c>
      <c r="K212" t="str">
        <f>_xlfn.XLOOKUP(tblOrders[[#This Row],[ProductID]],tblProducts[ProductID],tblProducts[Supplier],"not found")</f>
        <v>Brown PLC</v>
      </c>
      <c r="L212" s="1">
        <v>45235</v>
      </c>
      <c r="M2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45235</v>
      </c>
      <c r="N212">
        <v>4</v>
      </c>
      <c r="O212">
        <v>842.76</v>
      </c>
      <c r="P212">
        <f>tblOrders[[#This Row],[Quantity]]*tblOrders[[#This Row],[Unit Price]]</f>
        <v>842.76</v>
      </c>
      <c r="Q212">
        <f>tblOrders[[#This Row],[TotalSales]]-tblOrders[[#This Row],[Calculated Sales]]</f>
        <v>0</v>
      </c>
    </row>
    <row r="213" spans="1:17" x14ac:dyDescent="0.25">
      <c r="A213">
        <v>788</v>
      </c>
      <c r="B213">
        <v>2</v>
      </c>
      <c r="C213" t="str">
        <f>_xlfn.XLOOKUP(tblOrders[[#This Row],[CustomerID]],tblCustomers[CustomerID],tblCustomers[CustomerName],"not found")</f>
        <v>Joseph Chapman</v>
      </c>
      <c r="D213">
        <f>_xlfn.XLOOKUP(tblOrders[[#This Row],[CustomerID]],tblCustomers[CustomerID],tblCustomers[Age],"not found")</f>
        <v>21</v>
      </c>
      <c r="E213" t="str">
        <f>_xlfn.XLOOKUP(tblOrders[[#This Row],[CustomerID]],tblCustomers[CustomerID],tblCustomers[Gender],"not found")</f>
        <v>Female</v>
      </c>
      <c r="F213" t="str">
        <f>_xlfn.XLOOKUP(tblOrders[[#This Row],[CustomerID]],tblCustomers[CustomerID],tblCustomers[Region],"not found")</f>
        <v>East</v>
      </c>
      <c r="G213">
        <v>1056</v>
      </c>
      <c r="H213" t="str">
        <f>_xlfn.XLOOKUP(tblOrders[[#This Row],[ProductID]],tblProducts[ProductID],tblProducts[ProductName],"not found")</f>
        <v>Song</v>
      </c>
      <c r="I213" t="str">
        <f>_xlfn.XLOOKUP(tblOrders[[#This Row],[ProductID]],tblProducts[ProductID],tblProducts[Category],"not found")</f>
        <v>Furniture</v>
      </c>
      <c r="J213">
        <f>_xlfn.XLOOKUP(tblOrders[[#This Row],[ProductID]],tblProducts[ProductID],tblProducts[UnitPrice],"not found")</f>
        <v>210.69</v>
      </c>
      <c r="K213" t="str">
        <f>_xlfn.XLOOKUP(tblOrders[[#This Row],[ProductID]],tblProducts[ProductID],tblProducts[Supplier],"not found")</f>
        <v>Brown PLC</v>
      </c>
      <c r="L213" s="1" t="s">
        <v>2122</v>
      </c>
      <c r="M2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45368</v>
      </c>
      <c r="N213">
        <v>5</v>
      </c>
      <c r="O213">
        <v>1053.45</v>
      </c>
      <c r="P213">
        <f>tblOrders[[#This Row],[Quantity]]*tblOrders[[#This Row],[Unit Price]]</f>
        <v>1053.45</v>
      </c>
      <c r="Q213">
        <f>tblOrders[[#This Row],[TotalSales]]-tblOrders[[#This Row],[Calculated Sales]]</f>
        <v>0</v>
      </c>
    </row>
    <row r="214" spans="1:17" x14ac:dyDescent="0.25">
      <c r="A214">
        <v>814</v>
      </c>
      <c r="B214">
        <v>14</v>
      </c>
      <c r="C214" t="str">
        <f>_xlfn.XLOOKUP(tblOrders[[#This Row],[CustomerID]],tblCustomers[CustomerID],tblCustomers[CustomerName],"not found")</f>
        <v>Ryan King</v>
      </c>
      <c r="D214">
        <f>_xlfn.XLOOKUP(tblOrders[[#This Row],[CustomerID]],tblCustomers[CustomerID],tblCustomers[Age],"not found")</f>
        <v>57</v>
      </c>
      <c r="E214" t="str">
        <f>_xlfn.XLOOKUP(tblOrders[[#This Row],[CustomerID]],tblCustomers[CustomerID],tblCustomers[Gender],"not found")</f>
        <v>Female</v>
      </c>
      <c r="F214" t="str">
        <f>_xlfn.XLOOKUP(tblOrders[[#This Row],[CustomerID]],tblCustomers[CustomerID],tblCustomers[Region],"not found")</f>
        <v>East</v>
      </c>
      <c r="G214">
        <v>1056</v>
      </c>
      <c r="H214" t="str">
        <f>_xlfn.XLOOKUP(tblOrders[[#This Row],[ProductID]],tblProducts[ProductID],tblProducts[ProductName],"not found")</f>
        <v>Song</v>
      </c>
      <c r="I214" t="str">
        <f>_xlfn.XLOOKUP(tblOrders[[#This Row],[ProductID]],tblProducts[ProductID],tblProducts[Category],"not found")</f>
        <v>Furniture</v>
      </c>
      <c r="J214">
        <f>_xlfn.XLOOKUP(tblOrders[[#This Row],[ProductID]],tblProducts[ProductID],tblProducts[UnitPrice],"not found")</f>
        <v>210.69</v>
      </c>
      <c r="K214" t="str">
        <f>_xlfn.XLOOKUP(tblOrders[[#This Row],[ProductID]],tblProducts[ProductID],tblProducts[Supplier],"not found")</f>
        <v>Brown PLC</v>
      </c>
      <c r="L214" s="1" t="s">
        <v>2123</v>
      </c>
      <c r="M2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45592</v>
      </c>
      <c r="N214">
        <v>6</v>
      </c>
      <c r="O214">
        <v>1264.1400000000001</v>
      </c>
      <c r="P214">
        <f>tblOrders[[#This Row],[Quantity]]*tblOrders[[#This Row],[Unit Price]]</f>
        <v>1264.1399999999999</v>
      </c>
      <c r="Q214">
        <f>tblOrders[[#This Row],[TotalSales]]-tblOrders[[#This Row],[Calculated Sales]]</f>
        <v>0</v>
      </c>
    </row>
    <row r="215" spans="1:17" x14ac:dyDescent="0.25">
      <c r="A215">
        <v>815</v>
      </c>
      <c r="B215">
        <v>505</v>
      </c>
      <c r="C215" t="str">
        <f>_xlfn.XLOOKUP(tblOrders[[#This Row],[CustomerID]],tblCustomers[CustomerID],tblCustomers[CustomerName],"not found")</f>
        <v>Ronald Anderson</v>
      </c>
      <c r="D215">
        <f>_xlfn.XLOOKUP(tblOrders[[#This Row],[CustomerID]],tblCustomers[CustomerID],tblCustomers[Age],"not found")</f>
        <v>45</v>
      </c>
      <c r="E215" t="str">
        <f>_xlfn.XLOOKUP(tblOrders[[#This Row],[CustomerID]],tblCustomers[CustomerID],tblCustomers[Gender],"not found")</f>
        <v>Female</v>
      </c>
      <c r="F215" t="str">
        <f>_xlfn.XLOOKUP(tblOrders[[#This Row],[CustomerID]],tblCustomers[CustomerID],tblCustomers[Region],"not found")</f>
        <v>Central</v>
      </c>
      <c r="G215">
        <v>1056</v>
      </c>
      <c r="H215" t="str">
        <f>_xlfn.XLOOKUP(tblOrders[[#This Row],[ProductID]],tblProducts[ProductID],tblProducts[ProductName],"not found")</f>
        <v>Song</v>
      </c>
      <c r="I215" t="str">
        <f>_xlfn.XLOOKUP(tblOrders[[#This Row],[ProductID]],tblProducts[ProductID],tblProducts[Category],"not found")</f>
        <v>Furniture</v>
      </c>
      <c r="J215">
        <f>_xlfn.XLOOKUP(tblOrders[[#This Row],[ProductID]],tblProducts[ProductID],tblProducts[UnitPrice],"not found")</f>
        <v>210.69</v>
      </c>
      <c r="K215" t="str">
        <f>_xlfn.XLOOKUP(tblOrders[[#This Row],[ProductID]],tblProducts[ProductID],tblProducts[Supplier],"not found")</f>
        <v>Brown PLC</v>
      </c>
      <c r="L215" s="1">
        <v>45206</v>
      </c>
      <c r="M2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45206</v>
      </c>
      <c r="N215">
        <v>9</v>
      </c>
      <c r="O215">
        <v>1896.21</v>
      </c>
      <c r="P215">
        <f>tblOrders[[#This Row],[Quantity]]*tblOrders[[#This Row],[Unit Price]]</f>
        <v>1896.21</v>
      </c>
      <c r="Q215">
        <f>tblOrders[[#This Row],[TotalSales]]-tblOrders[[#This Row],[Calculated Sales]]</f>
        <v>0</v>
      </c>
    </row>
    <row r="216" spans="1:17" x14ac:dyDescent="0.25">
      <c r="A216">
        <v>833</v>
      </c>
      <c r="B216">
        <v>205</v>
      </c>
      <c r="C216" t="str">
        <f>_xlfn.XLOOKUP(tblOrders[[#This Row],[CustomerID]],tblCustomers[CustomerID],tblCustomers[CustomerName],"not found")</f>
        <v>James Johnson Jr.</v>
      </c>
      <c r="D216">
        <f>_xlfn.XLOOKUP(tblOrders[[#This Row],[CustomerID]],tblCustomers[CustomerID],tblCustomers[Age],"not found")</f>
        <v>45</v>
      </c>
      <c r="E216" t="str">
        <f>_xlfn.XLOOKUP(tblOrders[[#This Row],[CustomerID]],tblCustomers[CustomerID],tblCustomers[Gender],"not found")</f>
        <v>Male</v>
      </c>
      <c r="F216" t="str">
        <f>_xlfn.XLOOKUP(tblOrders[[#This Row],[CustomerID]],tblCustomers[CustomerID],tblCustomers[Region],"not found")</f>
        <v>South</v>
      </c>
      <c r="G216">
        <v>1056</v>
      </c>
      <c r="H216" t="str">
        <f>_xlfn.XLOOKUP(tblOrders[[#This Row],[ProductID]],tblProducts[ProductID],tblProducts[ProductName],"not found")</f>
        <v>Song</v>
      </c>
      <c r="I216" t="str">
        <f>_xlfn.XLOOKUP(tblOrders[[#This Row],[ProductID]],tblProducts[ProductID],tblProducts[Category],"not found")</f>
        <v>Furniture</v>
      </c>
      <c r="J216">
        <f>_xlfn.XLOOKUP(tblOrders[[#This Row],[ProductID]],tblProducts[ProductID],tblProducts[UnitPrice],"not found")</f>
        <v>210.69</v>
      </c>
      <c r="K216" t="str">
        <f>_xlfn.XLOOKUP(tblOrders[[#This Row],[ProductID]],tblProducts[ProductID],tblProducts[Supplier],"not found")</f>
        <v>Brown PLC</v>
      </c>
      <c r="L216" s="1" t="s">
        <v>2124</v>
      </c>
      <c r="M2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44945</v>
      </c>
      <c r="N216">
        <v>9</v>
      </c>
      <c r="O216">
        <v>1896.21</v>
      </c>
      <c r="P216">
        <f>tblOrders[[#This Row],[Quantity]]*tblOrders[[#This Row],[Unit Price]]</f>
        <v>1896.21</v>
      </c>
      <c r="Q216">
        <f>tblOrders[[#This Row],[TotalSales]]-tblOrders[[#This Row],[Calculated Sales]]</f>
        <v>0</v>
      </c>
    </row>
    <row r="217" spans="1:17" x14ac:dyDescent="0.25">
      <c r="A217">
        <v>958</v>
      </c>
      <c r="B217">
        <v>628</v>
      </c>
      <c r="C217" t="str">
        <f>_xlfn.XLOOKUP(tblOrders[[#This Row],[CustomerID]],tblCustomers[CustomerID],tblCustomers[CustomerName],"not found")</f>
        <v>Peter Chandler</v>
      </c>
      <c r="D217">
        <f>_xlfn.XLOOKUP(tblOrders[[#This Row],[CustomerID]],tblCustomers[CustomerID],tblCustomers[Age],"not found")</f>
        <v>44</v>
      </c>
      <c r="E217" t="str">
        <f>_xlfn.XLOOKUP(tblOrders[[#This Row],[CustomerID]],tblCustomers[CustomerID],tblCustomers[Gender],"not found")</f>
        <v>Female</v>
      </c>
      <c r="F217" t="str">
        <f>_xlfn.XLOOKUP(tblOrders[[#This Row],[CustomerID]],tblCustomers[CustomerID],tblCustomers[Region],"not found")</f>
        <v>West</v>
      </c>
      <c r="G217">
        <v>1056</v>
      </c>
      <c r="H217" t="str">
        <f>_xlfn.XLOOKUP(tblOrders[[#This Row],[ProductID]],tblProducts[ProductID],tblProducts[ProductName],"not found")</f>
        <v>Song</v>
      </c>
      <c r="I217" t="str">
        <f>_xlfn.XLOOKUP(tblOrders[[#This Row],[ProductID]],tblProducts[ProductID],tblProducts[Category],"not found")</f>
        <v>Furniture</v>
      </c>
      <c r="J217">
        <f>_xlfn.XLOOKUP(tblOrders[[#This Row],[ProductID]],tblProducts[ProductID],tblProducts[UnitPrice],"not found")</f>
        <v>210.69</v>
      </c>
      <c r="K217" t="str">
        <f>_xlfn.XLOOKUP(tblOrders[[#This Row],[ProductID]],tblProducts[ProductID],tblProducts[Supplier],"not found")</f>
        <v>Brown PLC</v>
      </c>
      <c r="L217" s="1">
        <v>45478</v>
      </c>
      <c r="M2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45478</v>
      </c>
      <c r="N217">
        <v>5</v>
      </c>
      <c r="O217">
        <v>1053.45</v>
      </c>
      <c r="P217">
        <f>tblOrders[[#This Row],[Quantity]]*tblOrders[[#This Row],[Unit Price]]</f>
        <v>1053.45</v>
      </c>
      <c r="Q217">
        <f>tblOrders[[#This Row],[TotalSales]]-tblOrders[[#This Row],[Calculated Sales]]</f>
        <v>0</v>
      </c>
    </row>
    <row r="218" spans="1:17" x14ac:dyDescent="0.25">
      <c r="A218">
        <v>1071</v>
      </c>
      <c r="B218">
        <v>898</v>
      </c>
      <c r="C218" t="str">
        <f>_xlfn.XLOOKUP(tblOrders[[#This Row],[CustomerID]],tblCustomers[CustomerID],tblCustomers[CustomerName],"not found")</f>
        <v>Lauren Watson</v>
      </c>
      <c r="D218">
        <f>_xlfn.XLOOKUP(tblOrders[[#This Row],[CustomerID]],tblCustomers[CustomerID],tblCustomers[Age],"not found")</f>
        <v>50</v>
      </c>
      <c r="E218" t="str">
        <f>_xlfn.XLOOKUP(tblOrders[[#This Row],[CustomerID]],tblCustomers[CustomerID],tblCustomers[Gender],"not found")</f>
        <v>Female</v>
      </c>
      <c r="F218" t="str">
        <f>_xlfn.XLOOKUP(tblOrders[[#This Row],[CustomerID]],tblCustomers[CustomerID],tblCustomers[Region],"not found")</f>
        <v>East</v>
      </c>
      <c r="G218">
        <v>1056</v>
      </c>
      <c r="H218" t="str">
        <f>_xlfn.XLOOKUP(tblOrders[[#This Row],[ProductID]],tblProducts[ProductID],tblProducts[ProductName],"not found")</f>
        <v>Song</v>
      </c>
      <c r="I218" t="str">
        <f>_xlfn.XLOOKUP(tblOrders[[#This Row],[ProductID]],tblProducts[ProductID],tblProducts[Category],"not found")</f>
        <v>Furniture</v>
      </c>
      <c r="J218">
        <f>_xlfn.XLOOKUP(tblOrders[[#This Row],[ProductID]],tblProducts[ProductID],tblProducts[UnitPrice],"not found")</f>
        <v>210.69</v>
      </c>
      <c r="K218" t="str">
        <f>_xlfn.XLOOKUP(tblOrders[[#This Row],[ProductID]],tblProducts[ProductID],tblProducts[Supplier],"not found")</f>
        <v>Brown PLC</v>
      </c>
      <c r="L218" s="1">
        <v>44928</v>
      </c>
      <c r="M2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44928</v>
      </c>
      <c r="N218">
        <v>3</v>
      </c>
      <c r="O218">
        <v>632.07000000000005</v>
      </c>
      <c r="P218">
        <f>tblOrders[[#This Row],[Quantity]]*tblOrders[[#This Row],[Unit Price]]</f>
        <v>632.06999999999994</v>
      </c>
      <c r="Q218">
        <f>tblOrders[[#This Row],[TotalSales]]-tblOrders[[#This Row],[Calculated Sales]]</f>
        <v>0</v>
      </c>
    </row>
    <row r="219" spans="1:17" x14ac:dyDescent="0.25">
      <c r="A219">
        <v>1093</v>
      </c>
      <c r="B219">
        <v>870</v>
      </c>
      <c r="C219" t="str">
        <f>_xlfn.XLOOKUP(tblOrders[[#This Row],[CustomerID]],tblCustomers[CustomerID],tblCustomers[CustomerName],"not found")</f>
        <v>Misty Mccormick</v>
      </c>
      <c r="D219">
        <f>_xlfn.XLOOKUP(tblOrders[[#This Row],[CustomerID]],tblCustomers[CustomerID],tblCustomers[Age],"not found")</f>
        <v>25</v>
      </c>
      <c r="E219" t="str">
        <f>_xlfn.XLOOKUP(tblOrders[[#This Row],[CustomerID]],tblCustomers[CustomerID],tblCustomers[Gender],"not found")</f>
        <v>Female</v>
      </c>
      <c r="F219" t="str">
        <f>_xlfn.XLOOKUP(tblOrders[[#This Row],[CustomerID]],tblCustomers[CustomerID],tblCustomers[Region],"not found")</f>
        <v>West</v>
      </c>
      <c r="G219">
        <v>1056</v>
      </c>
      <c r="H219" t="str">
        <f>_xlfn.XLOOKUP(tblOrders[[#This Row],[ProductID]],tblProducts[ProductID],tblProducts[ProductName],"not found")</f>
        <v>Song</v>
      </c>
      <c r="I219" t="str">
        <f>_xlfn.XLOOKUP(tblOrders[[#This Row],[ProductID]],tblProducts[ProductID],tblProducts[Category],"not found")</f>
        <v>Furniture</v>
      </c>
      <c r="J219">
        <f>_xlfn.XLOOKUP(tblOrders[[#This Row],[ProductID]],tblProducts[ProductID],tblProducts[UnitPrice],"not found")</f>
        <v>210.69</v>
      </c>
      <c r="K219" t="str">
        <f>_xlfn.XLOOKUP(tblOrders[[#This Row],[ProductID]],tblProducts[ProductID],tblProducts[Supplier],"not found")</f>
        <v>Brown PLC</v>
      </c>
      <c r="L219" s="1" t="s">
        <v>2103</v>
      </c>
      <c r="M2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45532</v>
      </c>
      <c r="N219">
        <v>8</v>
      </c>
      <c r="O219">
        <v>1685.52</v>
      </c>
      <c r="P219">
        <f>tblOrders[[#This Row],[Quantity]]*tblOrders[[#This Row],[Unit Price]]</f>
        <v>1685.52</v>
      </c>
      <c r="Q219">
        <f>tblOrders[[#This Row],[TotalSales]]-tblOrders[[#This Row],[Calculated Sales]]</f>
        <v>0</v>
      </c>
    </row>
    <row r="220" spans="1:17" x14ac:dyDescent="0.25">
      <c r="A220">
        <v>1279</v>
      </c>
      <c r="B220">
        <v>971</v>
      </c>
      <c r="C220" t="str">
        <f>_xlfn.XLOOKUP(tblOrders[[#This Row],[CustomerID]],tblCustomers[CustomerID],tblCustomers[CustomerName],"not found")</f>
        <v>Angela Acevedo</v>
      </c>
      <c r="D220">
        <f>_xlfn.XLOOKUP(tblOrders[[#This Row],[CustomerID]],tblCustomers[CustomerID],tblCustomers[Age],"not found")</f>
        <v>53</v>
      </c>
      <c r="E220" t="str">
        <f>_xlfn.XLOOKUP(tblOrders[[#This Row],[CustomerID]],tblCustomers[CustomerID],tblCustomers[Gender],"not found")</f>
        <v>Male</v>
      </c>
      <c r="F220" t="str">
        <f>_xlfn.XLOOKUP(tblOrders[[#This Row],[CustomerID]],tblCustomers[CustomerID],tblCustomers[Region],"not found")</f>
        <v>South</v>
      </c>
      <c r="G220">
        <v>1056</v>
      </c>
      <c r="H220" t="str">
        <f>_xlfn.XLOOKUP(tblOrders[[#This Row],[ProductID]],tblProducts[ProductID],tblProducts[ProductName],"not found")</f>
        <v>Song</v>
      </c>
      <c r="I220" t="str">
        <f>_xlfn.XLOOKUP(tblOrders[[#This Row],[ProductID]],tblProducts[ProductID],tblProducts[Category],"not found")</f>
        <v>Furniture</v>
      </c>
      <c r="J220">
        <f>_xlfn.XLOOKUP(tblOrders[[#This Row],[ProductID]],tblProducts[ProductID],tblProducts[UnitPrice],"not found")</f>
        <v>210.69</v>
      </c>
      <c r="K220" t="str">
        <f>_xlfn.XLOOKUP(tblOrders[[#This Row],[ProductID]],tblProducts[ProductID],tblProducts[Supplier],"not found")</f>
        <v>Brown PLC</v>
      </c>
      <c r="L220" s="1">
        <v>45020</v>
      </c>
      <c r="M2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45020</v>
      </c>
      <c r="N220">
        <v>8</v>
      </c>
      <c r="O220">
        <v>1685.52</v>
      </c>
      <c r="P220">
        <f>tblOrders[[#This Row],[Quantity]]*tblOrders[[#This Row],[Unit Price]]</f>
        <v>1685.52</v>
      </c>
      <c r="Q220">
        <f>tblOrders[[#This Row],[TotalSales]]-tblOrders[[#This Row],[Calculated Sales]]</f>
        <v>0</v>
      </c>
    </row>
    <row r="221" spans="1:17" x14ac:dyDescent="0.25">
      <c r="A221">
        <v>1488</v>
      </c>
      <c r="B221">
        <v>19</v>
      </c>
      <c r="C221" t="str">
        <f>_xlfn.XLOOKUP(tblOrders[[#This Row],[CustomerID]],tblCustomers[CustomerID],tblCustomers[CustomerName],"not found")</f>
        <v>Brenda Williams</v>
      </c>
      <c r="D221">
        <f>_xlfn.XLOOKUP(tblOrders[[#This Row],[CustomerID]],tblCustomers[CustomerID],tblCustomers[Age],"not found")</f>
        <v>39</v>
      </c>
      <c r="E221" t="str">
        <f>_xlfn.XLOOKUP(tblOrders[[#This Row],[CustomerID]],tblCustomers[CustomerID],tblCustomers[Gender],"not found")</f>
        <v>Male</v>
      </c>
      <c r="F221" t="str">
        <f>_xlfn.XLOOKUP(tblOrders[[#This Row],[CustomerID]],tblCustomers[CustomerID],tblCustomers[Region],"not found")</f>
        <v>East</v>
      </c>
      <c r="G221">
        <v>1056</v>
      </c>
      <c r="H221" t="str">
        <f>_xlfn.XLOOKUP(tblOrders[[#This Row],[ProductID]],tblProducts[ProductID],tblProducts[ProductName],"not found")</f>
        <v>Song</v>
      </c>
      <c r="I221" t="str">
        <f>_xlfn.XLOOKUP(tblOrders[[#This Row],[ProductID]],tblProducts[ProductID],tblProducts[Category],"not found")</f>
        <v>Furniture</v>
      </c>
      <c r="J221">
        <f>_xlfn.XLOOKUP(tblOrders[[#This Row],[ProductID]],tblProducts[ProductID],tblProducts[UnitPrice],"not found")</f>
        <v>210.69</v>
      </c>
      <c r="K221" t="str">
        <f>_xlfn.XLOOKUP(tblOrders[[#This Row],[ProductID]],tblProducts[ProductID],tblProducts[Supplier],"not found")</f>
        <v>Brown PLC</v>
      </c>
      <c r="L221" s="1">
        <v>45271</v>
      </c>
      <c r="M2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45271</v>
      </c>
      <c r="N221">
        <v>4</v>
      </c>
      <c r="O221">
        <v>842.76</v>
      </c>
      <c r="P221">
        <f>tblOrders[[#This Row],[Quantity]]*tblOrders[[#This Row],[Unit Price]]</f>
        <v>842.76</v>
      </c>
      <c r="Q221">
        <f>tblOrders[[#This Row],[TotalSales]]-tblOrders[[#This Row],[Calculated Sales]]</f>
        <v>0</v>
      </c>
    </row>
    <row r="222" spans="1:17" x14ac:dyDescent="0.25">
      <c r="A222">
        <v>1512</v>
      </c>
      <c r="B222">
        <v>257</v>
      </c>
      <c r="C222" t="str">
        <f>_xlfn.XLOOKUP(tblOrders[[#This Row],[CustomerID]],tblCustomers[CustomerID],tblCustomers[CustomerName],"not found")</f>
        <v>Luke Lawson</v>
      </c>
      <c r="D222">
        <f>_xlfn.XLOOKUP(tblOrders[[#This Row],[CustomerID]],tblCustomers[CustomerID],tblCustomers[Age],"not found")</f>
        <v>58</v>
      </c>
      <c r="E222" t="str">
        <f>_xlfn.XLOOKUP(tblOrders[[#This Row],[CustomerID]],tblCustomers[CustomerID],tblCustomers[Gender],"not found")</f>
        <v>Male</v>
      </c>
      <c r="F222" t="str">
        <f>_xlfn.XLOOKUP(tblOrders[[#This Row],[CustomerID]],tblCustomers[CustomerID],tblCustomers[Region],"not found")</f>
        <v>Central</v>
      </c>
      <c r="G222">
        <v>1056</v>
      </c>
      <c r="H222" t="str">
        <f>_xlfn.XLOOKUP(tblOrders[[#This Row],[ProductID]],tblProducts[ProductID],tblProducts[ProductName],"not found")</f>
        <v>Song</v>
      </c>
      <c r="I222" t="str">
        <f>_xlfn.XLOOKUP(tblOrders[[#This Row],[ProductID]],tblProducts[ProductID],tblProducts[Category],"not found")</f>
        <v>Furniture</v>
      </c>
      <c r="J222">
        <f>_xlfn.XLOOKUP(tblOrders[[#This Row],[ProductID]],tblProducts[ProductID],tblProducts[UnitPrice],"not found")</f>
        <v>210.69</v>
      </c>
      <c r="K222" t="str">
        <f>_xlfn.XLOOKUP(tblOrders[[#This Row],[ProductID]],tblProducts[ProductID],tblProducts[Supplier],"not found")</f>
        <v>Brown PLC</v>
      </c>
      <c r="L222" s="1">
        <v>45141</v>
      </c>
      <c r="M2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45141</v>
      </c>
      <c r="N222">
        <v>9</v>
      </c>
      <c r="O222">
        <v>1896.21</v>
      </c>
      <c r="P222">
        <f>tblOrders[[#This Row],[Quantity]]*tblOrders[[#This Row],[Unit Price]]</f>
        <v>1896.21</v>
      </c>
      <c r="Q222">
        <f>tblOrders[[#This Row],[TotalSales]]-tblOrders[[#This Row],[Calculated Sales]]</f>
        <v>0</v>
      </c>
    </row>
    <row r="223" spans="1:17" x14ac:dyDescent="0.25">
      <c r="A223">
        <v>1572</v>
      </c>
      <c r="B223">
        <v>611</v>
      </c>
      <c r="C223" t="str">
        <f>_xlfn.XLOOKUP(tblOrders[[#This Row],[CustomerID]],tblCustomers[CustomerID],tblCustomers[CustomerName],"not found")</f>
        <v>Marcus Thomas</v>
      </c>
      <c r="D223">
        <f>_xlfn.XLOOKUP(tblOrders[[#This Row],[CustomerID]],tblCustomers[CustomerID],tblCustomers[Age],"not found")</f>
        <v>38</v>
      </c>
      <c r="E223" t="str">
        <f>_xlfn.XLOOKUP(tblOrders[[#This Row],[CustomerID]],tblCustomers[CustomerID],tblCustomers[Gender],"not found")</f>
        <v>Female</v>
      </c>
      <c r="F223" t="str">
        <f>_xlfn.XLOOKUP(tblOrders[[#This Row],[CustomerID]],tblCustomers[CustomerID],tblCustomers[Region],"not found")</f>
        <v>Central</v>
      </c>
      <c r="G223">
        <v>1056</v>
      </c>
      <c r="H223" t="str">
        <f>_xlfn.XLOOKUP(tblOrders[[#This Row],[ProductID]],tblProducts[ProductID],tblProducts[ProductName],"not found")</f>
        <v>Song</v>
      </c>
      <c r="I223" t="str">
        <f>_xlfn.XLOOKUP(tblOrders[[#This Row],[ProductID]],tblProducts[ProductID],tblProducts[Category],"not found")</f>
        <v>Furniture</v>
      </c>
      <c r="J223">
        <f>_xlfn.XLOOKUP(tblOrders[[#This Row],[ProductID]],tblProducts[ProductID],tblProducts[UnitPrice],"not found")</f>
        <v>210.69</v>
      </c>
      <c r="K223" t="str">
        <f>_xlfn.XLOOKUP(tblOrders[[#This Row],[ProductID]],tblProducts[ProductID],tblProducts[Supplier],"not found")</f>
        <v>Brown PLC</v>
      </c>
      <c r="L223" s="1" t="s">
        <v>2107</v>
      </c>
      <c r="M2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223">
        <v>1</v>
      </c>
      <c r="O223">
        <v>210.69</v>
      </c>
      <c r="P223">
        <f>tblOrders[[#This Row],[Quantity]]*tblOrders[[#This Row],[Unit Price]]</f>
        <v>210.69</v>
      </c>
      <c r="Q223">
        <f>tblOrders[[#This Row],[TotalSales]]-tblOrders[[#This Row],[Calculated Sales]]</f>
        <v>0</v>
      </c>
    </row>
    <row r="224" spans="1:17" x14ac:dyDescent="0.25">
      <c r="A224">
        <v>1772</v>
      </c>
      <c r="B224">
        <v>609</v>
      </c>
      <c r="C224" t="str">
        <f>_xlfn.XLOOKUP(tblOrders[[#This Row],[CustomerID]],tblCustomers[CustomerID],tblCustomers[CustomerName],"not found")</f>
        <v>Jeffrey Harris</v>
      </c>
      <c r="D224">
        <f>_xlfn.XLOOKUP(tblOrders[[#This Row],[CustomerID]],tblCustomers[CustomerID],tblCustomers[Age],"not found")</f>
        <v>62</v>
      </c>
      <c r="E224" t="str">
        <f>_xlfn.XLOOKUP(tblOrders[[#This Row],[CustomerID]],tblCustomers[CustomerID],tblCustomers[Gender],"not found")</f>
        <v>Male</v>
      </c>
      <c r="F224" t="str">
        <f>_xlfn.XLOOKUP(tblOrders[[#This Row],[CustomerID]],tblCustomers[CustomerID],tblCustomers[Region],"not found")</f>
        <v>East</v>
      </c>
      <c r="G224">
        <v>1056</v>
      </c>
      <c r="H224" t="str">
        <f>_xlfn.XLOOKUP(tblOrders[[#This Row],[ProductID]],tblProducts[ProductID],tblProducts[ProductName],"not found")</f>
        <v>Song</v>
      </c>
      <c r="I224" t="str">
        <f>_xlfn.XLOOKUP(tblOrders[[#This Row],[ProductID]],tblProducts[ProductID],tblProducts[Category],"not found")</f>
        <v>Furniture</v>
      </c>
      <c r="J224">
        <f>_xlfn.XLOOKUP(tblOrders[[#This Row],[ProductID]],tblProducts[ProductID],tblProducts[UnitPrice],"not found")</f>
        <v>210.69</v>
      </c>
      <c r="K224" t="str">
        <f>_xlfn.XLOOKUP(tblOrders[[#This Row],[ProductID]],tblProducts[ProductID],tblProducts[Supplier],"not found")</f>
        <v>Brown PLC</v>
      </c>
      <c r="L224" s="1" t="s">
        <v>2125</v>
      </c>
      <c r="M2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45213</v>
      </c>
      <c r="N224">
        <v>4</v>
      </c>
      <c r="O224">
        <v>842.76</v>
      </c>
      <c r="P224">
        <f>tblOrders[[#This Row],[Quantity]]*tblOrders[[#This Row],[Unit Price]]</f>
        <v>842.76</v>
      </c>
      <c r="Q224">
        <f>tblOrders[[#This Row],[TotalSales]]-tblOrders[[#This Row],[Calculated Sales]]</f>
        <v>0</v>
      </c>
    </row>
    <row r="225" spans="1:17" x14ac:dyDescent="0.25">
      <c r="A225">
        <v>1775</v>
      </c>
      <c r="B225">
        <v>594</v>
      </c>
      <c r="C225" t="str">
        <f>_xlfn.XLOOKUP(tblOrders[[#This Row],[CustomerID]],tblCustomers[CustomerID],tblCustomers[CustomerName],"not found")</f>
        <v>Rachel Jones</v>
      </c>
      <c r="D225">
        <f>_xlfn.XLOOKUP(tblOrders[[#This Row],[CustomerID]],tblCustomers[CustomerID],tblCustomers[Age],"not found")</f>
        <v>51</v>
      </c>
      <c r="E225" t="str">
        <f>_xlfn.XLOOKUP(tblOrders[[#This Row],[CustomerID]],tblCustomers[CustomerID],tblCustomers[Gender],"not found")</f>
        <v>Male</v>
      </c>
      <c r="F225" t="str">
        <f>_xlfn.XLOOKUP(tblOrders[[#This Row],[CustomerID]],tblCustomers[CustomerID],tblCustomers[Region],"not found")</f>
        <v>Central</v>
      </c>
      <c r="G225">
        <v>1056</v>
      </c>
      <c r="H225" t="str">
        <f>_xlfn.XLOOKUP(tblOrders[[#This Row],[ProductID]],tblProducts[ProductID],tblProducts[ProductName],"not found")</f>
        <v>Song</v>
      </c>
      <c r="I225" t="str">
        <f>_xlfn.XLOOKUP(tblOrders[[#This Row],[ProductID]],tblProducts[ProductID],tblProducts[Category],"not found")</f>
        <v>Furniture</v>
      </c>
      <c r="J225">
        <f>_xlfn.XLOOKUP(tblOrders[[#This Row],[ProductID]],tblProducts[ProductID],tblProducts[UnitPrice],"not found")</f>
        <v>210.69</v>
      </c>
      <c r="K225" t="str">
        <f>_xlfn.XLOOKUP(tblOrders[[#This Row],[ProductID]],tblProducts[ProductID],tblProducts[Supplier],"not found")</f>
        <v>Brown PLC</v>
      </c>
      <c r="L225" s="1">
        <v>44994</v>
      </c>
      <c r="M2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44994</v>
      </c>
      <c r="N225">
        <v>5</v>
      </c>
      <c r="O225">
        <v>1053.45</v>
      </c>
      <c r="P225">
        <f>tblOrders[[#This Row],[Quantity]]*tblOrders[[#This Row],[Unit Price]]</f>
        <v>1053.45</v>
      </c>
      <c r="Q225">
        <f>tblOrders[[#This Row],[TotalSales]]-tblOrders[[#This Row],[Calculated Sales]]</f>
        <v>0</v>
      </c>
    </row>
    <row r="226" spans="1:17" x14ac:dyDescent="0.25">
      <c r="A226">
        <v>1798</v>
      </c>
      <c r="B226">
        <v>962</v>
      </c>
      <c r="C226" t="str">
        <f>_xlfn.XLOOKUP(tblOrders[[#This Row],[CustomerID]],tblCustomers[CustomerID],tblCustomers[CustomerName],"not found")</f>
        <v>Barbara Gutierrez</v>
      </c>
      <c r="D226">
        <f>_xlfn.XLOOKUP(tblOrders[[#This Row],[CustomerID]],tblCustomers[CustomerID],tblCustomers[Age],"not found")</f>
        <v>18</v>
      </c>
      <c r="E226" t="str">
        <f>_xlfn.XLOOKUP(tblOrders[[#This Row],[CustomerID]],tblCustomers[CustomerID],tblCustomers[Gender],"not found")</f>
        <v>Female</v>
      </c>
      <c r="F226" t="str">
        <f>_xlfn.XLOOKUP(tblOrders[[#This Row],[CustomerID]],tblCustomers[CustomerID],tblCustomers[Region],"not found")</f>
        <v>North</v>
      </c>
      <c r="G226">
        <v>1056</v>
      </c>
      <c r="H226" t="str">
        <f>_xlfn.XLOOKUP(tblOrders[[#This Row],[ProductID]],tblProducts[ProductID],tblProducts[ProductName],"not found")</f>
        <v>Song</v>
      </c>
      <c r="I226" t="str">
        <f>_xlfn.XLOOKUP(tblOrders[[#This Row],[ProductID]],tblProducts[ProductID],tblProducts[Category],"not found")</f>
        <v>Furniture</v>
      </c>
      <c r="J226">
        <f>_xlfn.XLOOKUP(tblOrders[[#This Row],[ProductID]],tblProducts[ProductID],tblProducts[UnitPrice],"not found")</f>
        <v>210.69</v>
      </c>
      <c r="K226" t="str">
        <f>_xlfn.XLOOKUP(tblOrders[[#This Row],[ProductID]],tblProducts[ProductID],tblProducts[Supplier],"not found")</f>
        <v>Brown PLC</v>
      </c>
      <c r="L226" s="1">
        <v>45634</v>
      </c>
      <c r="M2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45634</v>
      </c>
      <c r="N226">
        <v>1</v>
      </c>
      <c r="O226">
        <v>210.69</v>
      </c>
      <c r="P226">
        <f>tblOrders[[#This Row],[Quantity]]*tblOrders[[#This Row],[Unit Price]]</f>
        <v>210.69</v>
      </c>
      <c r="Q226">
        <f>tblOrders[[#This Row],[TotalSales]]-tblOrders[[#This Row],[Calculated Sales]]</f>
        <v>0</v>
      </c>
    </row>
    <row r="227" spans="1:17" x14ac:dyDescent="0.25">
      <c r="A227">
        <v>1799</v>
      </c>
      <c r="B227">
        <v>781</v>
      </c>
      <c r="C227" t="str">
        <f>_xlfn.XLOOKUP(tblOrders[[#This Row],[CustomerID]],tblCustomers[CustomerID],tblCustomers[CustomerName],"not found")</f>
        <v>Jennifer Allen</v>
      </c>
      <c r="D227">
        <f>_xlfn.XLOOKUP(tblOrders[[#This Row],[CustomerID]],tblCustomers[CustomerID],tblCustomers[Age],"not found")</f>
        <v>20</v>
      </c>
      <c r="E227" t="str">
        <f>_xlfn.XLOOKUP(tblOrders[[#This Row],[CustomerID]],tblCustomers[CustomerID],tblCustomers[Gender],"not found")</f>
        <v>Female</v>
      </c>
      <c r="F227" t="str">
        <f>_xlfn.XLOOKUP(tblOrders[[#This Row],[CustomerID]],tblCustomers[CustomerID],tblCustomers[Region],"not found")</f>
        <v>North</v>
      </c>
      <c r="G227">
        <v>1056</v>
      </c>
      <c r="H227" t="str">
        <f>_xlfn.XLOOKUP(tblOrders[[#This Row],[ProductID]],tblProducts[ProductID],tblProducts[ProductName],"not found")</f>
        <v>Song</v>
      </c>
      <c r="I227" t="str">
        <f>_xlfn.XLOOKUP(tblOrders[[#This Row],[ProductID]],tblProducts[ProductID],tblProducts[Category],"not found")</f>
        <v>Furniture</v>
      </c>
      <c r="J227">
        <f>_xlfn.XLOOKUP(tblOrders[[#This Row],[ProductID]],tblProducts[ProductID],tblProducts[UnitPrice],"not found")</f>
        <v>210.69</v>
      </c>
      <c r="K227" t="str">
        <f>_xlfn.XLOOKUP(tblOrders[[#This Row],[ProductID]],tblProducts[ProductID],tblProducts[Supplier],"not found")</f>
        <v>Brown PLC</v>
      </c>
      <c r="L227" s="1" t="s">
        <v>2126</v>
      </c>
      <c r="M2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45077</v>
      </c>
      <c r="N227">
        <v>1</v>
      </c>
      <c r="O227">
        <v>210.69</v>
      </c>
      <c r="P227">
        <f>tblOrders[[#This Row],[Quantity]]*tblOrders[[#This Row],[Unit Price]]</f>
        <v>210.69</v>
      </c>
      <c r="Q227">
        <f>tblOrders[[#This Row],[TotalSales]]-tblOrders[[#This Row],[Calculated Sales]]</f>
        <v>0</v>
      </c>
    </row>
    <row r="228" spans="1:17" x14ac:dyDescent="0.25">
      <c r="A228">
        <v>1959</v>
      </c>
      <c r="B228">
        <v>936</v>
      </c>
      <c r="C228" t="str">
        <f>_xlfn.XLOOKUP(tblOrders[[#This Row],[CustomerID]],tblCustomers[CustomerID],tblCustomers[CustomerName],"not found")</f>
        <v>Meagan Christensen</v>
      </c>
      <c r="D228">
        <f>_xlfn.XLOOKUP(tblOrders[[#This Row],[CustomerID]],tblCustomers[CustomerID],tblCustomers[Age],"not found")</f>
        <v>46</v>
      </c>
      <c r="E228" t="str">
        <f>_xlfn.XLOOKUP(tblOrders[[#This Row],[CustomerID]],tblCustomers[CustomerID],tblCustomers[Gender],"not found")</f>
        <v>Female</v>
      </c>
      <c r="F228" t="str">
        <f>_xlfn.XLOOKUP(tblOrders[[#This Row],[CustomerID]],tblCustomers[CustomerID],tblCustomers[Region],"not found")</f>
        <v>North</v>
      </c>
      <c r="G228">
        <v>1056</v>
      </c>
      <c r="H228" t="str">
        <f>_xlfn.XLOOKUP(tblOrders[[#This Row],[ProductID]],tblProducts[ProductID],tblProducts[ProductName],"not found")</f>
        <v>Song</v>
      </c>
      <c r="I228" t="str">
        <f>_xlfn.XLOOKUP(tblOrders[[#This Row],[ProductID]],tblProducts[ProductID],tblProducts[Category],"not found")</f>
        <v>Furniture</v>
      </c>
      <c r="J228">
        <f>_xlfn.XLOOKUP(tblOrders[[#This Row],[ProductID]],tblProducts[ProductID],tblProducts[UnitPrice],"not found")</f>
        <v>210.69</v>
      </c>
      <c r="K228" t="str">
        <f>_xlfn.XLOOKUP(tblOrders[[#This Row],[ProductID]],tblProducts[ProductID],tblProducts[Supplier],"not found")</f>
        <v>Brown PLC</v>
      </c>
      <c r="L228" s="1" t="s">
        <v>2127</v>
      </c>
      <c r="M2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45528</v>
      </c>
      <c r="N228">
        <v>2</v>
      </c>
      <c r="O228">
        <v>421.38</v>
      </c>
      <c r="P228">
        <f>tblOrders[[#This Row],[Quantity]]*tblOrders[[#This Row],[Unit Price]]</f>
        <v>421.38</v>
      </c>
      <c r="Q228">
        <f>tblOrders[[#This Row],[TotalSales]]-tblOrders[[#This Row],[Calculated Sales]]</f>
        <v>0</v>
      </c>
    </row>
    <row r="229" spans="1:17" x14ac:dyDescent="0.25">
      <c r="A229">
        <v>12</v>
      </c>
      <c r="B229">
        <v>677</v>
      </c>
      <c r="C229" t="str">
        <f>_xlfn.XLOOKUP(tblOrders[[#This Row],[CustomerID]],tblCustomers[CustomerID],tblCustomers[CustomerName],"not found")</f>
        <v>Rachel Jones</v>
      </c>
      <c r="D229">
        <f>_xlfn.XLOOKUP(tblOrders[[#This Row],[CustomerID]],tblCustomers[CustomerID],tblCustomers[Age],"not found")</f>
        <v>55</v>
      </c>
      <c r="E229" t="str">
        <f>_xlfn.XLOOKUP(tblOrders[[#This Row],[CustomerID]],tblCustomers[CustomerID],tblCustomers[Gender],"not found")</f>
        <v>Female</v>
      </c>
      <c r="F229" t="str">
        <f>_xlfn.XLOOKUP(tblOrders[[#This Row],[CustomerID]],tblCustomers[CustomerID],tblCustomers[Region],"not found")</f>
        <v>Central</v>
      </c>
      <c r="G229">
        <v>1022</v>
      </c>
      <c r="H229" t="str">
        <f>_xlfn.XLOOKUP(tblOrders[[#This Row],[ProductID]],tblProducts[ProductID],tblProducts[ProductName],"not found")</f>
        <v>Increase</v>
      </c>
      <c r="I229" t="str">
        <f>_xlfn.XLOOKUP(tblOrders[[#This Row],[ProductID]],tblProducts[ProductID],tblProducts[Category],"not found")</f>
        <v>Beauty</v>
      </c>
      <c r="J229">
        <f>_xlfn.XLOOKUP(tblOrders[[#This Row],[ProductID]],tblProducts[ProductID],tblProducts[UnitPrice],"not found")</f>
        <v>328.56</v>
      </c>
      <c r="K229" t="str">
        <f>_xlfn.XLOOKUP(tblOrders[[#This Row],[ProductID]],tblProducts[ProductID],tblProducts[Supplier],"not found")</f>
        <v>Butler-Smith</v>
      </c>
      <c r="L229" s="1" t="s">
        <v>2128</v>
      </c>
      <c r="M2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45044</v>
      </c>
      <c r="N229">
        <v>8</v>
      </c>
      <c r="O229">
        <v>2628.48</v>
      </c>
      <c r="P229">
        <f>tblOrders[[#This Row],[Quantity]]*tblOrders[[#This Row],[Unit Price]]</f>
        <v>2628.48</v>
      </c>
      <c r="Q229">
        <f>tblOrders[[#This Row],[TotalSales]]-tblOrders[[#This Row],[Calculated Sales]]</f>
        <v>0</v>
      </c>
    </row>
    <row r="230" spans="1:17" x14ac:dyDescent="0.25">
      <c r="A230">
        <v>82</v>
      </c>
      <c r="B230">
        <v>609</v>
      </c>
      <c r="C230" t="str">
        <f>_xlfn.XLOOKUP(tblOrders[[#This Row],[CustomerID]],tblCustomers[CustomerID],tblCustomers[CustomerName],"not found")</f>
        <v>Jeffrey Harris</v>
      </c>
      <c r="D230">
        <f>_xlfn.XLOOKUP(tblOrders[[#This Row],[CustomerID]],tblCustomers[CustomerID],tblCustomers[Age],"not found")</f>
        <v>62</v>
      </c>
      <c r="E230" t="str">
        <f>_xlfn.XLOOKUP(tblOrders[[#This Row],[CustomerID]],tblCustomers[CustomerID],tblCustomers[Gender],"not found")</f>
        <v>Male</v>
      </c>
      <c r="F230" t="str">
        <f>_xlfn.XLOOKUP(tblOrders[[#This Row],[CustomerID]],tblCustomers[CustomerID],tblCustomers[Region],"not found")</f>
        <v>East</v>
      </c>
      <c r="G230">
        <v>1022</v>
      </c>
      <c r="H230" t="str">
        <f>_xlfn.XLOOKUP(tblOrders[[#This Row],[ProductID]],tblProducts[ProductID],tblProducts[ProductName],"not found")</f>
        <v>Increase</v>
      </c>
      <c r="I230" t="str">
        <f>_xlfn.XLOOKUP(tblOrders[[#This Row],[ProductID]],tblProducts[ProductID],tblProducts[Category],"not found")</f>
        <v>Beauty</v>
      </c>
      <c r="J230">
        <f>_xlfn.XLOOKUP(tblOrders[[#This Row],[ProductID]],tblProducts[ProductID],tblProducts[UnitPrice],"not found")</f>
        <v>328.56</v>
      </c>
      <c r="K230" t="str">
        <f>_xlfn.XLOOKUP(tblOrders[[#This Row],[ProductID]],tblProducts[ProductID],tblProducts[Supplier],"not found")</f>
        <v>Butler-Smith</v>
      </c>
      <c r="L230" s="1">
        <v>45147</v>
      </c>
      <c r="M2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45147</v>
      </c>
      <c r="N230">
        <v>6</v>
      </c>
      <c r="O230">
        <v>1971.36</v>
      </c>
      <c r="P230">
        <f>tblOrders[[#This Row],[Quantity]]*tblOrders[[#This Row],[Unit Price]]</f>
        <v>1971.3600000000001</v>
      </c>
      <c r="Q230">
        <f>tblOrders[[#This Row],[TotalSales]]-tblOrders[[#This Row],[Calculated Sales]]</f>
        <v>0</v>
      </c>
    </row>
    <row r="231" spans="1:17" x14ac:dyDescent="0.25">
      <c r="A231">
        <v>394</v>
      </c>
      <c r="B231">
        <v>507</v>
      </c>
      <c r="C231" t="str">
        <f>_xlfn.XLOOKUP(tblOrders[[#This Row],[CustomerID]],tblCustomers[CustomerID],tblCustomers[CustomerName],"not found")</f>
        <v>Mrs. Victoria Roberts</v>
      </c>
      <c r="D231">
        <f>_xlfn.XLOOKUP(tblOrders[[#This Row],[CustomerID]],tblCustomers[CustomerID],tblCustomers[Age],"not found")</f>
        <v>61</v>
      </c>
      <c r="E231" t="str">
        <f>_xlfn.XLOOKUP(tblOrders[[#This Row],[CustomerID]],tblCustomers[CustomerID],tblCustomers[Gender],"not found")</f>
        <v>Female</v>
      </c>
      <c r="F231" t="str">
        <f>_xlfn.XLOOKUP(tblOrders[[#This Row],[CustomerID]],tblCustomers[CustomerID],tblCustomers[Region],"not found")</f>
        <v>South</v>
      </c>
      <c r="G231">
        <v>1022</v>
      </c>
      <c r="H231" t="str">
        <f>_xlfn.XLOOKUP(tblOrders[[#This Row],[ProductID]],tblProducts[ProductID],tblProducts[ProductName],"not found")</f>
        <v>Increase</v>
      </c>
      <c r="I231" t="str">
        <f>_xlfn.XLOOKUP(tblOrders[[#This Row],[ProductID]],tblProducts[ProductID],tblProducts[Category],"not found")</f>
        <v>Beauty</v>
      </c>
      <c r="J231">
        <f>_xlfn.XLOOKUP(tblOrders[[#This Row],[ProductID]],tblProducts[ProductID],tblProducts[UnitPrice],"not found")</f>
        <v>328.56</v>
      </c>
      <c r="K231" t="str">
        <f>_xlfn.XLOOKUP(tblOrders[[#This Row],[ProductID]],tblProducts[ProductID],tblProducts[Supplier],"not found")</f>
        <v>Butler-Smith</v>
      </c>
      <c r="L231" s="1" t="s">
        <v>2129</v>
      </c>
      <c r="M2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45371</v>
      </c>
      <c r="N231">
        <v>7</v>
      </c>
      <c r="O231">
        <v>2299.92</v>
      </c>
      <c r="P231">
        <f>tblOrders[[#This Row],[Quantity]]*tblOrders[[#This Row],[Unit Price]]</f>
        <v>2299.92</v>
      </c>
      <c r="Q231">
        <f>tblOrders[[#This Row],[TotalSales]]-tblOrders[[#This Row],[Calculated Sales]]</f>
        <v>0</v>
      </c>
    </row>
    <row r="232" spans="1:17" x14ac:dyDescent="0.25">
      <c r="A232">
        <v>560</v>
      </c>
      <c r="B232">
        <v>844</v>
      </c>
      <c r="C232" t="str">
        <f>_xlfn.XLOOKUP(tblOrders[[#This Row],[CustomerID]],tblCustomers[CustomerID],tblCustomers[CustomerName],"not found")</f>
        <v>Keith Day</v>
      </c>
      <c r="D232">
        <f>_xlfn.XLOOKUP(tblOrders[[#This Row],[CustomerID]],tblCustomers[CustomerID],tblCustomers[Age],"not found")</f>
        <v>42</v>
      </c>
      <c r="E232" t="str">
        <f>_xlfn.XLOOKUP(tblOrders[[#This Row],[CustomerID]],tblCustomers[CustomerID],tblCustomers[Gender],"not found")</f>
        <v>Male</v>
      </c>
      <c r="F232" t="str">
        <f>_xlfn.XLOOKUP(tblOrders[[#This Row],[CustomerID]],tblCustomers[CustomerID],tblCustomers[Region],"not found")</f>
        <v>East</v>
      </c>
      <c r="G232">
        <v>1022</v>
      </c>
      <c r="H232" t="str">
        <f>_xlfn.XLOOKUP(tblOrders[[#This Row],[ProductID]],tblProducts[ProductID],tblProducts[ProductName],"not found")</f>
        <v>Increase</v>
      </c>
      <c r="I232" t="str">
        <f>_xlfn.XLOOKUP(tblOrders[[#This Row],[ProductID]],tblProducts[ProductID],tblProducts[Category],"not found")</f>
        <v>Beauty</v>
      </c>
      <c r="J232">
        <f>_xlfn.XLOOKUP(tblOrders[[#This Row],[ProductID]],tblProducts[ProductID],tblProducts[UnitPrice],"not found")</f>
        <v>328.56</v>
      </c>
      <c r="K232" t="str">
        <f>_xlfn.XLOOKUP(tblOrders[[#This Row],[ProductID]],tblProducts[ProductID],tblProducts[Supplier],"not found")</f>
        <v>Butler-Smith</v>
      </c>
      <c r="L232" s="1" t="s">
        <v>2130</v>
      </c>
      <c r="M2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232">
        <v>1</v>
      </c>
      <c r="O232">
        <v>328.56</v>
      </c>
      <c r="P232">
        <f>tblOrders[[#This Row],[Quantity]]*tblOrders[[#This Row],[Unit Price]]</f>
        <v>328.56</v>
      </c>
      <c r="Q232">
        <f>tblOrders[[#This Row],[TotalSales]]-tblOrders[[#This Row],[Calculated Sales]]</f>
        <v>0</v>
      </c>
    </row>
    <row r="233" spans="1:17" x14ac:dyDescent="0.25">
      <c r="A233">
        <v>739</v>
      </c>
      <c r="B233">
        <v>573</v>
      </c>
      <c r="C233" t="str">
        <f>_xlfn.XLOOKUP(tblOrders[[#This Row],[CustomerID]],tblCustomers[CustomerID],tblCustomers[CustomerName],"not found")</f>
        <v>Aaron Johnson</v>
      </c>
      <c r="D233">
        <f>_xlfn.XLOOKUP(tblOrders[[#This Row],[CustomerID]],tblCustomers[CustomerID],tblCustomers[Age],"not found")</f>
        <v>33</v>
      </c>
      <c r="E233" t="str">
        <f>_xlfn.XLOOKUP(tblOrders[[#This Row],[CustomerID]],tblCustomers[CustomerID],tblCustomers[Gender],"not found")</f>
        <v>Male</v>
      </c>
      <c r="F233" t="str">
        <f>_xlfn.XLOOKUP(tblOrders[[#This Row],[CustomerID]],tblCustomers[CustomerID],tblCustomers[Region],"not found")</f>
        <v>North</v>
      </c>
      <c r="G233">
        <v>1022</v>
      </c>
      <c r="H233" t="str">
        <f>_xlfn.XLOOKUP(tblOrders[[#This Row],[ProductID]],tblProducts[ProductID],tblProducts[ProductName],"not found")</f>
        <v>Increase</v>
      </c>
      <c r="I233" t="str">
        <f>_xlfn.XLOOKUP(tblOrders[[#This Row],[ProductID]],tblProducts[ProductID],tblProducts[Category],"not found")</f>
        <v>Beauty</v>
      </c>
      <c r="J233">
        <f>_xlfn.XLOOKUP(tblOrders[[#This Row],[ProductID]],tblProducts[ProductID],tblProducts[UnitPrice],"not found")</f>
        <v>328.56</v>
      </c>
      <c r="K233" t="str">
        <f>_xlfn.XLOOKUP(tblOrders[[#This Row],[ProductID]],tblProducts[ProductID],tblProducts[Supplier],"not found")</f>
        <v>Butler-Smith</v>
      </c>
      <c r="L233" s="1" t="s">
        <v>2131</v>
      </c>
      <c r="M2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45124</v>
      </c>
      <c r="N233">
        <v>8</v>
      </c>
      <c r="O233">
        <v>2628.48</v>
      </c>
      <c r="P233">
        <f>tblOrders[[#This Row],[Quantity]]*tblOrders[[#This Row],[Unit Price]]</f>
        <v>2628.48</v>
      </c>
      <c r="Q233">
        <f>tblOrders[[#This Row],[TotalSales]]-tblOrders[[#This Row],[Calculated Sales]]</f>
        <v>0</v>
      </c>
    </row>
    <row r="234" spans="1:17" x14ac:dyDescent="0.25">
      <c r="A234">
        <v>1239</v>
      </c>
      <c r="B234">
        <v>992</v>
      </c>
      <c r="C234" t="str">
        <f>_xlfn.XLOOKUP(tblOrders[[#This Row],[CustomerID]],tblCustomers[CustomerID],tblCustomers[CustomerName],"not found")</f>
        <v>Larry Carter</v>
      </c>
      <c r="D234">
        <f>_xlfn.XLOOKUP(tblOrders[[#This Row],[CustomerID]],tblCustomers[CustomerID],tblCustomers[Age],"not found")</f>
        <v>22</v>
      </c>
      <c r="E234" t="str">
        <f>_xlfn.XLOOKUP(tblOrders[[#This Row],[CustomerID]],tblCustomers[CustomerID],tblCustomers[Gender],"not found")</f>
        <v>Male</v>
      </c>
      <c r="F234" t="str">
        <f>_xlfn.XLOOKUP(tblOrders[[#This Row],[CustomerID]],tblCustomers[CustomerID],tblCustomers[Region],"not found")</f>
        <v>East</v>
      </c>
      <c r="G234">
        <v>1022</v>
      </c>
      <c r="H234" t="str">
        <f>_xlfn.XLOOKUP(tblOrders[[#This Row],[ProductID]],tblProducts[ProductID],tblProducts[ProductName],"not found")</f>
        <v>Increase</v>
      </c>
      <c r="I234" t="str">
        <f>_xlfn.XLOOKUP(tblOrders[[#This Row],[ProductID]],tblProducts[ProductID],tblProducts[Category],"not found")</f>
        <v>Beauty</v>
      </c>
      <c r="J234">
        <f>_xlfn.XLOOKUP(tblOrders[[#This Row],[ProductID]],tblProducts[ProductID],tblProducts[UnitPrice],"not found")</f>
        <v>328.56</v>
      </c>
      <c r="K234" t="str">
        <f>_xlfn.XLOOKUP(tblOrders[[#This Row],[ProductID]],tblProducts[ProductID],tblProducts[Supplier],"not found")</f>
        <v>Butler-Smith</v>
      </c>
      <c r="L234" s="1" t="s">
        <v>2132</v>
      </c>
      <c r="M2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234">
        <v>6</v>
      </c>
      <c r="O234">
        <v>1971.36</v>
      </c>
      <c r="P234">
        <f>tblOrders[[#This Row],[Quantity]]*tblOrders[[#This Row],[Unit Price]]</f>
        <v>1971.3600000000001</v>
      </c>
      <c r="Q234">
        <f>tblOrders[[#This Row],[TotalSales]]-tblOrders[[#This Row],[Calculated Sales]]</f>
        <v>0</v>
      </c>
    </row>
    <row r="235" spans="1:17" x14ac:dyDescent="0.25">
      <c r="A235">
        <v>1355</v>
      </c>
      <c r="B235">
        <v>942</v>
      </c>
      <c r="C235" t="str">
        <f>_xlfn.XLOOKUP(tblOrders[[#This Row],[CustomerID]],tblCustomers[CustomerID],tblCustomers[CustomerName],"not found")</f>
        <v>Heather Jackson</v>
      </c>
      <c r="D235">
        <f>_xlfn.XLOOKUP(tblOrders[[#This Row],[CustomerID]],tblCustomers[CustomerID],tblCustomers[Age],"not found")</f>
        <v>44</v>
      </c>
      <c r="E235" t="str">
        <f>_xlfn.XLOOKUP(tblOrders[[#This Row],[CustomerID]],tblCustomers[CustomerID],tblCustomers[Gender],"not found")</f>
        <v>Male</v>
      </c>
      <c r="F235" t="str">
        <f>_xlfn.XLOOKUP(tblOrders[[#This Row],[CustomerID]],tblCustomers[CustomerID],tblCustomers[Region],"not found")</f>
        <v>North</v>
      </c>
      <c r="G235">
        <v>1022</v>
      </c>
      <c r="H235" t="str">
        <f>_xlfn.XLOOKUP(tblOrders[[#This Row],[ProductID]],tblProducts[ProductID],tblProducts[ProductName],"not found")</f>
        <v>Increase</v>
      </c>
      <c r="I235" t="str">
        <f>_xlfn.XLOOKUP(tblOrders[[#This Row],[ProductID]],tblProducts[ProductID],tblProducts[Category],"not found")</f>
        <v>Beauty</v>
      </c>
      <c r="J235">
        <f>_xlfn.XLOOKUP(tblOrders[[#This Row],[ProductID]],tblProducts[ProductID],tblProducts[UnitPrice],"not found")</f>
        <v>328.56</v>
      </c>
      <c r="K235" t="str">
        <f>_xlfn.XLOOKUP(tblOrders[[#This Row],[ProductID]],tblProducts[ProductID],tblProducts[Supplier],"not found")</f>
        <v>Butler-Smith</v>
      </c>
      <c r="L235" s="1" t="s">
        <v>2133</v>
      </c>
      <c r="M2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44884</v>
      </c>
      <c r="N235">
        <v>1</v>
      </c>
      <c r="O235">
        <v>328.56</v>
      </c>
      <c r="P235">
        <f>tblOrders[[#This Row],[Quantity]]*tblOrders[[#This Row],[Unit Price]]</f>
        <v>328.56</v>
      </c>
      <c r="Q235">
        <f>tblOrders[[#This Row],[TotalSales]]-tblOrders[[#This Row],[Calculated Sales]]</f>
        <v>0</v>
      </c>
    </row>
    <row r="236" spans="1:17" x14ac:dyDescent="0.25">
      <c r="A236">
        <v>1390</v>
      </c>
      <c r="B236">
        <v>864</v>
      </c>
      <c r="C236" t="str">
        <f>_xlfn.XLOOKUP(tblOrders[[#This Row],[CustomerID]],tblCustomers[CustomerID],tblCustomers[CustomerName],"not found")</f>
        <v>Amanda Lewis</v>
      </c>
      <c r="D236">
        <f>_xlfn.XLOOKUP(tblOrders[[#This Row],[CustomerID]],tblCustomers[CustomerID],tblCustomers[Age],"not found")</f>
        <v>38</v>
      </c>
      <c r="E236" t="str">
        <f>_xlfn.XLOOKUP(tblOrders[[#This Row],[CustomerID]],tblCustomers[CustomerID],tblCustomers[Gender],"not found")</f>
        <v>Female</v>
      </c>
      <c r="F236" t="str">
        <f>_xlfn.XLOOKUP(tblOrders[[#This Row],[CustomerID]],tblCustomers[CustomerID],tblCustomers[Region],"not found")</f>
        <v>West</v>
      </c>
      <c r="G236">
        <v>1022</v>
      </c>
      <c r="H236" t="str">
        <f>_xlfn.XLOOKUP(tblOrders[[#This Row],[ProductID]],tblProducts[ProductID],tblProducts[ProductName],"not found")</f>
        <v>Increase</v>
      </c>
      <c r="I236" t="str">
        <f>_xlfn.XLOOKUP(tblOrders[[#This Row],[ProductID]],tblProducts[ProductID],tblProducts[Category],"not found")</f>
        <v>Beauty</v>
      </c>
      <c r="J236">
        <f>_xlfn.XLOOKUP(tblOrders[[#This Row],[ProductID]],tblProducts[ProductID],tblProducts[UnitPrice],"not found")</f>
        <v>328.56</v>
      </c>
      <c r="K236" t="str">
        <f>_xlfn.XLOOKUP(tblOrders[[#This Row],[ProductID]],tblProducts[ProductID],tblProducts[Supplier],"not found")</f>
        <v>Butler-Smith</v>
      </c>
      <c r="L236" s="1" t="s">
        <v>2071</v>
      </c>
      <c r="M2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45555</v>
      </c>
      <c r="N236">
        <v>9</v>
      </c>
      <c r="O236">
        <v>2957.04</v>
      </c>
      <c r="P236">
        <f>tblOrders[[#This Row],[Quantity]]*tblOrders[[#This Row],[Unit Price]]</f>
        <v>2957.04</v>
      </c>
      <c r="Q236">
        <f>tblOrders[[#This Row],[TotalSales]]-tblOrders[[#This Row],[Calculated Sales]]</f>
        <v>0</v>
      </c>
    </row>
    <row r="237" spans="1:17" x14ac:dyDescent="0.25">
      <c r="A237">
        <v>1444</v>
      </c>
      <c r="B237">
        <v>428</v>
      </c>
      <c r="C237" t="str">
        <f>_xlfn.XLOOKUP(tblOrders[[#This Row],[CustomerID]],tblCustomers[CustomerID],tblCustomers[CustomerName],"not found")</f>
        <v>Jose Mcdaniel</v>
      </c>
      <c r="D237">
        <f>_xlfn.XLOOKUP(tblOrders[[#This Row],[CustomerID]],tblCustomers[CustomerID],tblCustomers[Age],"not found")</f>
        <v>37</v>
      </c>
      <c r="E237" t="str">
        <f>_xlfn.XLOOKUP(tblOrders[[#This Row],[CustomerID]],tblCustomers[CustomerID],tblCustomers[Gender],"not found")</f>
        <v>Male</v>
      </c>
      <c r="F237" t="str">
        <f>_xlfn.XLOOKUP(tblOrders[[#This Row],[CustomerID]],tblCustomers[CustomerID],tblCustomers[Region],"not found")</f>
        <v>West</v>
      </c>
      <c r="G237">
        <v>1022</v>
      </c>
      <c r="H237" t="str">
        <f>_xlfn.XLOOKUP(tblOrders[[#This Row],[ProductID]],tblProducts[ProductID],tblProducts[ProductName],"not found")</f>
        <v>Increase</v>
      </c>
      <c r="I237" t="str">
        <f>_xlfn.XLOOKUP(tblOrders[[#This Row],[ProductID]],tblProducts[ProductID],tblProducts[Category],"not found")</f>
        <v>Beauty</v>
      </c>
      <c r="J237">
        <f>_xlfn.XLOOKUP(tblOrders[[#This Row],[ProductID]],tblProducts[ProductID],tblProducts[UnitPrice],"not found")</f>
        <v>328.56</v>
      </c>
      <c r="K237" t="str">
        <f>_xlfn.XLOOKUP(tblOrders[[#This Row],[ProductID]],tblProducts[ProductID],tblProducts[Supplier],"not found")</f>
        <v>Butler-Smith</v>
      </c>
      <c r="L237" s="1" t="s">
        <v>2124</v>
      </c>
      <c r="M2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44945</v>
      </c>
      <c r="N237">
        <v>6</v>
      </c>
      <c r="O237">
        <v>1971.36</v>
      </c>
      <c r="P237">
        <f>tblOrders[[#This Row],[Quantity]]*tblOrders[[#This Row],[Unit Price]]</f>
        <v>1971.3600000000001</v>
      </c>
      <c r="Q237">
        <f>tblOrders[[#This Row],[TotalSales]]-tblOrders[[#This Row],[Calculated Sales]]</f>
        <v>0</v>
      </c>
    </row>
    <row r="238" spans="1:17" x14ac:dyDescent="0.25">
      <c r="A238">
        <v>1490</v>
      </c>
      <c r="B238">
        <v>979</v>
      </c>
      <c r="C238" t="str">
        <f>_xlfn.XLOOKUP(tblOrders[[#This Row],[CustomerID]],tblCustomers[CustomerID],tblCustomers[CustomerName],"not found")</f>
        <v>Sheila Erickson</v>
      </c>
      <c r="D238">
        <f>_xlfn.XLOOKUP(tblOrders[[#This Row],[CustomerID]],tblCustomers[CustomerID],tblCustomers[Age],"not found")</f>
        <v>38</v>
      </c>
      <c r="E238" t="str">
        <f>_xlfn.XLOOKUP(tblOrders[[#This Row],[CustomerID]],tblCustomers[CustomerID],tblCustomers[Gender],"not found")</f>
        <v>Female</v>
      </c>
      <c r="F238" t="str">
        <f>_xlfn.XLOOKUP(tblOrders[[#This Row],[CustomerID]],tblCustomers[CustomerID],tblCustomers[Region],"not found")</f>
        <v>South</v>
      </c>
      <c r="G238">
        <v>1022</v>
      </c>
      <c r="H238" t="str">
        <f>_xlfn.XLOOKUP(tblOrders[[#This Row],[ProductID]],tblProducts[ProductID],tblProducts[ProductName],"not found")</f>
        <v>Increase</v>
      </c>
      <c r="I238" t="str">
        <f>_xlfn.XLOOKUP(tblOrders[[#This Row],[ProductID]],tblProducts[ProductID],tblProducts[Category],"not found")</f>
        <v>Beauty</v>
      </c>
      <c r="J238">
        <f>_xlfn.XLOOKUP(tblOrders[[#This Row],[ProductID]],tblProducts[ProductID],tblProducts[UnitPrice],"not found")</f>
        <v>328.56</v>
      </c>
      <c r="K238" t="str">
        <f>_xlfn.XLOOKUP(tblOrders[[#This Row],[ProductID]],tblProducts[ProductID],tblProducts[Supplier],"not found")</f>
        <v>Butler-Smith</v>
      </c>
      <c r="L238" s="1">
        <v>45089</v>
      </c>
      <c r="M2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45089</v>
      </c>
      <c r="N238">
        <v>5</v>
      </c>
      <c r="O238">
        <v>1642.8</v>
      </c>
      <c r="P238">
        <f>tblOrders[[#This Row],[Quantity]]*tblOrders[[#This Row],[Unit Price]]</f>
        <v>1642.8</v>
      </c>
      <c r="Q238">
        <f>tblOrders[[#This Row],[TotalSales]]-tblOrders[[#This Row],[Calculated Sales]]</f>
        <v>0</v>
      </c>
    </row>
    <row r="239" spans="1:17" x14ac:dyDescent="0.25">
      <c r="A239">
        <v>1701</v>
      </c>
      <c r="B239">
        <v>849</v>
      </c>
      <c r="C239" t="str">
        <f>_xlfn.XLOOKUP(tblOrders[[#This Row],[CustomerID]],tblCustomers[CustomerID],tblCustomers[CustomerName],"not found")</f>
        <v>John Coleman</v>
      </c>
      <c r="D239">
        <f>_xlfn.XLOOKUP(tblOrders[[#This Row],[CustomerID]],tblCustomers[CustomerID],tblCustomers[Age],"not found")</f>
        <v>58</v>
      </c>
      <c r="E239" t="str">
        <f>_xlfn.XLOOKUP(tblOrders[[#This Row],[CustomerID]],tblCustomers[CustomerID],tblCustomers[Gender],"not found")</f>
        <v>Male</v>
      </c>
      <c r="F239" t="str">
        <f>_xlfn.XLOOKUP(tblOrders[[#This Row],[CustomerID]],tblCustomers[CustomerID],tblCustomers[Region],"not found")</f>
        <v>West</v>
      </c>
      <c r="G239">
        <v>1022</v>
      </c>
      <c r="H239" t="str">
        <f>_xlfn.XLOOKUP(tblOrders[[#This Row],[ProductID]],tblProducts[ProductID],tblProducts[ProductName],"not found")</f>
        <v>Increase</v>
      </c>
      <c r="I239" t="str">
        <f>_xlfn.XLOOKUP(tblOrders[[#This Row],[ProductID]],tblProducts[ProductID],tblProducts[Category],"not found")</f>
        <v>Beauty</v>
      </c>
      <c r="J239">
        <f>_xlfn.XLOOKUP(tblOrders[[#This Row],[ProductID]],tblProducts[ProductID],tblProducts[UnitPrice],"not found")</f>
        <v>328.56</v>
      </c>
      <c r="K239" t="str">
        <f>_xlfn.XLOOKUP(tblOrders[[#This Row],[ProductID]],tblProducts[ProductID],tblProducts[Supplier],"not found")</f>
        <v>Butler-Smith</v>
      </c>
      <c r="L239" s="1" t="s">
        <v>2134</v>
      </c>
      <c r="M2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45131</v>
      </c>
      <c r="N239">
        <v>7</v>
      </c>
      <c r="O239">
        <v>2299.92</v>
      </c>
      <c r="P239">
        <f>tblOrders[[#This Row],[Quantity]]*tblOrders[[#This Row],[Unit Price]]</f>
        <v>2299.92</v>
      </c>
      <c r="Q239">
        <f>tblOrders[[#This Row],[TotalSales]]-tblOrders[[#This Row],[Calculated Sales]]</f>
        <v>0</v>
      </c>
    </row>
    <row r="240" spans="1:17" x14ac:dyDescent="0.25">
      <c r="A240">
        <v>1936</v>
      </c>
      <c r="B240">
        <v>118</v>
      </c>
      <c r="C240" t="str">
        <f>_xlfn.XLOOKUP(tblOrders[[#This Row],[CustomerID]],tblCustomers[CustomerID],tblCustomers[CustomerName],"not found")</f>
        <v>Donald Brown</v>
      </c>
      <c r="D240">
        <f>_xlfn.XLOOKUP(tblOrders[[#This Row],[CustomerID]],tblCustomers[CustomerID],tblCustomers[Age],"not found")</f>
        <v>49</v>
      </c>
      <c r="E240" t="str">
        <f>_xlfn.XLOOKUP(tblOrders[[#This Row],[CustomerID]],tblCustomers[CustomerID],tblCustomers[Gender],"not found")</f>
        <v>Male</v>
      </c>
      <c r="F240" t="str">
        <f>_xlfn.XLOOKUP(tblOrders[[#This Row],[CustomerID]],tblCustomers[CustomerID],tblCustomers[Region],"not found")</f>
        <v>East</v>
      </c>
      <c r="G240">
        <v>1022</v>
      </c>
      <c r="H240" t="str">
        <f>_xlfn.XLOOKUP(tblOrders[[#This Row],[ProductID]],tblProducts[ProductID],tblProducts[ProductName],"not found")</f>
        <v>Increase</v>
      </c>
      <c r="I240" t="str">
        <f>_xlfn.XLOOKUP(tblOrders[[#This Row],[ProductID]],tblProducts[ProductID],tblProducts[Category],"not found")</f>
        <v>Beauty</v>
      </c>
      <c r="J240">
        <f>_xlfn.XLOOKUP(tblOrders[[#This Row],[ProductID]],tblProducts[ProductID],tblProducts[UnitPrice],"not found")</f>
        <v>328.56</v>
      </c>
      <c r="K240" t="str">
        <f>_xlfn.XLOOKUP(tblOrders[[#This Row],[ProductID]],tblProducts[ProductID],tblProducts[Supplier],"not found")</f>
        <v>Butler-Smith</v>
      </c>
      <c r="L240" s="1">
        <v>44962</v>
      </c>
      <c r="M2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44962</v>
      </c>
      <c r="N240">
        <v>2</v>
      </c>
      <c r="O240">
        <v>657.12</v>
      </c>
      <c r="P240">
        <f>tblOrders[[#This Row],[Quantity]]*tblOrders[[#This Row],[Unit Price]]</f>
        <v>657.12</v>
      </c>
      <c r="Q240">
        <f>tblOrders[[#This Row],[TotalSales]]-tblOrders[[#This Row],[Calculated Sales]]</f>
        <v>0</v>
      </c>
    </row>
    <row r="241" spans="1:17" x14ac:dyDescent="0.25">
      <c r="A241">
        <v>13</v>
      </c>
      <c r="B241">
        <v>752</v>
      </c>
      <c r="C241" t="str">
        <f>_xlfn.XLOOKUP(tblOrders[[#This Row],[CustomerID]],tblCustomers[CustomerID],tblCustomers[CustomerName],"not found")</f>
        <v>Nicole Wiggins</v>
      </c>
      <c r="D241">
        <f>_xlfn.XLOOKUP(tblOrders[[#This Row],[CustomerID]],tblCustomers[CustomerID],tblCustomers[Age],"not found")</f>
        <v>45</v>
      </c>
      <c r="E241" t="str">
        <f>_xlfn.XLOOKUP(tblOrders[[#This Row],[CustomerID]],tblCustomers[CustomerID],tblCustomers[Gender],"not found")</f>
        <v>Female</v>
      </c>
      <c r="F241" t="str">
        <f>_xlfn.XLOOKUP(tblOrders[[#This Row],[CustomerID]],tblCustomers[CustomerID],tblCustomers[Region],"not found")</f>
        <v>Central</v>
      </c>
      <c r="G241">
        <v>1095</v>
      </c>
      <c r="H241" t="str">
        <f>_xlfn.XLOOKUP(tblOrders[[#This Row],[ProductID]],tblProducts[ProductID],tblProducts[ProductName],"not found")</f>
        <v>Industry</v>
      </c>
      <c r="I241" t="str">
        <f>_xlfn.XLOOKUP(tblOrders[[#This Row],[ProductID]],tblProducts[ProductID],tblProducts[Category],"not found")</f>
        <v>Furniture</v>
      </c>
      <c r="J241">
        <f>_xlfn.XLOOKUP(tblOrders[[#This Row],[ProductID]],tblProducts[ProductID],tblProducts[UnitPrice],"not found")</f>
        <v>377.45</v>
      </c>
      <c r="K241" t="str">
        <f>_xlfn.XLOOKUP(tblOrders[[#This Row],[ProductID]],tblProducts[ProductID],tblProducts[Supplier],"not found")</f>
        <v>Blake Group</v>
      </c>
      <c r="L241" s="1" t="s">
        <v>2135</v>
      </c>
      <c r="M2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45562</v>
      </c>
      <c r="N241">
        <v>1</v>
      </c>
      <c r="O241">
        <v>377.45</v>
      </c>
      <c r="P241">
        <f>tblOrders[[#This Row],[Quantity]]*tblOrders[[#This Row],[Unit Price]]</f>
        <v>377.45</v>
      </c>
      <c r="Q241">
        <f>tblOrders[[#This Row],[TotalSales]]-tblOrders[[#This Row],[Calculated Sales]]</f>
        <v>0</v>
      </c>
    </row>
    <row r="242" spans="1:17" x14ac:dyDescent="0.25">
      <c r="A242">
        <v>193</v>
      </c>
      <c r="B242">
        <v>994</v>
      </c>
      <c r="C242" t="str">
        <f>_xlfn.XLOOKUP(tblOrders[[#This Row],[CustomerID]],tblCustomers[CustomerID],tblCustomers[CustomerName],"not found")</f>
        <v>Brandon Willis</v>
      </c>
      <c r="D242">
        <f>_xlfn.XLOOKUP(tblOrders[[#This Row],[CustomerID]],tblCustomers[CustomerID],tblCustomers[Age],"not found")</f>
        <v>41</v>
      </c>
      <c r="E242" t="str">
        <f>_xlfn.XLOOKUP(tblOrders[[#This Row],[CustomerID]],tblCustomers[CustomerID],tblCustomers[Gender],"not found")</f>
        <v>Male</v>
      </c>
      <c r="F242" t="str">
        <f>_xlfn.XLOOKUP(tblOrders[[#This Row],[CustomerID]],tblCustomers[CustomerID],tblCustomers[Region],"not found")</f>
        <v>Central</v>
      </c>
      <c r="G242">
        <v>1095</v>
      </c>
      <c r="H242" t="str">
        <f>_xlfn.XLOOKUP(tblOrders[[#This Row],[ProductID]],tblProducts[ProductID],tblProducts[ProductName],"not found")</f>
        <v>Industry</v>
      </c>
      <c r="I242" t="str">
        <f>_xlfn.XLOOKUP(tblOrders[[#This Row],[ProductID]],tblProducts[ProductID],tblProducts[Category],"not found")</f>
        <v>Furniture</v>
      </c>
      <c r="J242">
        <f>_xlfn.XLOOKUP(tblOrders[[#This Row],[ProductID]],tblProducts[ProductID],tblProducts[UnitPrice],"not found")</f>
        <v>377.45</v>
      </c>
      <c r="K242" t="str">
        <f>_xlfn.XLOOKUP(tblOrders[[#This Row],[ProductID]],tblProducts[ProductID],tblProducts[Supplier],"not found")</f>
        <v>Blake Group</v>
      </c>
      <c r="L242" s="1">
        <v>44692</v>
      </c>
      <c r="M2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44692</v>
      </c>
      <c r="N242">
        <v>3</v>
      </c>
      <c r="O242">
        <v>1132.3499999999999</v>
      </c>
      <c r="P242">
        <f>tblOrders[[#This Row],[Quantity]]*tblOrders[[#This Row],[Unit Price]]</f>
        <v>1132.3499999999999</v>
      </c>
      <c r="Q242">
        <f>tblOrders[[#This Row],[TotalSales]]-tblOrders[[#This Row],[Calculated Sales]]</f>
        <v>0</v>
      </c>
    </row>
    <row r="243" spans="1:17" x14ac:dyDescent="0.25">
      <c r="A243">
        <v>350</v>
      </c>
      <c r="B243">
        <v>76</v>
      </c>
      <c r="C243" t="str">
        <f>_xlfn.XLOOKUP(tblOrders[[#This Row],[CustomerID]],tblCustomers[CustomerID],tblCustomers[CustomerName],"not found")</f>
        <v>Monica Ross</v>
      </c>
      <c r="D243">
        <f>_xlfn.XLOOKUP(tblOrders[[#This Row],[CustomerID]],tblCustomers[CustomerID],tblCustomers[Age],"not found")</f>
        <v>67</v>
      </c>
      <c r="E243" t="str">
        <f>_xlfn.XLOOKUP(tblOrders[[#This Row],[CustomerID]],tblCustomers[CustomerID],tblCustomers[Gender],"not found")</f>
        <v>Male</v>
      </c>
      <c r="F243" t="str">
        <f>_xlfn.XLOOKUP(tblOrders[[#This Row],[CustomerID]],tblCustomers[CustomerID],tblCustomers[Region],"not found")</f>
        <v>North</v>
      </c>
      <c r="G243">
        <v>1095</v>
      </c>
      <c r="H243" t="str">
        <f>_xlfn.XLOOKUP(tblOrders[[#This Row],[ProductID]],tblProducts[ProductID],tblProducts[ProductName],"not found")</f>
        <v>Industry</v>
      </c>
      <c r="I243" t="str">
        <f>_xlfn.XLOOKUP(tblOrders[[#This Row],[ProductID]],tblProducts[ProductID],tblProducts[Category],"not found")</f>
        <v>Furniture</v>
      </c>
      <c r="J243">
        <f>_xlfn.XLOOKUP(tblOrders[[#This Row],[ProductID]],tblProducts[ProductID],tblProducts[UnitPrice],"not found")</f>
        <v>377.45</v>
      </c>
      <c r="K243" t="str">
        <f>_xlfn.XLOOKUP(tblOrders[[#This Row],[ProductID]],tblProducts[ProductID],tblProducts[Supplier],"not found")</f>
        <v>Blake Group</v>
      </c>
      <c r="L243" s="1" t="s">
        <v>2136</v>
      </c>
      <c r="M2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45216</v>
      </c>
      <c r="N243">
        <v>4</v>
      </c>
      <c r="O243">
        <v>1509.8</v>
      </c>
      <c r="P243">
        <f>tblOrders[[#This Row],[Quantity]]*tblOrders[[#This Row],[Unit Price]]</f>
        <v>1509.8</v>
      </c>
      <c r="Q243">
        <f>tblOrders[[#This Row],[TotalSales]]-tblOrders[[#This Row],[Calculated Sales]]</f>
        <v>0</v>
      </c>
    </row>
    <row r="244" spans="1:17" x14ac:dyDescent="0.25">
      <c r="A244">
        <v>412</v>
      </c>
      <c r="B244">
        <v>378</v>
      </c>
      <c r="C244" t="str">
        <f>_xlfn.XLOOKUP(tblOrders[[#This Row],[CustomerID]],tblCustomers[CustomerID],tblCustomers[CustomerName],"not found")</f>
        <v>Katherine Snyder</v>
      </c>
      <c r="D244">
        <f>_xlfn.XLOOKUP(tblOrders[[#This Row],[CustomerID]],tblCustomers[CustomerID],tblCustomers[Age],"not found")</f>
        <v>31</v>
      </c>
      <c r="E244" t="str">
        <f>_xlfn.XLOOKUP(tblOrders[[#This Row],[CustomerID]],tblCustomers[CustomerID],tblCustomers[Gender],"not found")</f>
        <v>Female</v>
      </c>
      <c r="F244" t="str">
        <f>_xlfn.XLOOKUP(tblOrders[[#This Row],[CustomerID]],tblCustomers[CustomerID],tblCustomers[Region],"not found")</f>
        <v>West</v>
      </c>
      <c r="G244">
        <v>1095</v>
      </c>
      <c r="H244" t="str">
        <f>_xlfn.XLOOKUP(tblOrders[[#This Row],[ProductID]],tblProducts[ProductID],tblProducts[ProductName],"not found")</f>
        <v>Industry</v>
      </c>
      <c r="I244" t="str">
        <f>_xlfn.XLOOKUP(tblOrders[[#This Row],[ProductID]],tblProducts[ProductID],tblProducts[Category],"not found")</f>
        <v>Furniture</v>
      </c>
      <c r="J244">
        <f>_xlfn.XLOOKUP(tblOrders[[#This Row],[ProductID]],tblProducts[ProductID],tblProducts[UnitPrice],"not found")</f>
        <v>377.45</v>
      </c>
      <c r="K244" t="str">
        <f>_xlfn.XLOOKUP(tblOrders[[#This Row],[ProductID]],tblProducts[ProductID],tblProducts[Supplier],"not found")</f>
        <v>Blake Group</v>
      </c>
      <c r="L244" s="1">
        <v>45506</v>
      </c>
      <c r="M2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45506</v>
      </c>
      <c r="N244">
        <v>4</v>
      </c>
      <c r="O244">
        <v>1509.8</v>
      </c>
      <c r="P244">
        <f>tblOrders[[#This Row],[Quantity]]*tblOrders[[#This Row],[Unit Price]]</f>
        <v>1509.8</v>
      </c>
      <c r="Q244">
        <f>tblOrders[[#This Row],[TotalSales]]-tblOrders[[#This Row],[Calculated Sales]]</f>
        <v>0</v>
      </c>
    </row>
    <row r="245" spans="1:17" x14ac:dyDescent="0.25">
      <c r="A245">
        <v>675</v>
      </c>
      <c r="B245">
        <v>824</v>
      </c>
      <c r="C245" t="str">
        <f>_xlfn.XLOOKUP(tblOrders[[#This Row],[CustomerID]],tblCustomers[CustomerID],tblCustomers[CustomerName],"not found")</f>
        <v>Douglas Smith</v>
      </c>
      <c r="D245">
        <f>_xlfn.XLOOKUP(tblOrders[[#This Row],[CustomerID]],tblCustomers[CustomerID],tblCustomers[Age],"not found")</f>
        <v>36</v>
      </c>
      <c r="E245" t="str">
        <f>_xlfn.XLOOKUP(tblOrders[[#This Row],[CustomerID]],tblCustomers[CustomerID],tblCustomers[Gender],"not found")</f>
        <v>Male</v>
      </c>
      <c r="F245" t="str">
        <f>_xlfn.XLOOKUP(tblOrders[[#This Row],[CustomerID]],tblCustomers[CustomerID],tblCustomers[Region],"not found")</f>
        <v>North</v>
      </c>
      <c r="G245">
        <v>1095</v>
      </c>
      <c r="H245" t="str">
        <f>_xlfn.XLOOKUP(tblOrders[[#This Row],[ProductID]],tblProducts[ProductID],tblProducts[ProductName],"not found")</f>
        <v>Industry</v>
      </c>
      <c r="I245" t="str">
        <f>_xlfn.XLOOKUP(tblOrders[[#This Row],[ProductID]],tblProducts[ProductID],tblProducts[Category],"not found")</f>
        <v>Furniture</v>
      </c>
      <c r="J245">
        <f>_xlfn.XLOOKUP(tblOrders[[#This Row],[ProductID]],tblProducts[ProductID],tblProducts[UnitPrice],"not found")</f>
        <v>377.45</v>
      </c>
      <c r="K245" t="str">
        <f>_xlfn.XLOOKUP(tblOrders[[#This Row],[ProductID]],tblProducts[ProductID],tblProducts[Supplier],"not found")</f>
        <v>Blake Group</v>
      </c>
      <c r="L245" s="1">
        <v>44969</v>
      </c>
      <c r="M2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245">
        <v>9</v>
      </c>
      <c r="O245">
        <v>3397.05</v>
      </c>
      <c r="P245">
        <f>tblOrders[[#This Row],[Quantity]]*tblOrders[[#This Row],[Unit Price]]</f>
        <v>3397.0499999999997</v>
      </c>
      <c r="Q245">
        <f>tblOrders[[#This Row],[TotalSales]]-tblOrders[[#This Row],[Calculated Sales]]</f>
        <v>0</v>
      </c>
    </row>
    <row r="246" spans="1:17" x14ac:dyDescent="0.25">
      <c r="A246">
        <v>707</v>
      </c>
      <c r="B246">
        <v>839</v>
      </c>
      <c r="C246" t="str">
        <f>_xlfn.XLOOKUP(tblOrders[[#This Row],[CustomerID]],tblCustomers[CustomerID],tblCustomers[CustomerName],"not found")</f>
        <v>Jeffery Simmons</v>
      </c>
      <c r="D246">
        <f>_xlfn.XLOOKUP(tblOrders[[#This Row],[CustomerID]],tblCustomers[CustomerID],tblCustomers[Age],"not found")</f>
        <v>53</v>
      </c>
      <c r="E246" t="str">
        <f>_xlfn.XLOOKUP(tblOrders[[#This Row],[CustomerID]],tblCustomers[CustomerID],tblCustomers[Gender],"not found")</f>
        <v>Female</v>
      </c>
      <c r="F246" t="str">
        <f>_xlfn.XLOOKUP(tblOrders[[#This Row],[CustomerID]],tblCustomers[CustomerID],tblCustomers[Region],"not found")</f>
        <v>West</v>
      </c>
      <c r="G246">
        <v>1095</v>
      </c>
      <c r="H246" t="str">
        <f>_xlfn.XLOOKUP(tblOrders[[#This Row],[ProductID]],tblProducts[ProductID],tblProducts[ProductName],"not found")</f>
        <v>Industry</v>
      </c>
      <c r="I246" t="str">
        <f>_xlfn.XLOOKUP(tblOrders[[#This Row],[ProductID]],tblProducts[ProductID],tblProducts[Category],"not found")</f>
        <v>Furniture</v>
      </c>
      <c r="J246">
        <f>_xlfn.XLOOKUP(tblOrders[[#This Row],[ProductID]],tblProducts[ProductID],tblProducts[UnitPrice],"not found")</f>
        <v>377.45</v>
      </c>
      <c r="K246" t="str">
        <f>_xlfn.XLOOKUP(tblOrders[[#This Row],[ProductID]],tblProducts[ProductID],tblProducts[Supplier],"not found")</f>
        <v>Blake Group</v>
      </c>
      <c r="L246" s="1" t="s">
        <v>2137</v>
      </c>
      <c r="M2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45501</v>
      </c>
      <c r="N246">
        <v>6</v>
      </c>
      <c r="O246">
        <v>2264.6999999999998</v>
      </c>
      <c r="P246">
        <f>tblOrders[[#This Row],[Quantity]]*tblOrders[[#This Row],[Unit Price]]</f>
        <v>2264.6999999999998</v>
      </c>
      <c r="Q246">
        <f>tblOrders[[#This Row],[TotalSales]]-tblOrders[[#This Row],[Calculated Sales]]</f>
        <v>0</v>
      </c>
    </row>
    <row r="247" spans="1:17" x14ac:dyDescent="0.25">
      <c r="A247">
        <v>733</v>
      </c>
      <c r="B247">
        <v>35</v>
      </c>
      <c r="C247" t="str">
        <f>_xlfn.XLOOKUP(tblOrders[[#This Row],[CustomerID]],tblCustomers[CustomerID],tblCustomers[CustomerName],"not found")</f>
        <v>John Hubbard</v>
      </c>
      <c r="D247">
        <f>_xlfn.XLOOKUP(tblOrders[[#This Row],[CustomerID]],tblCustomers[CustomerID],tblCustomers[Age],"not found")</f>
        <v>63</v>
      </c>
      <c r="E247" t="str">
        <f>_xlfn.XLOOKUP(tblOrders[[#This Row],[CustomerID]],tblCustomers[CustomerID],tblCustomers[Gender],"not found")</f>
        <v>Female</v>
      </c>
      <c r="F247" t="str">
        <f>_xlfn.XLOOKUP(tblOrders[[#This Row],[CustomerID]],tblCustomers[CustomerID],tblCustomers[Region],"not found")</f>
        <v>South</v>
      </c>
      <c r="G247">
        <v>1095</v>
      </c>
      <c r="H247" t="str">
        <f>_xlfn.XLOOKUP(tblOrders[[#This Row],[ProductID]],tblProducts[ProductID],tblProducts[ProductName],"not found")</f>
        <v>Industry</v>
      </c>
      <c r="I247" t="str">
        <f>_xlfn.XLOOKUP(tblOrders[[#This Row],[ProductID]],tblProducts[ProductID],tblProducts[Category],"not found")</f>
        <v>Furniture</v>
      </c>
      <c r="J247">
        <f>_xlfn.XLOOKUP(tblOrders[[#This Row],[ProductID]],tblProducts[ProductID],tblProducts[UnitPrice],"not found")</f>
        <v>377.45</v>
      </c>
      <c r="K247" t="str">
        <f>_xlfn.XLOOKUP(tblOrders[[#This Row],[ProductID]],tblProducts[ProductID],tblProducts[Supplier],"not found")</f>
        <v>Blake Group</v>
      </c>
      <c r="L247" s="1">
        <v>45416</v>
      </c>
      <c r="M2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45416</v>
      </c>
      <c r="N247">
        <v>7</v>
      </c>
      <c r="O247">
        <v>2642.15</v>
      </c>
      <c r="P247">
        <f>tblOrders[[#This Row],[Quantity]]*tblOrders[[#This Row],[Unit Price]]</f>
        <v>2642.15</v>
      </c>
      <c r="Q247">
        <f>tblOrders[[#This Row],[TotalSales]]-tblOrders[[#This Row],[Calculated Sales]]</f>
        <v>0</v>
      </c>
    </row>
    <row r="248" spans="1:17" x14ac:dyDescent="0.25">
      <c r="A248">
        <v>862</v>
      </c>
      <c r="B248">
        <v>751</v>
      </c>
      <c r="C248" t="str">
        <f>_xlfn.XLOOKUP(tblOrders[[#This Row],[CustomerID]],tblCustomers[CustomerID],tblCustomers[CustomerName],"not found")</f>
        <v>Christina Morris</v>
      </c>
      <c r="D248">
        <f>_xlfn.XLOOKUP(tblOrders[[#This Row],[CustomerID]],tblCustomers[CustomerID],tblCustomers[Age],"not found")</f>
        <v>49</v>
      </c>
      <c r="E248" t="str">
        <f>_xlfn.XLOOKUP(tblOrders[[#This Row],[CustomerID]],tblCustomers[CustomerID],tblCustomers[Gender],"not found")</f>
        <v>Male</v>
      </c>
      <c r="F248" t="str">
        <f>_xlfn.XLOOKUP(tblOrders[[#This Row],[CustomerID]],tblCustomers[CustomerID],tblCustomers[Region],"not found")</f>
        <v>West</v>
      </c>
      <c r="G248">
        <v>1095</v>
      </c>
      <c r="H248" t="str">
        <f>_xlfn.XLOOKUP(tblOrders[[#This Row],[ProductID]],tblProducts[ProductID],tblProducts[ProductName],"not found")</f>
        <v>Industry</v>
      </c>
      <c r="I248" t="str">
        <f>_xlfn.XLOOKUP(tblOrders[[#This Row],[ProductID]],tblProducts[ProductID],tblProducts[Category],"not found")</f>
        <v>Furniture</v>
      </c>
      <c r="J248">
        <f>_xlfn.XLOOKUP(tblOrders[[#This Row],[ProductID]],tblProducts[ProductID],tblProducts[UnitPrice],"not found")</f>
        <v>377.45</v>
      </c>
      <c r="K248" t="str">
        <f>_xlfn.XLOOKUP(tblOrders[[#This Row],[ProductID]],tblProducts[ProductID],tblProducts[Supplier],"not found")</f>
        <v>Blake Group</v>
      </c>
      <c r="L248" s="1" t="s">
        <v>2138</v>
      </c>
      <c r="M2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45253</v>
      </c>
      <c r="N248">
        <v>9</v>
      </c>
      <c r="O248">
        <v>3397.05</v>
      </c>
      <c r="P248">
        <f>tblOrders[[#This Row],[Quantity]]*tblOrders[[#This Row],[Unit Price]]</f>
        <v>3397.0499999999997</v>
      </c>
      <c r="Q248">
        <f>tblOrders[[#This Row],[TotalSales]]-tblOrders[[#This Row],[Calculated Sales]]</f>
        <v>0</v>
      </c>
    </row>
    <row r="249" spans="1:17" x14ac:dyDescent="0.25">
      <c r="A249">
        <v>903</v>
      </c>
      <c r="B249">
        <v>689</v>
      </c>
      <c r="C249" t="str">
        <f>_xlfn.XLOOKUP(tblOrders[[#This Row],[CustomerID]],tblCustomers[CustomerID],tblCustomers[CustomerName],"not found")</f>
        <v>Maria Villanueva</v>
      </c>
      <c r="D249">
        <f>_xlfn.XLOOKUP(tblOrders[[#This Row],[CustomerID]],tblCustomers[CustomerID],tblCustomers[Age],"not found")</f>
        <v>23</v>
      </c>
      <c r="E249" t="str">
        <f>_xlfn.XLOOKUP(tblOrders[[#This Row],[CustomerID]],tblCustomers[CustomerID],tblCustomers[Gender],"not found")</f>
        <v>Male</v>
      </c>
      <c r="F249" t="str">
        <f>_xlfn.XLOOKUP(tblOrders[[#This Row],[CustomerID]],tblCustomers[CustomerID],tblCustomers[Region],"not found")</f>
        <v>West</v>
      </c>
      <c r="G249">
        <v>1095</v>
      </c>
      <c r="H249" t="str">
        <f>_xlfn.XLOOKUP(tblOrders[[#This Row],[ProductID]],tblProducts[ProductID],tblProducts[ProductName],"not found")</f>
        <v>Industry</v>
      </c>
      <c r="I249" t="str">
        <f>_xlfn.XLOOKUP(tblOrders[[#This Row],[ProductID]],tblProducts[ProductID],tblProducts[Category],"not found")</f>
        <v>Furniture</v>
      </c>
      <c r="J249">
        <f>_xlfn.XLOOKUP(tblOrders[[#This Row],[ProductID]],tblProducts[ProductID],tblProducts[UnitPrice],"not found")</f>
        <v>377.45</v>
      </c>
      <c r="K249" t="str">
        <f>_xlfn.XLOOKUP(tblOrders[[#This Row],[ProductID]],tblProducts[ProductID],tblProducts[Supplier],"not found")</f>
        <v>Blake Group</v>
      </c>
      <c r="L249" s="1" t="s">
        <v>2139</v>
      </c>
      <c r="M2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45442</v>
      </c>
      <c r="N249">
        <v>5</v>
      </c>
      <c r="O249">
        <v>1887.25</v>
      </c>
      <c r="P249">
        <f>tblOrders[[#This Row],[Quantity]]*tblOrders[[#This Row],[Unit Price]]</f>
        <v>1887.25</v>
      </c>
      <c r="Q249">
        <f>tblOrders[[#This Row],[TotalSales]]-tblOrders[[#This Row],[Calculated Sales]]</f>
        <v>0</v>
      </c>
    </row>
    <row r="250" spans="1:17" x14ac:dyDescent="0.25">
      <c r="A250">
        <v>929</v>
      </c>
      <c r="B250">
        <v>109</v>
      </c>
      <c r="C250" t="str">
        <f>_xlfn.XLOOKUP(tblOrders[[#This Row],[CustomerID]],tblCustomers[CustomerID],tblCustomers[CustomerName],"not found")</f>
        <v>Jessica Brown</v>
      </c>
      <c r="D250">
        <f>_xlfn.XLOOKUP(tblOrders[[#This Row],[CustomerID]],tblCustomers[CustomerID],tblCustomers[Age],"not found")</f>
        <v>42</v>
      </c>
      <c r="E250" t="str">
        <f>_xlfn.XLOOKUP(tblOrders[[#This Row],[CustomerID]],tblCustomers[CustomerID],tblCustomers[Gender],"not found")</f>
        <v>Male</v>
      </c>
      <c r="F250" t="str">
        <f>_xlfn.XLOOKUP(tblOrders[[#This Row],[CustomerID]],tblCustomers[CustomerID],tblCustomers[Region],"not found")</f>
        <v>West</v>
      </c>
      <c r="G250">
        <v>1095</v>
      </c>
      <c r="H250" t="str">
        <f>_xlfn.XLOOKUP(tblOrders[[#This Row],[ProductID]],tblProducts[ProductID],tblProducts[ProductName],"not found")</f>
        <v>Industry</v>
      </c>
      <c r="I250" t="str">
        <f>_xlfn.XLOOKUP(tblOrders[[#This Row],[ProductID]],tblProducts[ProductID],tblProducts[Category],"not found")</f>
        <v>Furniture</v>
      </c>
      <c r="J250">
        <f>_xlfn.XLOOKUP(tblOrders[[#This Row],[ProductID]],tblProducts[ProductID],tblProducts[UnitPrice],"not found")</f>
        <v>377.45</v>
      </c>
      <c r="K250" t="str">
        <f>_xlfn.XLOOKUP(tblOrders[[#This Row],[ProductID]],tblProducts[ProductID],tblProducts[Supplier],"not found")</f>
        <v>Blake Group</v>
      </c>
      <c r="L250" s="1" t="s">
        <v>2140</v>
      </c>
      <c r="M2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45072</v>
      </c>
      <c r="N250">
        <v>5</v>
      </c>
      <c r="O250">
        <v>1887.25</v>
      </c>
      <c r="P250">
        <f>tblOrders[[#This Row],[Quantity]]*tblOrders[[#This Row],[Unit Price]]</f>
        <v>1887.25</v>
      </c>
      <c r="Q250">
        <f>tblOrders[[#This Row],[TotalSales]]-tblOrders[[#This Row],[Calculated Sales]]</f>
        <v>0</v>
      </c>
    </row>
    <row r="251" spans="1:17" x14ac:dyDescent="0.25">
      <c r="A251">
        <v>1021</v>
      </c>
      <c r="B251">
        <v>526</v>
      </c>
      <c r="C251" t="str">
        <f>_xlfn.XLOOKUP(tblOrders[[#This Row],[CustomerID]],tblCustomers[CustomerID],tblCustomers[CustomerName],"not found")</f>
        <v>Carl Williams</v>
      </c>
      <c r="D251">
        <f>_xlfn.XLOOKUP(tblOrders[[#This Row],[CustomerID]],tblCustomers[CustomerID],tblCustomers[Age],"not found")</f>
        <v>38</v>
      </c>
      <c r="E251" t="str">
        <f>_xlfn.XLOOKUP(tblOrders[[#This Row],[CustomerID]],tblCustomers[CustomerID],tblCustomers[Gender],"not found")</f>
        <v>Female</v>
      </c>
      <c r="F251" t="str">
        <f>_xlfn.XLOOKUP(tblOrders[[#This Row],[CustomerID]],tblCustomers[CustomerID],tblCustomers[Region],"not found")</f>
        <v>North</v>
      </c>
      <c r="G251">
        <v>1095</v>
      </c>
      <c r="H251" t="str">
        <f>_xlfn.XLOOKUP(tblOrders[[#This Row],[ProductID]],tblProducts[ProductID],tblProducts[ProductName],"not found")</f>
        <v>Industry</v>
      </c>
      <c r="I251" t="str">
        <f>_xlfn.XLOOKUP(tblOrders[[#This Row],[ProductID]],tblProducts[ProductID],tblProducts[Category],"not found")</f>
        <v>Furniture</v>
      </c>
      <c r="J251">
        <f>_xlfn.XLOOKUP(tblOrders[[#This Row],[ProductID]],tblProducts[ProductID],tblProducts[UnitPrice],"not found")</f>
        <v>377.45</v>
      </c>
      <c r="K251" t="str">
        <f>_xlfn.XLOOKUP(tblOrders[[#This Row],[ProductID]],tblProducts[ProductID],tblProducts[Supplier],"not found")</f>
        <v>Blake Group</v>
      </c>
      <c r="L251" s="1" t="s">
        <v>2141</v>
      </c>
      <c r="M2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44925</v>
      </c>
      <c r="N251">
        <v>9</v>
      </c>
      <c r="O251">
        <v>3397.05</v>
      </c>
      <c r="P251">
        <f>tblOrders[[#This Row],[Quantity]]*tblOrders[[#This Row],[Unit Price]]</f>
        <v>3397.0499999999997</v>
      </c>
      <c r="Q251">
        <f>tblOrders[[#This Row],[TotalSales]]-tblOrders[[#This Row],[Calculated Sales]]</f>
        <v>0</v>
      </c>
    </row>
    <row r="252" spans="1:17" x14ac:dyDescent="0.25">
      <c r="A252">
        <v>1091</v>
      </c>
      <c r="B252">
        <v>431</v>
      </c>
      <c r="C252" t="str">
        <f>_xlfn.XLOOKUP(tblOrders[[#This Row],[CustomerID]],tblCustomers[CustomerID],tblCustomers[CustomerName],"not found")</f>
        <v>William Salazar</v>
      </c>
      <c r="D252">
        <f>_xlfn.XLOOKUP(tblOrders[[#This Row],[CustomerID]],tblCustomers[CustomerID],tblCustomers[Age],"not found")</f>
        <v>20</v>
      </c>
      <c r="E252" t="str">
        <f>_xlfn.XLOOKUP(tblOrders[[#This Row],[CustomerID]],tblCustomers[CustomerID],tblCustomers[Gender],"not found")</f>
        <v>Female</v>
      </c>
      <c r="F252" t="str">
        <f>_xlfn.XLOOKUP(tblOrders[[#This Row],[CustomerID]],tblCustomers[CustomerID],tblCustomers[Region],"not found")</f>
        <v>West</v>
      </c>
      <c r="G252">
        <v>1095</v>
      </c>
      <c r="H252" t="str">
        <f>_xlfn.XLOOKUP(tblOrders[[#This Row],[ProductID]],tblProducts[ProductID],tblProducts[ProductName],"not found")</f>
        <v>Industry</v>
      </c>
      <c r="I252" t="str">
        <f>_xlfn.XLOOKUP(tblOrders[[#This Row],[ProductID]],tblProducts[ProductID],tblProducts[Category],"not found")</f>
        <v>Furniture</v>
      </c>
      <c r="J252">
        <f>_xlfn.XLOOKUP(tblOrders[[#This Row],[ProductID]],tblProducts[ProductID],tblProducts[UnitPrice],"not found")</f>
        <v>377.45</v>
      </c>
      <c r="K252" t="str">
        <f>_xlfn.XLOOKUP(tblOrders[[#This Row],[ProductID]],tblProducts[ProductID],tblProducts[Supplier],"not found")</f>
        <v>Blake Group</v>
      </c>
      <c r="L252" s="1" t="s">
        <v>2142</v>
      </c>
      <c r="M2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45284</v>
      </c>
      <c r="N252">
        <v>9</v>
      </c>
      <c r="O252">
        <v>3397.05</v>
      </c>
      <c r="P252">
        <f>tblOrders[[#This Row],[Quantity]]*tblOrders[[#This Row],[Unit Price]]</f>
        <v>3397.0499999999997</v>
      </c>
      <c r="Q252">
        <f>tblOrders[[#This Row],[TotalSales]]-tblOrders[[#This Row],[Calculated Sales]]</f>
        <v>0</v>
      </c>
    </row>
    <row r="253" spans="1:17" x14ac:dyDescent="0.25">
      <c r="A253">
        <v>1270</v>
      </c>
      <c r="B253">
        <v>751</v>
      </c>
      <c r="C253" t="str">
        <f>_xlfn.XLOOKUP(tblOrders[[#This Row],[CustomerID]],tblCustomers[CustomerID],tblCustomers[CustomerName],"not found")</f>
        <v>Christina Morris</v>
      </c>
      <c r="D253">
        <f>_xlfn.XLOOKUP(tblOrders[[#This Row],[CustomerID]],tblCustomers[CustomerID],tblCustomers[Age],"not found")</f>
        <v>49</v>
      </c>
      <c r="E253" t="str">
        <f>_xlfn.XLOOKUP(tblOrders[[#This Row],[CustomerID]],tblCustomers[CustomerID],tblCustomers[Gender],"not found")</f>
        <v>Male</v>
      </c>
      <c r="F253" t="str">
        <f>_xlfn.XLOOKUP(tblOrders[[#This Row],[CustomerID]],tblCustomers[CustomerID],tblCustomers[Region],"not found")</f>
        <v>West</v>
      </c>
      <c r="G253">
        <v>1095</v>
      </c>
      <c r="H253" t="str">
        <f>_xlfn.XLOOKUP(tblOrders[[#This Row],[ProductID]],tblProducts[ProductID],tblProducts[ProductName],"not found")</f>
        <v>Industry</v>
      </c>
      <c r="I253" t="str">
        <f>_xlfn.XLOOKUP(tblOrders[[#This Row],[ProductID]],tblProducts[ProductID],tblProducts[Category],"not found")</f>
        <v>Furniture</v>
      </c>
      <c r="J253">
        <f>_xlfn.XLOOKUP(tblOrders[[#This Row],[ProductID]],tblProducts[ProductID],tblProducts[UnitPrice],"not found")</f>
        <v>377.45</v>
      </c>
      <c r="K253" t="str">
        <f>_xlfn.XLOOKUP(tblOrders[[#This Row],[ProductID]],tblProducts[ProductID],tblProducts[Supplier],"not found")</f>
        <v>Blake Group</v>
      </c>
      <c r="L253" s="1">
        <v>45445</v>
      </c>
      <c r="M2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45445</v>
      </c>
      <c r="N253">
        <v>1</v>
      </c>
      <c r="O253">
        <v>377.45</v>
      </c>
      <c r="P253">
        <f>tblOrders[[#This Row],[Quantity]]*tblOrders[[#This Row],[Unit Price]]</f>
        <v>377.45</v>
      </c>
      <c r="Q253">
        <f>tblOrders[[#This Row],[TotalSales]]-tblOrders[[#This Row],[Calculated Sales]]</f>
        <v>0</v>
      </c>
    </row>
    <row r="254" spans="1:17" x14ac:dyDescent="0.25">
      <c r="A254">
        <v>1510</v>
      </c>
      <c r="B254">
        <v>559</v>
      </c>
      <c r="C254" t="str">
        <f>_xlfn.XLOOKUP(tblOrders[[#This Row],[CustomerID]],tblCustomers[CustomerID],tblCustomers[CustomerName],"not found")</f>
        <v>Stephanie Dunn</v>
      </c>
      <c r="D254">
        <f>_xlfn.XLOOKUP(tblOrders[[#This Row],[CustomerID]],tblCustomers[CustomerID],tblCustomers[Age],"not found")</f>
        <v>48</v>
      </c>
      <c r="E254" t="str">
        <f>_xlfn.XLOOKUP(tblOrders[[#This Row],[CustomerID]],tblCustomers[CustomerID],tblCustomers[Gender],"not found")</f>
        <v>Female</v>
      </c>
      <c r="F254" t="str">
        <f>_xlfn.XLOOKUP(tblOrders[[#This Row],[CustomerID]],tblCustomers[CustomerID],tblCustomers[Region],"not found")</f>
        <v>Central</v>
      </c>
      <c r="G254">
        <v>1095</v>
      </c>
      <c r="H254" t="str">
        <f>_xlfn.XLOOKUP(tblOrders[[#This Row],[ProductID]],tblProducts[ProductID],tblProducts[ProductName],"not found")</f>
        <v>Industry</v>
      </c>
      <c r="I254" t="str">
        <f>_xlfn.XLOOKUP(tblOrders[[#This Row],[ProductID]],tblProducts[ProductID],tblProducts[Category],"not found")</f>
        <v>Furniture</v>
      </c>
      <c r="J254">
        <f>_xlfn.XLOOKUP(tblOrders[[#This Row],[ProductID]],tblProducts[ProductID],tblProducts[UnitPrice],"not found")</f>
        <v>377.45</v>
      </c>
      <c r="K254" t="str">
        <f>_xlfn.XLOOKUP(tblOrders[[#This Row],[ProductID]],tblProducts[ProductID],tblProducts[Supplier],"not found")</f>
        <v>Blake Group</v>
      </c>
      <c r="L254" s="1" t="s">
        <v>2143</v>
      </c>
      <c r="M2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45364</v>
      </c>
      <c r="N254">
        <v>5</v>
      </c>
      <c r="O254">
        <v>1887.25</v>
      </c>
      <c r="P254">
        <f>tblOrders[[#This Row],[Quantity]]*tblOrders[[#This Row],[Unit Price]]</f>
        <v>1887.25</v>
      </c>
      <c r="Q254">
        <f>tblOrders[[#This Row],[TotalSales]]-tblOrders[[#This Row],[Calculated Sales]]</f>
        <v>0</v>
      </c>
    </row>
    <row r="255" spans="1:17" x14ac:dyDescent="0.25">
      <c r="A255">
        <v>1632</v>
      </c>
      <c r="B255">
        <v>146</v>
      </c>
      <c r="C255" t="str">
        <f>_xlfn.XLOOKUP(tblOrders[[#This Row],[CustomerID]],tblCustomers[CustomerID],tblCustomers[CustomerName],"not found")</f>
        <v>Tiffany Roth</v>
      </c>
      <c r="D255">
        <f>_xlfn.XLOOKUP(tblOrders[[#This Row],[CustomerID]],tblCustomers[CustomerID],tblCustomers[Age],"not found")</f>
        <v>41</v>
      </c>
      <c r="E255" t="str">
        <f>_xlfn.XLOOKUP(tblOrders[[#This Row],[CustomerID]],tblCustomers[CustomerID],tblCustomers[Gender],"not found")</f>
        <v>Male</v>
      </c>
      <c r="F255" t="str">
        <f>_xlfn.XLOOKUP(tblOrders[[#This Row],[CustomerID]],tblCustomers[CustomerID],tblCustomers[Region],"not found")</f>
        <v>West</v>
      </c>
      <c r="G255">
        <v>1095</v>
      </c>
      <c r="H255" t="str">
        <f>_xlfn.XLOOKUP(tblOrders[[#This Row],[ProductID]],tblProducts[ProductID],tblProducts[ProductName],"not found")</f>
        <v>Industry</v>
      </c>
      <c r="I255" t="str">
        <f>_xlfn.XLOOKUP(tblOrders[[#This Row],[ProductID]],tblProducts[ProductID],tblProducts[Category],"not found")</f>
        <v>Furniture</v>
      </c>
      <c r="J255">
        <f>_xlfn.XLOOKUP(tblOrders[[#This Row],[ProductID]],tblProducts[ProductID],tblProducts[UnitPrice],"not found")</f>
        <v>377.45</v>
      </c>
      <c r="K255" t="str">
        <f>_xlfn.XLOOKUP(tblOrders[[#This Row],[ProductID]],tblProducts[ProductID],tblProducts[Supplier],"not found")</f>
        <v>Blake Group</v>
      </c>
      <c r="L255" s="1" t="s">
        <v>2144</v>
      </c>
      <c r="M2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45405</v>
      </c>
      <c r="N255">
        <v>2</v>
      </c>
      <c r="O255">
        <v>754.9</v>
      </c>
      <c r="P255">
        <f>tblOrders[[#This Row],[Quantity]]*tblOrders[[#This Row],[Unit Price]]</f>
        <v>754.9</v>
      </c>
      <c r="Q255">
        <f>tblOrders[[#This Row],[TotalSales]]-tblOrders[[#This Row],[Calculated Sales]]</f>
        <v>0</v>
      </c>
    </row>
    <row r="256" spans="1:17" x14ac:dyDescent="0.25">
      <c r="A256">
        <v>1656</v>
      </c>
      <c r="B256">
        <v>420</v>
      </c>
      <c r="C256" t="str">
        <f>_xlfn.XLOOKUP(tblOrders[[#This Row],[CustomerID]],tblCustomers[CustomerID],tblCustomers[CustomerName],"not found")</f>
        <v>James Gonzalez</v>
      </c>
      <c r="D256">
        <f>_xlfn.XLOOKUP(tblOrders[[#This Row],[CustomerID]],tblCustomers[CustomerID],tblCustomers[Age],"not found")</f>
        <v>35</v>
      </c>
      <c r="E256" t="str">
        <f>_xlfn.XLOOKUP(tblOrders[[#This Row],[CustomerID]],tblCustomers[CustomerID],tblCustomers[Gender],"not found")</f>
        <v>Male</v>
      </c>
      <c r="F256" t="str">
        <f>_xlfn.XLOOKUP(tblOrders[[#This Row],[CustomerID]],tblCustomers[CustomerID],tblCustomers[Region],"not found")</f>
        <v>East</v>
      </c>
      <c r="G256">
        <v>1095</v>
      </c>
      <c r="H256" t="str">
        <f>_xlfn.XLOOKUP(tblOrders[[#This Row],[ProductID]],tblProducts[ProductID],tblProducts[ProductName],"not found")</f>
        <v>Industry</v>
      </c>
      <c r="I256" t="str">
        <f>_xlfn.XLOOKUP(tblOrders[[#This Row],[ProductID]],tblProducts[ProductID],tblProducts[Category],"not found")</f>
        <v>Furniture</v>
      </c>
      <c r="J256">
        <f>_xlfn.XLOOKUP(tblOrders[[#This Row],[ProductID]],tblProducts[ProductID],tblProducts[UnitPrice],"not found")</f>
        <v>377.45</v>
      </c>
      <c r="K256" t="str">
        <f>_xlfn.XLOOKUP(tblOrders[[#This Row],[ProductID]],tblProducts[ProductID],tblProducts[Supplier],"not found")</f>
        <v>Blake Group</v>
      </c>
      <c r="L256" s="1" t="s">
        <v>2145</v>
      </c>
      <c r="M2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45226</v>
      </c>
      <c r="N256">
        <v>1</v>
      </c>
      <c r="O256">
        <v>377.45</v>
      </c>
      <c r="P256">
        <f>tblOrders[[#This Row],[Quantity]]*tblOrders[[#This Row],[Unit Price]]</f>
        <v>377.45</v>
      </c>
      <c r="Q256">
        <f>tblOrders[[#This Row],[TotalSales]]-tblOrders[[#This Row],[Calculated Sales]]</f>
        <v>0</v>
      </c>
    </row>
    <row r="257" spans="1:17" x14ac:dyDescent="0.25">
      <c r="A257">
        <v>1702</v>
      </c>
      <c r="B257">
        <v>277</v>
      </c>
      <c r="C257" t="str">
        <f>_xlfn.XLOOKUP(tblOrders[[#This Row],[CustomerID]],tblCustomers[CustomerID],tblCustomers[CustomerName],"not found")</f>
        <v>Yolanda White</v>
      </c>
      <c r="D257">
        <f>_xlfn.XLOOKUP(tblOrders[[#This Row],[CustomerID]],tblCustomers[CustomerID],tblCustomers[Age],"not found")</f>
        <v>65</v>
      </c>
      <c r="E257" t="str">
        <f>_xlfn.XLOOKUP(tblOrders[[#This Row],[CustomerID]],tblCustomers[CustomerID],tblCustomers[Gender],"not found")</f>
        <v>Female</v>
      </c>
      <c r="F257" t="str">
        <f>_xlfn.XLOOKUP(tblOrders[[#This Row],[CustomerID]],tblCustomers[CustomerID],tblCustomers[Region],"not found")</f>
        <v>South</v>
      </c>
      <c r="G257">
        <v>1095</v>
      </c>
      <c r="H257" t="str">
        <f>_xlfn.XLOOKUP(tblOrders[[#This Row],[ProductID]],tblProducts[ProductID],tblProducts[ProductName],"not found")</f>
        <v>Industry</v>
      </c>
      <c r="I257" t="str">
        <f>_xlfn.XLOOKUP(tblOrders[[#This Row],[ProductID]],tblProducts[ProductID],tblProducts[Category],"not found")</f>
        <v>Furniture</v>
      </c>
      <c r="J257">
        <f>_xlfn.XLOOKUP(tblOrders[[#This Row],[ProductID]],tblProducts[ProductID],tblProducts[UnitPrice],"not found")</f>
        <v>377.45</v>
      </c>
      <c r="K257" t="str">
        <f>_xlfn.XLOOKUP(tblOrders[[#This Row],[ProductID]],tblProducts[ProductID],tblProducts[Supplier],"not found")</f>
        <v>Blake Group</v>
      </c>
      <c r="L257" s="1" t="s">
        <v>2024</v>
      </c>
      <c r="M2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44941</v>
      </c>
      <c r="N257">
        <v>7</v>
      </c>
      <c r="O257">
        <v>2642.15</v>
      </c>
      <c r="P257">
        <f>tblOrders[[#This Row],[Quantity]]*tblOrders[[#This Row],[Unit Price]]</f>
        <v>2642.15</v>
      </c>
      <c r="Q257">
        <f>tblOrders[[#This Row],[TotalSales]]-tblOrders[[#This Row],[Calculated Sales]]</f>
        <v>0</v>
      </c>
    </row>
    <row r="258" spans="1:17" x14ac:dyDescent="0.25">
      <c r="A258">
        <v>1733</v>
      </c>
      <c r="B258">
        <v>734</v>
      </c>
      <c r="C258" t="str">
        <f>_xlfn.XLOOKUP(tblOrders[[#This Row],[CustomerID]],tblCustomers[CustomerID],tblCustomers[CustomerName],"not found")</f>
        <v>Kevin Ruiz</v>
      </c>
      <c r="D258">
        <f>_xlfn.XLOOKUP(tblOrders[[#This Row],[CustomerID]],tblCustomers[CustomerID],tblCustomers[Age],"not found")</f>
        <v>29</v>
      </c>
      <c r="E258" t="str">
        <f>_xlfn.XLOOKUP(tblOrders[[#This Row],[CustomerID]],tblCustomers[CustomerID],tblCustomers[Gender],"not found")</f>
        <v>Female</v>
      </c>
      <c r="F258" t="str">
        <f>_xlfn.XLOOKUP(tblOrders[[#This Row],[CustomerID]],tblCustomers[CustomerID],tblCustomers[Region],"not found")</f>
        <v>South</v>
      </c>
      <c r="G258">
        <v>1095</v>
      </c>
      <c r="H258" t="str">
        <f>_xlfn.XLOOKUP(tblOrders[[#This Row],[ProductID]],tblProducts[ProductID],tblProducts[ProductName],"not found")</f>
        <v>Industry</v>
      </c>
      <c r="I258" t="str">
        <f>_xlfn.XLOOKUP(tblOrders[[#This Row],[ProductID]],tblProducts[ProductID],tblProducts[Category],"not found")</f>
        <v>Furniture</v>
      </c>
      <c r="J258">
        <f>_xlfn.XLOOKUP(tblOrders[[#This Row],[ProductID]],tblProducts[ProductID],tblProducts[UnitPrice],"not found")</f>
        <v>377.45</v>
      </c>
      <c r="K258" t="str">
        <f>_xlfn.XLOOKUP(tblOrders[[#This Row],[ProductID]],tblProducts[ProductID],tblProducts[Supplier],"not found")</f>
        <v>Blake Group</v>
      </c>
      <c r="L258" s="1" t="s">
        <v>2146</v>
      </c>
      <c r="M2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45032</v>
      </c>
      <c r="N258">
        <v>3</v>
      </c>
      <c r="O258">
        <v>1132.3499999999999</v>
      </c>
      <c r="P258">
        <f>tblOrders[[#This Row],[Quantity]]*tblOrders[[#This Row],[Unit Price]]</f>
        <v>1132.3499999999999</v>
      </c>
      <c r="Q258">
        <f>tblOrders[[#This Row],[TotalSales]]-tblOrders[[#This Row],[Calculated Sales]]</f>
        <v>0</v>
      </c>
    </row>
    <row r="259" spans="1:17" x14ac:dyDescent="0.25">
      <c r="A259">
        <v>1811</v>
      </c>
      <c r="B259">
        <v>32</v>
      </c>
      <c r="C259" t="str">
        <f>_xlfn.XLOOKUP(tblOrders[[#This Row],[CustomerID]],tblCustomers[CustomerID],tblCustomers[CustomerName],"not found")</f>
        <v>Gary Davis MD</v>
      </c>
      <c r="D259">
        <f>_xlfn.XLOOKUP(tblOrders[[#This Row],[CustomerID]],tblCustomers[CustomerID],tblCustomers[Age],"not found")</f>
        <v>39</v>
      </c>
      <c r="E259" t="str">
        <f>_xlfn.XLOOKUP(tblOrders[[#This Row],[CustomerID]],tblCustomers[CustomerID],tblCustomers[Gender],"not found")</f>
        <v>Male</v>
      </c>
      <c r="F259" t="str">
        <f>_xlfn.XLOOKUP(tblOrders[[#This Row],[CustomerID]],tblCustomers[CustomerID],tblCustomers[Region],"not found")</f>
        <v>East</v>
      </c>
      <c r="G259">
        <v>1095</v>
      </c>
      <c r="H259" t="str">
        <f>_xlfn.XLOOKUP(tblOrders[[#This Row],[ProductID]],tblProducts[ProductID],tblProducts[ProductName],"not found")</f>
        <v>Industry</v>
      </c>
      <c r="I259" t="str">
        <f>_xlfn.XLOOKUP(tblOrders[[#This Row],[ProductID]],tblProducts[ProductID],tblProducts[Category],"not found")</f>
        <v>Furniture</v>
      </c>
      <c r="J259">
        <f>_xlfn.XLOOKUP(tblOrders[[#This Row],[ProductID]],tblProducts[ProductID],tblProducts[UnitPrice],"not found")</f>
        <v>377.45</v>
      </c>
      <c r="K259" t="str">
        <f>_xlfn.XLOOKUP(tblOrders[[#This Row],[ProductID]],tblProducts[ProductID],tblProducts[Supplier],"not found")</f>
        <v>Blake Group</v>
      </c>
      <c r="L259" s="1">
        <v>45451</v>
      </c>
      <c r="M2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259">
        <v>7</v>
      </c>
      <c r="O259">
        <v>2642.15</v>
      </c>
      <c r="P259">
        <f>tblOrders[[#This Row],[Quantity]]*tblOrders[[#This Row],[Unit Price]]</f>
        <v>2642.15</v>
      </c>
      <c r="Q259">
        <f>tblOrders[[#This Row],[TotalSales]]-tblOrders[[#This Row],[Calculated Sales]]</f>
        <v>0</v>
      </c>
    </row>
    <row r="260" spans="1:17" x14ac:dyDescent="0.25">
      <c r="A260">
        <v>1836</v>
      </c>
      <c r="B260">
        <v>863</v>
      </c>
      <c r="C260" t="str">
        <f>_xlfn.XLOOKUP(tblOrders[[#This Row],[CustomerID]],tblCustomers[CustomerID],tblCustomers[CustomerName],"not found")</f>
        <v>Gregory White</v>
      </c>
      <c r="D260">
        <f>_xlfn.XLOOKUP(tblOrders[[#This Row],[CustomerID]],tblCustomers[CustomerID],tblCustomers[Age],"not found")</f>
        <v>37</v>
      </c>
      <c r="E260" t="str">
        <f>_xlfn.XLOOKUP(tblOrders[[#This Row],[CustomerID]],tblCustomers[CustomerID],tblCustomers[Gender],"not found")</f>
        <v>Male</v>
      </c>
      <c r="F260" t="str">
        <f>_xlfn.XLOOKUP(tblOrders[[#This Row],[CustomerID]],tblCustomers[CustomerID],tblCustomers[Region],"not found")</f>
        <v>West</v>
      </c>
      <c r="G260">
        <v>1095</v>
      </c>
      <c r="H260" t="str">
        <f>_xlfn.XLOOKUP(tblOrders[[#This Row],[ProductID]],tblProducts[ProductID],tblProducts[ProductName],"not found")</f>
        <v>Industry</v>
      </c>
      <c r="I260" t="str">
        <f>_xlfn.XLOOKUP(tblOrders[[#This Row],[ProductID]],tblProducts[ProductID],tblProducts[Category],"not found")</f>
        <v>Furniture</v>
      </c>
      <c r="J260">
        <f>_xlfn.XLOOKUP(tblOrders[[#This Row],[ProductID]],tblProducts[ProductID],tblProducts[UnitPrice],"not found")</f>
        <v>377.45</v>
      </c>
      <c r="K260" t="str">
        <f>_xlfn.XLOOKUP(tblOrders[[#This Row],[ProductID]],tblProducts[ProductID],tblProducts[Supplier],"not found")</f>
        <v>Blake Group</v>
      </c>
      <c r="L260" s="1" t="s">
        <v>2102</v>
      </c>
      <c r="M2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45249</v>
      </c>
      <c r="N260">
        <v>5</v>
      </c>
      <c r="O260">
        <v>1887.25</v>
      </c>
      <c r="P260">
        <f>tblOrders[[#This Row],[Quantity]]*tblOrders[[#This Row],[Unit Price]]</f>
        <v>1887.25</v>
      </c>
      <c r="Q260">
        <f>tblOrders[[#This Row],[TotalSales]]-tblOrders[[#This Row],[Calculated Sales]]</f>
        <v>0</v>
      </c>
    </row>
    <row r="261" spans="1:17" x14ac:dyDescent="0.25">
      <c r="A261">
        <v>1948</v>
      </c>
      <c r="B261">
        <v>625</v>
      </c>
      <c r="C261" t="str">
        <f>_xlfn.XLOOKUP(tblOrders[[#This Row],[CustomerID]],tblCustomers[CustomerID],tblCustomers[CustomerName],"not found")</f>
        <v>Michael Whitehead</v>
      </c>
      <c r="D261">
        <f>_xlfn.XLOOKUP(tblOrders[[#This Row],[CustomerID]],tblCustomers[CustomerID],tblCustomers[Age],"not found")</f>
        <v>22</v>
      </c>
      <c r="E261" t="str">
        <f>_xlfn.XLOOKUP(tblOrders[[#This Row],[CustomerID]],tblCustomers[CustomerID],tblCustomers[Gender],"not found")</f>
        <v>Male</v>
      </c>
      <c r="F261" t="str">
        <f>_xlfn.XLOOKUP(tblOrders[[#This Row],[CustomerID]],tblCustomers[CustomerID],tblCustomers[Region],"not found")</f>
        <v>North</v>
      </c>
      <c r="G261">
        <v>1095</v>
      </c>
      <c r="H261" t="str">
        <f>_xlfn.XLOOKUP(tblOrders[[#This Row],[ProductID]],tblProducts[ProductID],tblProducts[ProductName],"not found")</f>
        <v>Industry</v>
      </c>
      <c r="I261" t="str">
        <f>_xlfn.XLOOKUP(tblOrders[[#This Row],[ProductID]],tblProducts[ProductID],tblProducts[Category],"not found")</f>
        <v>Furniture</v>
      </c>
      <c r="J261">
        <f>_xlfn.XLOOKUP(tblOrders[[#This Row],[ProductID]],tblProducts[ProductID],tblProducts[UnitPrice],"not found")</f>
        <v>377.45</v>
      </c>
      <c r="K261" t="str">
        <f>_xlfn.XLOOKUP(tblOrders[[#This Row],[ProductID]],tblProducts[ProductID],tblProducts[Supplier],"not found")</f>
        <v>Blake Group</v>
      </c>
      <c r="L261" s="1" t="s">
        <v>2147</v>
      </c>
      <c r="M2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261">
        <v>3</v>
      </c>
      <c r="O261">
        <v>1132.3499999999999</v>
      </c>
      <c r="P261">
        <f>tblOrders[[#This Row],[Quantity]]*tblOrders[[#This Row],[Unit Price]]</f>
        <v>1132.3499999999999</v>
      </c>
      <c r="Q261">
        <f>tblOrders[[#This Row],[TotalSales]]-tblOrders[[#This Row],[Calculated Sales]]</f>
        <v>0</v>
      </c>
    </row>
    <row r="262" spans="1:17" x14ac:dyDescent="0.25">
      <c r="A262">
        <v>1955</v>
      </c>
      <c r="B262">
        <v>36</v>
      </c>
      <c r="C262" t="str">
        <f>_xlfn.XLOOKUP(tblOrders[[#This Row],[CustomerID]],tblCustomers[CustomerID],tblCustomers[CustomerName],"not found")</f>
        <v>Christopher Thomas</v>
      </c>
      <c r="D262">
        <f>_xlfn.XLOOKUP(tblOrders[[#This Row],[CustomerID]],tblCustomers[CustomerID],tblCustomers[Age],"not found")</f>
        <v>49</v>
      </c>
      <c r="E262" t="str">
        <f>_xlfn.XLOOKUP(tblOrders[[#This Row],[CustomerID]],tblCustomers[CustomerID],tblCustomers[Gender],"not found")</f>
        <v>Female</v>
      </c>
      <c r="F262" t="str">
        <f>_xlfn.XLOOKUP(tblOrders[[#This Row],[CustomerID]],tblCustomers[CustomerID],tblCustomers[Region],"not found")</f>
        <v>East</v>
      </c>
      <c r="G262">
        <v>1095</v>
      </c>
      <c r="H262" t="str">
        <f>_xlfn.XLOOKUP(tblOrders[[#This Row],[ProductID]],tblProducts[ProductID],tblProducts[ProductName],"not found")</f>
        <v>Industry</v>
      </c>
      <c r="I262" t="str">
        <f>_xlfn.XLOOKUP(tblOrders[[#This Row],[ProductID]],tblProducts[ProductID],tblProducts[Category],"not found")</f>
        <v>Furniture</v>
      </c>
      <c r="J262">
        <f>_xlfn.XLOOKUP(tblOrders[[#This Row],[ProductID]],tblProducts[ProductID],tblProducts[UnitPrice],"not found")</f>
        <v>377.45</v>
      </c>
      <c r="K262" t="str">
        <f>_xlfn.XLOOKUP(tblOrders[[#This Row],[ProductID]],tblProducts[ProductID],tblProducts[Supplier],"not found")</f>
        <v>Blake Group</v>
      </c>
      <c r="L262" s="1">
        <v>45048</v>
      </c>
      <c r="M2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45048</v>
      </c>
      <c r="N262">
        <v>3</v>
      </c>
      <c r="O262">
        <v>1132.3499999999999</v>
      </c>
      <c r="P262">
        <f>tblOrders[[#This Row],[Quantity]]*tblOrders[[#This Row],[Unit Price]]</f>
        <v>1132.3499999999999</v>
      </c>
      <c r="Q262">
        <f>tblOrders[[#This Row],[TotalSales]]-tblOrders[[#This Row],[Calculated Sales]]</f>
        <v>0</v>
      </c>
    </row>
    <row r="263" spans="1:17" x14ac:dyDescent="0.25">
      <c r="A263">
        <v>14</v>
      </c>
      <c r="B263">
        <v>27</v>
      </c>
      <c r="C263" t="str">
        <f>_xlfn.XLOOKUP(tblOrders[[#This Row],[CustomerID]],tblCustomers[CustomerID],tblCustomers[CustomerName],"not found")</f>
        <v>Rodney Armstrong</v>
      </c>
      <c r="D263">
        <f>_xlfn.XLOOKUP(tblOrders[[#This Row],[CustomerID]],tblCustomers[CustomerID],tblCustomers[Age],"not found")</f>
        <v>66</v>
      </c>
      <c r="E263" t="str">
        <f>_xlfn.XLOOKUP(tblOrders[[#This Row],[CustomerID]],tblCustomers[CustomerID],tblCustomers[Gender],"not found")</f>
        <v>Female</v>
      </c>
      <c r="F263" t="str">
        <f>_xlfn.XLOOKUP(tblOrders[[#This Row],[CustomerID]],tblCustomers[CustomerID],tblCustomers[Region],"not found")</f>
        <v>East</v>
      </c>
      <c r="G263">
        <v>1055</v>
      </c>
      <c r="H263" t="str">
        <f>_xlfn.XLOOKUP(tblOrders[[#This Row],[ProductID]],tblProducts[ProductID],tblProducts[ProductName],"not found")</f>
        <v>Issue</v>
      </c>
      <c r="I263" t="str">
        <f>_xlfn.XLOOKUP(tblOrders[[#This Row],[ProductID]],tblProducts[ProductID],tblProducts[Category],"not found")</f>
        <v>Toys</v>
      </c>
      <c r="J263">
        <f>_xlfn.XLOOKUP(tblOrders[[#This Row],[ProductID]],tblProducts[ProductID],tblProducts[UnitPrice],"not found")</f>
        <v>286.47000000000003</v>
      </c>
      <c r="K263" t="str">
        <f>_xlfn.XLOOKUP(tblOrders[[#This Row],[ProductID]],tblProducts[ProductID],tblProducts[Supplier],"not found")</f>
        <v>Schmidt LLC</v>
      </c>
      <c r="L263" s="1" t="s">
        <v>2148</v>
      </c>
      <c r="M2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45473</v>
      </c>
      <c r="N263">
        <v>9</v>
      </c>
      <c r="O263">
        <v>2578.23</v>
      </c>
      <c r="P263">
        <f>tblOrders[[#This Row],[Quantity]]*tblOrders[[#This Row],[Unit Price]]</f>
        <v>2578.2300000000005</v>
      </c>
      <c r="Q263">
        <f>tblOrders[[#This Row],[TotalSales]]-tblOrders[[#This Row],[Calculated Sales]]</f>
        <v>0</v>
      </c>
    </row>
    <row r="264" spans="1:17" x14ac:dyDescent="0.25">
      <c r="A264">
        <v>33</v>
      </c>
      <c r="B264">
        <v>532</v>
      </c>
      <c r="C264" t="str">
        <f>_xlfn.XLOOKUP(tblOrders[[#This Row],[CustomerID]],tblCustomers[CustomerID],tblCustomers[CustomerName],"not found")</f>
        <v>Samuel Delacruz</v>
      </c>
      <c r="D264">
        <f>_xlfn.XLOOKUP(tblOrders[[#This Row],[CustomerID]],tblCustomers[CustomerID],tblCustomers[Age],"not found")</f>
        <v>47</v>
      </c>
      <c r="E264" t="str">
        <f>_xlfn.XLOOKUP(tblOrders[[#This Row],[CustomerID]],tblCustomers[CustomerID],tblCustomers[Gender],"not found")</f>
        <v>Female</v>
      </c>
      <c r="F264" t="str">
        <f>_xlfn.XLOOKUP(tblOrders[[#This Row],[CustomerID]],tblCustomers[CustomerID],tblCustomers[Region],"not found")</f>
        <v>West</v>
      </c>
      <c r="G264">
        <v>1055</v>
      </c>
      <c r="H264" t="str">
        <f>_xlfn.XLOOKUP(tblOrders[[#This Row],[ProductID]],tblProducts[ProductID],tblProducts[ProductName],"not found")</f>
        <v>Issue</v>
      </c>
      <c r="I264" t="str">
        <f>_xlfn.XLOOKUP(tblOrders[[#This Row],[ProductID]],tblProducts[ProductID],tblProducts[Category],"not found")</f>
        <v>Toys</v>
      </c>
      <c r="J264">
        <f>_xlfn.XLOOKUP(tblOrders[[#This Row],[ProductID]],tblProducts[ProductID],tblProducts[UnitPrice],"not found")</f>
        <v>286.47000000000003</v>
      </c>
      <c r="K264" t="str">
        <f>_xlfn.XLOOKUP(tblOrders[[#This Row],[ProductID]],tblProducts[ProductID],tblProducts[Supplier],"not found")</f>
        <v>Schmidt LLC</v>
      </c>
      <c r="L264" s="1">
        <v>44931</v>
      </c>
      <c r="M2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44931</v>
      </c>
      <c r="N264">
        <v>5</v>
      </c>
      <c r="O264">
        <v>1432.35</v>
      </c>
      <c r="P264">
        <f>tblOrders[[#This Row],[Quantity]]*tblOrders[[#This Row],[Unit Price]]</f>
        <v>1432.3500000000001</v>
      </c>
      <c r="Q264">
        <f>tblOrders[[#This Row],[TotalSales]]-tblOrders[[#This Row],[Calculated Sales]]</f>
        <v>0</v>
      </c>
    </row>
    <row r="265" spans="1:17" x14ac:dyDescent="0.25">
      <c r="A265">
        <v>74</v>
      </c>
      <c r="B265">
        <v>84</v>
      </c>
      <c r="C265" t="str">
        <f>_xlfn.XLOOKUP(tblOrders[[#This Row],[CustomerID]],tblCustomers[CustomerID],tblCustomers[CustomerName],"not found")</f>
        <v>Christian Lee</v>
      </c>
      <c r="D265">
        <f>_xlfn.XLOOKUP(tblOrders[[#This Row],[CustomerID]],tblCustomers[CustomerID],tblCustomers[Age],"not found")</f>
        <v>29</v>
      </c>
      <c r="E265" t="str">
        <f>_xlfn.XLOOKUP(tblOrders[[#This Row],[CustomerID]],tblCustomers[CustomerID],tblCustomers[Gender],"not found")</f>
        <v>Male</v>
      </c>
      <c r="F265" t="str">
        <f>_xlfn.XLOOKUP(tblOrders[[#This Row],[CustomerID]],tblCustomers[CustomerID],tblCustomers[Region],"not found")</f>
        <v>South</v>
      </c>
      <c r="G265">
        <v>1055</v>
      </c>
      <c r="H265" t="str">
        <f>_xlfn.XLOOKUP(tblOrders[[#This Row],[ProductID]],tblProducts[ProductID],tblProducts[ProductName],"not found")</f>
        <v>Issue</v>
      </c>
      <c r="I265" t="str">
        <f>_xlfn.XLOOKUP(tblOrders[[#This Row],[ProductID]],tblProducts[ProductID],tblProducts[Category],"not found")</f>
        <v>Toys</v>
      </c>
      <c r="J265">
        <f>_xlfn.XLOOKUP(tblOrders[[#This Row],[ProductID]],tblProducts[ProductID],tblProducts[UnitPrice],"not found")</f>
        <v>286.47000000000003</v>
      </c>
      <c r="K265" t="str">
        <f>_xlfn.XLOOKUP(tblOrders[[#This Row],[ProductID]],tblProducts[ProductID],tblProducts[Supplier],"not found")</f>
        <v>Schmidt LLC</v>
      </c>
      <c r="L265" s="1" t="s">
        <v>2071</v>
      </c>
      <c r="M2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45555</v>
      </c>
      <c r="N265">
        <v>5</v>
      </c>
      <c r="O265">
        <v>1432.35</v>
      </c>
      <c r="P265">
        <f>tblOrders[[#This Row],[Quantity]]*tblOrders[[#This Row],[Unit Price]]</f>
        <v>1432.3500000000001</v>
      </c>
      <c r="Q265">
        <f>tblOrders[[#This Row],[TotalSales]]-tblOrders[[#This Row],[Calculated Sales]]</f>
        <v>0</v>
      </c>
    </row>
    <row r="266" spans="1:17" x14ac:dyDescent="0.25">
      <c r="A266">
        <v>111</v>
      </c>
      <c r="B266">
        <v>746</v>
      </c>
      <c r="C266" t="str">
        <f>_xlfn.XLOOKUP(tblOrders[[#This Row],[CustomerID]],tblCustomers[CustomerID],tblCustomers[CustomerName],"not found")</f>
        <v>Miss Katherine White</v>
      </c>
      <c r="D266">
        <f>_xlfn.XLOOKUP(tblOrders[[#This Row],[CustomerID]],tblCustomers[CustomerID],tblCustomers[Age],"not found")</f>
        <v>45</v>
      </c>
      <c r="E266" t="str">
        <f>_xlfn.XLOOKUP(tblOrders[[#This Row],[CustomerID]],tblCustomers[CustomerID],tblCustomers[Gender],"not found")</f>
        <v>Female</v>
      </c>
      <c r="F266" t="str">
        <f>_xlfn.XLOOKUP(tblOrders[[#This Row],[CustomerID]],tblCustomers[CustomerID],tblCustomers[Region],"not found")</f>
        <v>Central</v>
      </c>
      <c r="G266">
        <v>1055</v>
      </c>
      <c r="H266" t="str">
        <f>_xlfn.XLOOKUP(tblOrders[[#This Row],[ProductID]],tblProducts[ProductID],tblProducts[ProductName],"not found")</f>
        <v>Issue</v>
      </c>
      <c r="I266" t="str">
        <f>_xlfn.XLOOKUP(tblOrders[[#This Row],[ProductID]],tblProducts[ProductID],tblProducts[Category],"not found")</f>
        <v>Toys</v>
      </c>
      <c r="J266">
        <f>_xlfn.XLOOKUP(tblOrders[[#This Row],[ProductID]],tblProducts[ProductID],tblProducts[UnitPrice],"not found")</f>
        <v>286.47000000000003</v>
      </c>
      <c r="K266" t="str">
        <f>_xlfn.XLOOKUP(tblOrders[[#This Row],[ProductID]],tblProducts[ProductID],tblProducts[Supplier],"not found")</f>
        <v>Schmidt LLC</v>
      </c>
      <c r="L266" s="1" t="s">
        <v>2121</v>
      </c>
      <c r="M2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45487</v>
      </c>
      <c r="N266">
        <v>9</v>
      </c>
      <c r="O266">
        <v>2578.23</v>
      </c>
      <c r="P266">
        <f>tblOrders[[#This Row],[Quantity]]*tblOrders[[#This Row],[Unit Price]]</f>
        <v>2578.2300000000005</v>
      </c>
      <c r="Q266">
        <f>tblOrders[[#This Row],[TotalSales]]-tblOrders[[#This Row],[Calculated Sales]]</f>
        <v>0</v>
      </c>
    </row>
    <row r="267" spans="1:17" x14ac:dyDescent="0.25">
      <c r="A267">
        <v>236</v>
      </c>
      <c r="B267">
        <v>155</v>
      </c>
      <c r="C267" t="str">
        <f>_xlfn.XLOOKUP(tblOrders[[#This Row],[CustomerID]],tblCustomers[CustomerID],tblCustomers[CustomerName],"not found")</f>
        <v>Theresa Johnson</v>
      </c>
      <c r="D267">
        <f>_xlfn.XLOOKUP(tblOrders[[#This Row],[CustomerID]],tblCustomers[CustomerID],tblCustomers[Age],"not found")</f>
        <v>50</v>
      </c>
      <c r="E267" t="str">
        <f>_xlfn.XLOOKUP(tblOrders[[#This Row],[CustomerID]],tblCustomers[CustomerID],tblCustomers[Gender],"not found")</f>
        <v>Female</v>
      </c>
      <c r="F267" t="str">
        <f>_xlfn.XLOOKUP(tblOrders[[#This Row],[CustomerID]],tblCustomers[CustomerID],tblCustomers[Region],"not found")</f>
        <v>East</v>
      </c>
      <c r="G267">
        <v>1055</v>
      </c>
      <c r="H267" t="str">
        <f>_xlfn.XLOOKUP(tblOrders[[#This Row],[ProductID]],tblProducts[ProductID],tblProducts[ProductName],"not found")</f>
        <v>Issue</v>
      </c>
      <c r="I267" t="str">
        <f>_xlfn.XLOOKUP(tblOrders[[#This Row],[ProductID]],tblProducts[ProductID],tblProducts[Category],"not found")</f>
        <v>Toys</v>
      </c>
      <c r="J267">
        <f>_xlfn.XLOOKUP(tblOrders[[#This Row],[ProductID]],tblProducts[ProductID],tblProducts[UnitPrice],"not found")</f>
        <v>286.47000000000003</v>
      </c>
      <c r="K267" t="str">
        <f>_xlfn.XLOOKUP(tblOrders[[#This Row],[ProductID]],tblProducts[ProductID],tblProducts[Supplier],"not found")</f>
        <v>Schmidt LLC</v>
      </c>
      <c r="L267" s="1">
        <v>45386</v>
      </c>
      <c r="M2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45386</v>
      </c>
      <c r="N267">
        <v>9</v>
      </c>
      <c r="O267">
        <v>2578.23</v>
      </c>
      <c r="P267">
        <f>tblOrders[[#This Row],[Quantity]]*tblOrders[[#This Row],[Unit Price]]</f>
        <v>2578.2300000000005</v>
      </c>
      <c r="Q267">
        <f>tblOrders[[#This Row],[TotalSales]]-tblOrders[[#This Row],[Calculated Sales]]</f>
        <v>0</v>
      </c>
    </row>
    <row r="268" spans="1:17" x14ac:dyDescent="0.25">
      <c r="A268">
        <v>406</v>
      </c>
      <c r="B268">
        <v>212</v>
      </c>
      <c r="C268" t="str">
        <f>_xlfn.XLOOKUP(tblOrders[[#This Row],[CustomerID]],tblCustomers[CustomerID],tblCustomers[CustomerName],"not found")</f>
        <v>Lori Herman</v>
      </c>
      <c r="D268">
        <f>_xlfn.XLOOKUP(tblOrders[[#This Row],[CustomerID]],tblCustomers[CustomerID],tblCustomers[Age],"not found")</f>
        <v>65</v>
      </c>
      <c r="E268" t="str">
        <f>_xlfn.XLOOKUP(tblOrders[[#This Row],[CustomerID]],tblCustomers[CustomerID],tblCustomers[Gender],"not found")</f>
        <v>Female</v>
      </c>
      <c r="F268" t="str">
        <f>_xlfn.XLOOKUP(tblOrders[[#This Row],[CustomerID]],tblCustomers[CustomerID],tblCustomers[Region],"not found")</f>
        <v>East</v>
      </c>
      <c r="G268">
        <v>1055</v>
      </c>
      <c r="H268" t="str">
        <f>_xlfn.XLOOKUP(tblOrders[[#This Row],[ProductID]],tblProducts[ProductID],tblProducts[ProductName],"not found")</f>
        <v>Issue</v>
      </c>
      <c r="I268" t="str">
        <f>_xlfn.XLOOKUP(tblOrders[[#This Row],[ProductID]],tblProducts[ProductID],tblProducts[Category],"not found")</f>
        <v>Toys</v>
      </c>
      <c r="J268">
        <f>_xlfn.XLOOKUP(tblOrders[[#This Row],[ProductID]],tblProducts[ProductID],tblProducts[UnitPrice],"not found")</f>
        <v>286.47000000000003</v>
      </c>
      <c r="K268" t="str">
        <f>_xlfn.XLOOKUP(tblOrders[[#This Row],[ProductID]],tblProducts[ProductID],tblProducts[Supplier],"not found")</f>
        <v>Schmidt LLC</v>
      </c>
      <c r="L268" s="1" t="s">
        <v>2149</v>
      </c>
      <c r="M2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45257</v>
      </c>
      <c r="N268">
        <v>3</v>
      </c>
      <c r="O268">
        <v>859.41</v>
      </c>
      <c r="P268">
        <f>tblOrders[[#This Row],[Quantity]]*tblOrders[[#This Row],[Unit Price]]</f>
        <v>859.41000000000008</v>
      </c>
      <c r="Q268">
        <f>tblOrders[[#This Row],[TotalSales]]-tblOrders[[#This Row],[Calculated Sales]]</f>
        <v>0</v>
      </c>
    </row>
    <row r="269" spans="1:17" x14ac:dyDescent="0.25">
      <c r="A269">
        <v>557</v>
      </c>
      <c r="B269">
        <v>873</v>
      </c>
      <c r="C269" t="str">
        <f>_xlfn.XLOOKUP(tblOrders[[#This Row],[CustomerID]],tblCustomers[CustomerID],tblCustomers[CustomerName],"not found")</f>
        <v>Vanessa Dunn</v>
      </c>
      <c r="D269">
        <f>_xlfn.XLOOKUP(tblOrders[[#This Row],[CustomerID]],tblCustomers[CustomerID],tblCustomers[Age],"not found")</f>
        <v>40</v>
      </c>
      <c r="E269" t="str">
        <f>_xlfn.XLOOKUP(tblOrders[[#This Row],[CustomerID]],tblCustomers[CustomerID],tblCustomers[Gender],"not found")</f>
        <v>Male</v>
      </c>
      <c r="F269" t="str">
        <f>_xlfn.XLOOKUP(tblOrders[[#This Row],[CustomerID]],tblCustomers[CustomerID],tblCustomers[Region],"not found")</f>
        <v>West</v>
      </c>
      <c r="G269">
        <v>1055</v>
      </c>
      <c r="H269" t="str">
        <f>_xlfn.XLOOKUP(tblOrders[[#This Row],[ProductID]],tblProducts[ProductID],tblProducts[ProductName],"not found")</f>
        <v>Issue</v>
      </c>
      <c r="I269" t="str">
        <f>_xlfn.XLOOKUP(tblOrders[[#This Row],[ProductID]],tblProducts[ProductID],tblProducts[Category],"not found")</f>
        <v>Toys</v>
      </c>
      <c r="J269">
        <f>_xlfn.XLOOKUP(tblOrders[[#This Row],[ProductID]],tblProducts[ProductID],tblProducts[UnitPrice],"not found")</f>
        <v>286.47000000000003</v>
      </c>
      <c r="K269" t="str">
        <f>_xlfn.XLOOKUP(tblOrders[[#This Row],[ProductID]],tblProducts[ProductID],tblProducts[Supplier],"not found")</f>
        <v>Schmidt LLC</v>
      </c>
      <c r="L269" s="1" t="s">
        <v>2150</v>
      </c>
      <c r="M2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45410</v>
      </c>
      <c r="N269">
        <v>1</v>
      </c>
      <c r="O269">
        <v>286.47000000000003</v>
      </c>
      <c r="P269">
        <f>tblOrders[[#This Row],[Quantity]]*tblOrders[[#This Row],[Unit Price]]</f>
        <v>286.47000000000003</v>
      </c>
      <c r="Q269">
        <f>tblOrders[[#This Row],[TotalSales]]-tblOrders[[#This Row],[Calculated Sales]]</f>
        <v>0</v>
      </c>
    </row>
    <row r="270" spans="1:17" x14ac:dyDescent="0.25">
      <c r="A270">
        <v>713</v>
      </c>
      <c r="B270">
        <v>81</v>
      </c>
      <c r="C270" t="str">
        <f>_xlfn.XLOOKUP(tblOrders[[#This Row],[CustomerID]],tblCustomers[CustomerID],tblCustomers[CustomerName],"not found")</f>
        <v>Christopher Carter</v>
      </c>
      <c r="D270">
        <f>_xlfn.XLOOKUP(tblOrders[[#This Row],[CustomerID]],tblCustomers[CustomerID],tblCustomers[Age],"not found")</f>
        <v>25</v>
      </c>
      <c r="E270" t="str">
        <f>_xlfn.XLOOKUP(tblOrders[[#This Row],[CustomerID]],tblCustomers[CustomerID],tblCustomers[Gender],"not found")</f>
        <v>Male</v>
      </c>
      <c r="F270" t="str">
        <f>_xlfn.XLOOKUP(tblOrders[[#This Row],[CustomerID]],tblCustomers[CustomerID],tblCustomers[Region],"not found")</f>
        <v>North</v>
      </c>
      <c r="G270">
        <v>1055</v>
      </c>
      <c r="H270" t="str">
        <f>_xlfn.XLOOKUP(tblOrders[[#This Row],[ProductID]],tblProducts[ProductID],tblProducts[ProductName],"not found")</f>
        <v>Issue</v>
      </c>
      <c r="I270" t="str">
        <f>_xlfn.XLOOKUP(tblOrders[[#This Row],[ProductID]],tblProducts[ProductID],tblProducts[Category],"not found")</f>
        <v>Toys</v>
      </c>
      <c r="J270">
        <f>_xlfn.XLOOKUP(tblOrders[[#This Row],[ProductID]],tblProducts[ProductID],tblProducts[UnitPrice],"not found")</f>
        <v>286.47000000000003</v>
      </c>
      <c r="K270" t="str">
        <f>_xlfn.XLOOKUP(tblOrders[[#This Row],[ProductID]],tblProducts[ProductID],tblProducts[Supplier],"not found")</f>
        <v>Schmidt LLC</v>
      </c>
      <c r="L270" s="1" t="s">
        <v>2012</v>
      </c>
      <c r="M2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44911</v>
      </c>
      <c r="N270">
        <v>3</v>
      </c>
      <c r="O270">
        <v>859.41</v>
      </c>
      <c r="P270">
        <f>tblOrders[[#This Row],[Quantity]]*tblOrders[[#This Row],[Unit Price]]</f>
        <v>859.41000000000008</v>
      </c>
      <c r="Q270">
        <f>tblOrders[[#This Row],[TotalSales]]-tblOrders[[#This Row],[Calculated Sales]]</f>
        <v>0</v>
      </c>
    </row>
    <row r="271" spans="1:17" x14ac:dyDescent="0.25">
      <c r="A271">
        <v>770</v>
      </c>
      <c r="B271">
        <v>555</v>
      </c>
      <c r="C271" t="str">
        <f>_xlfn.XLOOKUP(tblOrders[[#This Row],[CustomerID]],tblCustomers[CustomerID],tblCustomers[CustomerName],"not found")</f>
        <v>Sharon Vincent</v>
      </c>
      <c r="D271">
        <f>_xlfn.XLOOKUP(tblOrders[[#This Row],[CustomerID]],tblCustomers[CustomerID],tblCustomers[Age],"not found")</f>
        <v>24</v>
      </c>
      <c r="E271" t="str">
        <f>_xlfn.XLOOKUP(tblOrders[[#This Row],[CustomerID]],tblCustomers[CustomerID],tblCustomers[Gender],"not found")</f>
        <v>Female</v>
      </c>
      <c r="F271" t="str">
        <f>_xlfn.XLOOKUP(tblOrders[[#This Row],[CustomerID]],tblCustomers[CustomerID],tblCustomers[Region],"not found")</f>
        <v>West</v>
      </c>
      <c r="G271">
        <v>1055</v>
      </c>
      <c r="H271" t="str">
        <f>_xlfn.XLOOKUP(tblOrders[[#This Row],[ProductID]],tblProducts[ProductID],tblProducts[ProductName],"not found")</f>
        <v>Issue</v>
      </c>
      <c r="I271" t="str">
        <f>_xlfn.XLOOKUP(tblOrders[[#This Row],[ProductID]],tblProducts[ProductID],tblProducts[Category],"not found")</f>
        <v>Toys</v>
      </c>
      <c r="J271">
        <f>_xlfn.XLOOKUP(tblOrders[[#This Row],[ProductID]],tblProducts[ProductID],tblProducts[UnitPrice],"not found")</f>
        <v>286.47000000000003</v>
      </c>
      <c r="K271" t="str">
        <f>_xlfn.XLOOKUP(tblOrders[[#This Row],[ProductID]],tblProducts[ProductID],tblProducts[Supplier],"not found")</f>
        <v>Schmidt LLC</v>
      </c>
      <c r="L271" s="1" t="s">
        <v>2010</v>
      </c>
      <c r="M2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44886</v>
      </c>
      <c r="N271">
        <v>3</v>
      </c>
      <c r="O271">
        <v>859.41</v>
      </c>
      <c r="P271">
        <f>tblOrders[[#This Row],[Quantity]]*tblOrders[[#This Row],[Unit Price]]</f>
        <v>859.41000000000008</v>
      </c>
      <c r="Q271">
        <f>tblOrders[[#This Row],[TotalSales]]-tblOrders[[#This Row],[Calculated Sales]]</f>
        <v>0</v>
      </c>
    </row>
    <row r="272" spans="1:17" x14ac:dyDescent="0.25">
      <c r="A272">
        <v>1029</v>
      </c>
      <c r="B272">
        <v>185</v>
      </c>
      <c r="C272" t="str">
        <f>_xlfn.XLOOKUP(tblOrders[[#This Row],[CustomerID]],tblCustomers[CustomerID],tblCustomers[CustomerName],"not found")</f>
        <v>Angela Gregory</v>
      </c>
      <c r="D272">
        <f>_xlfn.XLOOKUP(tblOrders[[#This Row],[CustomerID]],tblCustomers[CustomerID],tblCustomers[Age],"not found")</f>
        <v>40</v>
      </c>
      <c r="E272" t="str">
        <f>_xlfn.XLOOKUP(tblOrders[[#This Row],[CustomerID]],tblCustomers[CustomerID],tblCustomers[Gender],"not found")</f>
        <v>Male</v>
      </c>
      <c r="F272" t="str">
        <f>_xlfn.XLOOKUP(tblOrders[[#This Row],[CustomerID]],tblCustomers[CustomerID],tblCustomers[Region],"not found")</f>
        <v>North</v>
      </c>
      <c r="G272">
        <v>1055</v>
      </c>
      <c r="H272" t="str">
        <f>_xlfn.XLOOKUP(tblOrders[[#This Row],[ProductID]],tblProducts[ProductID],tblProducts[ProductName],"not found")</f>
        <v>Issue</v>
      </c>
      <c r="I272" t="str">
        <f>_xlfn.XLOOKUP(tblOrders[[#This Row],[ProductID]],tblProducts[ProductID],tblProducts[Category],"not found")</f>
        <v>Toys</v>
      </c>
      <c r="J272">
        <f>_xlfn.XLOOKUP(tblOrders[[#This Row],[ProductID]],tblProducts[ProductID],tblProducts[UnitPrice],"not found")</f>
        <v>286.47000000000003</v>
      </c>
      <c r="K272" t="str">
        <f>_xlfn.XLOOKUP(tblOrders[[#This Row],[ProductID]],tblProducts[ProductID],tblProducts[Supplier],"not found")</f>
        <v>Schmidt LLC</v>
      </c>
      <c r="L272" s="1">
        <v>45481</v>
      </c>
      <c r="M2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45481</v>
      </c>
      <c r="N272">
        <v>4</v>
      </c>
      <c r="O272">
        <v>1145.8800000000001</v>
      </c>
      <c r="P272">
        <f>tblOrders[[#This Row],[Quantity]]*tblOrders[[#This Row],[Unit Price]]</f>
        <v>1145.8800000000001</v>
      </c>
      <c r="Q272">
        <f>tblOrders[[#This Row],[TotalSales]]-tblOrders[[#This Row],[Calculated Sales]]</f>
        <v>0</v>
      </c>
    </row>
    <row r="273" spans="1:17" x14ac:dyDescent="0.25">
      <c r="A273">
        <v>1105</v>
      </c>
      <c r="B273">
        <v>65</v>
      </c>
      <c r="C273" t="str">
        <f>_xlfn.XLOOKUP(tblOrders[[#This Row],[CustomerID]],tblCustomers[CustomerID],tblCustomers[CustomerName],"not found")</f>
        <v>Nicole Weeks</v>
      </c>
      <c r="D273">
        <f>_xlfn.XLOOKUP(tblOrders[[#This Row],[CustomerID]],tblCustomers[CustomerID],tblCustomers[Age],"not found")</f>
        <v>46</v>
      </c>
      <c r="E273" t="str">
        <f>_xlfn.XLOOKUP(tblOrders[[#This Row],[CustomerID]],tblCustomers[CustomerID],tblCustomers[Gender],"not found")</f>
        <v>Male</v>
      </c>
      <c r="F273" t="str">
        <f>_xlfn.XLOOKUP(tblOrders[[#This Row],[CustomerID]],tblCustomers[CustomerID],tblCustomers[Region],"not found")</f>
        <v>Central</v>
      </c>
      <c r="G273">
        <v>1055</v>
      </c>
      <c r="H273" t="str">
        <f>_xlfn.XLOOKUP(tblOrders[[#This Row],[ProductID]],tblProducts[ProductID],tblProducts[ProductName],"not found")</f>
        <v>Issue</v>
      </c>
      <c r="I273" t="str">
        <f>_xlfn.XLOOKUP(tblOrders[[#This Row],[ProductID]],tblProducts[ProductID],tblProducts[Category],"not found")</f>
        <v>Toys</v>
      </c>
      <c r="J273">
        <f>_xlfn.XLOOKUP(tblOrders[[#This Row],[ProductID]],tblProducts[ProductID],tblProducts[UnitPrice],"not found")</f>
        <v>286.47000000000003</v>
      </c>
      <c r="K273" t="str">
        <f>_xlfn.XLOOKUP(tblOrders[[#This Row],[ProductID]],tblProducts[ProductID],tblProducts[Supplier],"not found")</f>
        <v>Schmidt LLC</v>
      </c>
      <c r="L273" s="1" t="s">
        <v>2151</v>
      </c>
      <c r="M2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45218</v>
      </c>
      <c r="N273">
        <v>4</v>
      </c>
      <c r="O273">
        <v>1145.8800000000001</v>
      </c>
      <c r="P273">
        <f>tblOrders[[#This Row],[Quantity]]*tblOrders[[#This Row],[Unit Price]]</f>
        <v>1145.8800000000001</v>
      </c>
      <c r="Q273">
        <f>tblOrders[[#This Row],[TotalSales]]-tblOrders[[#This Row],[Calculated Sales]]</f>
        <v>0</v>
      </c>
    </row>
    <row r="274" spans="1:17" x14ac:dyDescent="0.25">
      <c r="A274">
        <v>1134</v>
      </c>
      <c r="B274">
        <v>651</v>
      </c>
      <c r="C274" t="str">
        <f>_xlfn.XLOOKUP(tblOrders[[#This Row],[CustomerID]],tblCustomers[CustomerID],tblCustomers[CustomerName],"not found")</f>
        <v>Jillian Haas</v>
      </c>
      <c r="D274">
        <f>_xlfn.XLOOKUP(tblOrders[[#This Row],[CustomerID]],tblCustomers[CustomerID],tblCustomers[Age],"not found")</f>
        <v>26</v>
      </c>
      <c r="E274" t="str">
        <f>_xlfn.XLOOKUP(tblOrders[[#This Row],[CustomerID]],tblCustomers[CustomerID],tblCustomers[Gender],"not found")</f>
        <v>Female</v>
      </c>
      <c r="F274" t="str">
        <f>_xlfn.XLOOKUP(tblOrders[[#This Row],[CustomerID]],tblCustomers[CustomerID],tblCustomers[Region],"not found")</f>
        <v>Central</v>
      </c>
      <c r="G274">
        <v>1055</v>
      </c>
      <c r="H274" t="str">
        <f>_xlfn.XLOOKUP(tblOrders[[#This Row],[ProductID]],tblProducts[ProductID],tblProducts[ProductName],"not found")</f>
        <v>Issue</v>
      </c>
      <c r="I274" t="str">
        <f>_xlfn.XLOOKUP(tblOrders[[#This Row],[ProductID]],tblProducts[ProductID],tblProducts[Category],"not found")</f>
        <v>Toys</v>
      </c>
      <c r="J274">
        <f>_xlfn.XLOOKUP(tblOrders[[#This Row],[ProductID]],tblProducts[ProductID],tblProducts[UnitPrice],"not found")</f>
        <v>286.47000000000003</v>
      </c>
      <c r="K274" t="str">
        <f>_xlfn.XLOOKUP(tblOrders[[#This Row],[ProductID]],tblProducts[ProductID],tblProducts[Supplier],"not found")</f>
        <v>Schmidt LLC</v>
      </c>
      <c r="L274" s="1">
        <v>44958</v>
      </c>
      <c r="M2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44958</v>
      </c>
      <c r="N274">
        <v>6</v>
      </c>
      <c r="O274">
        <v>1718.82</v>
      </c>
      <c r="P274">
        <f>tblOrders[[#This Row],[Quantity]]*tblOrders[[#This Row],[Unit Price]]</f>
        <v>1718.8200000000002</v>
      </c>
      <c r="Q274">
        <f>tblOrders[[#This Row],[TotalSales]]-tblOrders[[#This Row],[Calculated Sales]]</f>
        <v>0</v>
      </c>
    </row>
    <row r="275" spans="1:17" x14ac:dyDescent="0.25">
      <c r="A275">
        <v>1544</v>
      </c>
      <c r="B275">
        <v>76</v>
      </c>
      <c r="C275" t="str">
        <f>_xlfn.XLOOKUP(tblOrders[[#This Row],[CustomerID]],tblCustomers[CustomerID],tblCustomers[CustomerName],"not found")</f>
        <v>Monica Ross</v>
      </c>
      <c r="D275">
        <f>_xlfn.XLOOKUP(tblOrders[[#This Row],[CustomerID]],tblCustomers[CustomerID],tblCustomers[Age],"not found")</f>
        <v>67</v>
      </c>
      <c r="E275" t="str">
        <f>_xlfn.XLOOKUP(tblOrders[[#This Row],[CustomerID]],tblCustomers[CustomerID],tblCustomers[Gender],"not found")</f>
        <v>Male</v>
      </c>
      <c r="F275" t="str">
        <f>_xlfn.XLOOKUP(tblOrders[[#This Row],[CustomerID]],tblCustomers[CustomerID],tblCustomers[Region],"not found")</f>
        <v>North</v>
      </c>
      <c r="G275">
        <v>1055</v>
      </c>
      <c r="H275" t="str">
        <f>_xlfn.XLOOKUP(tblOrders[[#This Row],[ProductID]],tblProducts[ProductID],tblProducts[ProductName],"not found")</f>
        <v>Issue</v>
      </c>
      <c r="I275" t="str">
        <f>_xlfn.XLOOKUP(tblOrders[[#This Row],[ProductID]],tblProducts[ProductID],tblProducts[Category],"not found")</f>
        <v>Toys</v>
      </c>
      <c r="J275">
        <f>_xlfn.XLOOKUP(tblOrders[[#This Row],[ProductID]],tblProducts[ProductID],tblProducts[UnitPrice],"not found")</f>
        <v>286.47000000000003</v>
      </c>
      <c r="K275" t="str">
        <f>_xlfn.XLOOKUP(tblOrders[[#This Row],[ProductID]],tblProducts[ProductID],tblProducts[Supplier],"not found")</f>
        <v>Schmidt LLC</v>
      </c>
      <c r="L275" s="1">
        <v>45415</v>
      </c>
      <c r="M2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45415</v>
      </c>
      <c r="N275">
        <v>2</v>
      </c>
      <c r="O275">
        <v>572.94000000000005</v>
      </c>
      <c r="P275">
        <f>tblOrders[[#This Row],[Quantity]]*tblOrders[[#This Row],[Unit Price]]</f>
        <v>572.94000000000005</v>
      </c>
      <c r="Q275">
        <f>tblOrders[[#This Row],[TotalSales]]-tblOrders[[#This Row],[Calculated Sales]]</f>
        <v>0</v>
      </c>
    </row>
    <row r="276" spans="1:17" x14ac:dyDescent="0.25">
      <c r="A276">
        <v>1571</v>
      </c>
      <c r="B276">
        <v>851</v>
      </c>
      <c r="C276" t="str">
        <f>_xlfn.XLOOKUP(tblOrders[[#This Row],[CustomerID]],tblCustomers[CustomerID],tblCustomers[CustomerName],"not found")</f>
        <v>Charles Mckee</v>
      </c>
      <c r="D276">
        <f>_xlfn.XLOOKUP(tblOrders[[#This Row],[CustomerID]],tblCustomers[CustomerID],tblCustomers[Age],"not found")</f>
        <v>57</v>
      </c>
      <c r="E276" t="str">
        <f>_xlfn.XLOOKUP(tblOrders[[#This Row],[CustomerID]],tblCustomers[CustomerID],tblCustomers[Gender],"not found")</f>
        <v>Male</v>
      </c>
      <c r="F276" t="str">
        <f>_xlfn.XLOOKUP(tblOrders[[#This Row],[CustomerID]],tblCustomers[CustomerID],tblCustomers[Region],"not found")</f>
        <v>East</v>
      </c>
      <c r="G276">
        <v>1055</v>
      </c>
      <c r="H276" t="str">
        <f>_xlfn.XLOOKUP(tblOrders[[#This Row],[ProductID]],tblProducts[ProductID],tblProducts[ProductName],"not found")</f>
        <v>Issue</v>
      </c>
      <c r="I276" t="str">
        <f>_xlfn.XLOOKUP(tblOrders[[#This Row],[ProductID]],tblProducts[ProductID],tblProducts[Category],"not found")</f>
        <v>Toys</v>
      </c>
      <c r="J276">
        <f>_xlfn.XLOOKUP(tblOrders[[#This Row],[ProductID]],tblProducts[ProductID],tblProducts[UnitPrice],"not found")</f>
        <v>286.47000000000003</v>
      </c>
      <c r="K276" t="str">
        <f>_xlfn.XLOOKUP(tblOrders[[#This Row],[ProductID]],tblProducts[ProductID],tblProducts[Supplier],"not found")</f>
        <v>Schmidt LLC</v>
      </c>
      <c r="L276" s="1" t="s">
        <v>2152</v>
      </c>
      <c r="M2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45314</v>
      </c>
      <c r="N276">
        <v>5</v>
      </c>
      <c r="O276">
        <v>1432.35</v>
      </c>
      <c r="P276">
        <f>tblOrders[[#This Row],[Quantity]]*tblOrders[[#This Row],[Unit Price]]</f>
        <v>1432.3500000000001</v>
      </c>
      <c r="Q276">
        <f>tblOrders[[#This Row],[TotalSales]]-tblOrders[[#This Row],[Calculated Sales]]</f>
        <v>0</v>
      </c>
    </row>
    <row r="277" spans="1:17" x14ac:dyDescent="0.25">
      <c r="A277">
        <v>1615</v>
      </c>
      <c r="B277">
        <v>837</v>
      </c>
      <c r="C277" t="str">
        <f>_xlfn.XLOOKUP(tblOrders[[#This Row],[CustomerID]],tblCustomers[CustomerID],tblCustomers[CustomerName],"not found")</f>
        <v>Sarah Costa</v>
      </c>
      <c r="D277">
        <f>_xlfn.XLOOKUP(tblOrders[[#This Row],[CustomerID]],tblCustomers[CustomerID],tblCustomers[Age],"not found")</f>
        <v>46</v>
      </c>
      <c r="E277" t="str">
        <f>_xlfn.XLOOKUP(tblOrders[[#This Row],[CustomerID]],tblCustomers[CustomerID],tblCustomers[Gender],"not found")</f>
        <v>Male</v>
      </c>
      <c r="F277" t="str">
        <f>_xlfn.XLOOKUP(tblOrders[[#This Row],[CustomerID]],tblCustomers[CustomerID],tblCustomers[Region],"not found")</f>
        <v>Central</v>
      </c>
      <c r="G277">
        <v>1055</v>
      </c>
      <c r="H277" t="str">
        <f>_xlfn.XLOOKUP(tblOrders[[#This Row],[ProductID]],tblProducts[ProductID],tblProducts[ProductName],"not found")</f>
        <v>Issue</v>
      </c>
      <c r="I277" t="str">
        <f>_xlfn.XLOOKUP(tblOrders[[#This Row],[ProductID]],tblProducts[ProductID],tblProducts[Category],"not found")</f>
        <v>Toys</v>
      </c>
      <c r="J277">
        <f>_xlfn.XLOOKUP(tblOrders[[#This Row],[ProductID]],tblProducts[ProductID],tblProducts[UnitPrice],"not found")</f>
        <v>286.47000000000003</v>
      </c>
      <c r="K277" t="str">
        <f>_xlfn.XLOOKUP(tblOrders[[#This Row],[ProductID]],tblProducts[ProductID],tblProducts[Supplier],"not found")</f>
        <v>Schmidt LLC</v>
      </c>
      <c r="L277" s="1" t="s">
        <v>2153</v>
      </c>
      <c r="M2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44985</v>
      </c>
      <c r="N277">
        <v>3</v>
      </c>
      <c r="O277">
        <v>859.41</v>
      </c>
      <c r="P277">
        <f>tblOrders[[#This Row],[Quantity]]*tblOrders[[#This Row],[Unit Price]]</f>
        <v>859.41000000000008</v>
      </c>
      <c r="Q277">
        <f>tblOrders[[#This Row],[TotalSales]]-tblOrders[[#This Row],[Calculated Sales]]</f>
        <v>0</v>
      </c>
    </row>
    <row r="278" spans="1:17" x14ac:dyDescent="0.25">
      <c r="A278">
        <v>1725</v>
      </c>
      <c r="B278">
        <v>647</v>
      </c>
      <c r="C278" t="str">
        <f>_xlfn.XLOOKUP(tblOrders[[#This Row],[CustomerID]],tblCustomers[CustomerID],tblCustomers[CustomerName],"not found")</f>
        <v>Sherry Dickerson</v>
      </c>
      <c r="D278">
        <f>_xlfn.XLOOKUP(tblOrders[[#This Row],[CustomerID]],tblCustomers[CustomerID],tblCustomers[Age],"not found")</f>
        <v>58</v>
      </c>
      <c r="E278" t="str">
        <f>_xlfn.XLOOKUP(tblOrders[[#This Row],[CustomerID]],tblCustomers[CustomerID],tblCustomers[Gender],"not found")</f>
        <v>Female</v>
      </c>
      <c r="F278" t="str">
        <f>_xlfn.XLOOKUP(tblOrders[[#This Row],[CustomerID]],tblCustomers[CustomerID],tblCustomers[Region],"not found")</f>
        <v>West</v>
      </c>
      <c r="G278">
        <v>1055</v>
      </c>
      <c r="H278" t="str">
        <f>_xlfn.XLOOKUP(tblOrders[[#This Row],[ProductID]],tblProducts[ProductID],tblProducts[ProductName],"not found")</f>
        <v>Issue</v>
      </c>
      <c r="I278" t="str">
        <f>_xlfn.XLOOKUP(tblOrders[[#This Row],[ProductID]],tblProducts[ProductID],tblProducts[Category],"not found")</f>
        <v>Toys</v>
      </c>
      <c r="J278">
        <f>_xlfn.XLOOKUP(tblOrders[[#This Row],[ProductID]],tblProducts[ProductID],tblProducts[UnitPrice],"not found")</f>
        <v>286.47000000000003</v>
      </c>
      <c r="K278" t="str">
        <f>_xlfn.XLOOKUP(tblOrders[[#This Row],[ProductID]],tblProducts[ProductID],tblProducts[Supplier],"not found")</f>
        <v>Schmidt LLC</v>
      </c>
      <c r="L278" s="1" t="s">
        <v>2027</v>
      </c>
      <c r="M2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45030</v>
      </c>
      <c r="N278">
        <v>9</v>
      </c>
      <c r="O278">
        <v>2578.23</v>
      </c>
      <c r="P278">
        <f>tblOrders[[#This Row],[Quantity]]*tblOrders[[#This Row],[Unit Price]]</f>
        <v>2578.2300000000005</v>
      </c>
      <c r="Q278">
        <f>tblOrders[[#This Row],[TotalSales]]-tblOrders[[#This Row],[Calculated Sales]]</f>
        <v>0</v>
      </c>
    </row>
    <row r="279" spans="1:17" x14ac:dyDescent="0.25">
      <c r="A279">
        <v>1729</v>
      </c>
      <c r="B279">
        <v>626</v>
      </c>
      <c r="C279" t="str">
        <f>_xlfn.XLOOKUP(tblOrders[[#This Row],[CustomerID]],tblCustomers[CustomerID],tblCustomers[CustomerName],"not found")</f>
        <v>Benjamin Perez</v>
      </c>
      <c r="D279">
        <f>_xlfn.XLOOKUP(tblOrders[[#This Row],[CustomerID]],tblCustomers[CustomerID],tblCustomers[Age],"not found")</f>
        <v>25</v>
      </c>
      <c r="E279" t="str">
        <f>_xlfn.XLOOKUP(tblOrders[[#This Row],[CustomerID]],tblCustomers[CustomerID],tblCustomers[Gender],"not found")</f>
        <v>Female</v>
      </c>
      <c r="F279" t="str">
        <f>_xlfn.XLOOKUP(tblOrders[[#This Row],[CustomerID]],tblCustomers[CustomerID],tblCustomers[Region],"not found")</f>
        <v>North</v>
      </c>
      <c r="G279">
        <v>1055</v>
      </c>
      <c r="H279" t="str">
        <f>_xlfn.XLOOKUP(tblOrders[[#This Row],[ProductID]],tblProducts[ProductID],tblProducts[ProductName],"not found")</f>
        <v>Issue</v>
      </c>
      <c r="I279" t="str">
        <f>_xlfn.XLOOKUP(tblOrders[[#This Row],[ProductID]],tblProducts[ProductID],tblProducts[Category],"not found")</f>
        <v>Toys</v>
      </c>
      <c r="J279">
        <f>_xlfn.XLOOKUP(tblOrders[[#This Row],[ProductID]],tblProducts[ProductID],tblProducts[UnitPrice],"not found")</f>
        <v>286.47000000000003</v>
      </c>
      <c r="K279" t="str">
        <f>_xlfn.XLOOKUP(tblOrders[[#This Row],[ProductID]],tblProducts[ProductID],tblProducts[Supplier],"not found")</f>
        <v>Schmidt LLC</v>
      </c>
      <c r="L279" s="1" t="s">
        <v>2050</v>
      </c>
      <c r="M2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279">
        <v>3</v>
      </c>
      <c r="O279">
        <v>859.41</v>
      </c>
      <c r="P279">
        <f>tblOrders[[#This Row],[Quantity]]*tblOrders[[#This Row],[Unit Price]]</f>
        <v>859.41000000000008</v>
      </c>
      <c r="Q279">
        <f>tblOrders[[#This Row],[TotalSales]]-tblOrders[[#This Row],[Calculated Sales]]</f>
        <v>0</v>
      </c>
    </row>
    <row r="280" spans="1:17" x14ac:dyDescent="0.25">
      <c r="A280">
        <v>1781</v>
      </c>
      <c r="B280">
        <v>635</v>
      </c>
      <c r="C280" t="str">
        <f>_xlfn.XLOOKUP(tblOrders[[#This Row],[CustomerID]],tblCustomers[CustomerID],tblCustomers[CustomerName],"not found")</f>
        <v>Alexis Henderson</v>
      </c>
      <c r="D280">
        <f>_xlfn.XLOOKUP(tblOrders[[#This Row],[CustomerID]],tblCustomers[CustomerID],tblCustomers[Age],"not found")</f>
        <v>29</v>
      </c>
      <c r="E280" t="str">
        <f>_xlfn.XLOOKUP(tblOrders[[#This Row],[CustomerID]],tblCustomers[CustomerID],tblCustomers[Gender],"not found")</f>
        <v>Male</v>
      </c>
      <c r="F280" t="str">
        <f>_xlfn.XLOOKUP(tblOrders[[#This Row],[CustomerID]],tblCustomers[CustomerID],tblCustomers[Region],"not found")</f>
        <v>Central</v>
      </c>
      <c r="G280">
        <v>1055</v>
      </c>
      <c r="H280" t="str">
        <f>_xlfn.XLOOKUP(tblOrders[[#This Row],[ProductID]],tblProducts[ProductID],tblProducts[ProductName],"not found")</f>
        <v>Issue</v>
      </c>
      <c r="I280" t="str">
        <f>_xlfn.XLOOKUP(tblOrders[[#This Row],[ProductID]],tblProducts[ProductID],tblProducts[Category],"not found")</f>
        <v>Toys</v>
      </c>
      <c r="J280">
        <f>_xlfn.XLOOKUP(tblOrders[[#This Row],[ProductID]],tblProducts[ProductID],tblProducts[UnitPrice],"not found")</f>
        <v>286.47000000000003</v>
      </c>
      <c r="K280" t="str">
        <f>_xlfn.XLOOKUP(tblOrders[[#This Row],[ProductID]],tblProducts[ProductID],tblProducts[Supplier],"not found")</f>
        <v>Schmidt LLC</v>
      </c>
      <c r="L280" s="1">
        <v>45088</v>
      </c>
      <c r="M2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45088</v>
      </c>
      <c r="N280">
        <v>1</v>
      </c>
      <c r="O280">
        <v>286.47000000000003</v>
      </c>
      <c r="P280">
        <f>tblOrders[[#This Row],[Quantity]]*tblOrders[[#This Row],[Unit Price]]</f>
        <v>286.47000000000003</v>
      </c>
      <c r="Q280">
        <f>tblOrders[[#This Row],[TotalSales]]-tblOrders[[#This Row],[Calculated Sales]]</f>
        <v>0</v>
      </c>
    </row>
    <row r="281" spans="1:17" x14ac:dyDescent="0.25">
      <c r="A281">
        <v>1847</v>
      </c>
      <c r="B281">
        <v>485</v>
      </c>
      <c r="C281" t="str">
        <f>_xlfn.XLOOKUP(tblOrders[[#This Row],[CustomerID]],tblCustomers[CustomerID],tblCustomers[CustomerName],"not found")</f>
        <v>Christina Stewart</v>
      </c>
      <c r="D281">
        <f>_xlfn.XLOOKUP(tblOrders[[#This Row],[CustomerID]],tblCustomers[CustomerID],tblCustomers[Age],"not found")</f>
        <v>51</v>
      </c>
      <c r="E281" t="str">
        <f>_xlfn.XLOOKUP(tblOrders[[#This Row],[CustomerID]],tblCustomers[CustomerID],tblCustomers[Gender],"not found")</f>
        <v>Female</v>
      </c>
      <c r="F281" t="str">
        <f>_xlfn.XLOOKUP(tblOrders[[#This Row],[CustomerID]],tblCustomers[CustomerID],tblCustomers[Region],"not found")</f>
        <v>Central</v>
      </c>
      <c r="G281">
        <v>1055</v>
      </c>
      <c r="H281" t="str">
        <f>_xlfn.XLOOKUP(tblOrders[[#This Row],[ProductID]],tblProducts[ProductID],tblProducts[ProductName],"not found")</f>
        <v>Issue</v>
      </c>
      <c r="I281" t="str">
        <f>_xlfn.XLOOKUP(tblOrders[[#This Row],[ProductID]],tblProducts[ProductID],tblProducts[Category],"not found")</f>
        <v>Toys</v>
      </c>
      <c r="J281">
        <f>_xlfn.XLOOKUP(tblOrders[[#This Row],[ProductID]],tblProducts[ProductID],tblProducts[UnitPrice],"not found")</f>
        <v>286.47000000000003</v>
      </c>
      <c r="K281" t="str">
        <f>_xlfn.XLOOKUP(tblOrders[[#This Row],[ProductID]],tblProducts[ProductID],tblProducts[Supplier],"not found")</f>
        <v>Schmidt LLC</v>
      </c>
      <c r="L281" s="1">
        <v>44877</v>
      </c>
      <c r="M2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44877</v>
      </c>
      <c r="N281">
        <v>7</v>
      </c>
      <c r="O281">
        <v>2005.29</v>
      </c>
      <c r="P281">
        <f>tblOrders[[#This Row],[Quantity]]*tblOrders[[#This Row],[Unit Price]]</f>
        <v>2005.2900000000002</v>
      </c>
      <c r="Q281">
        <f>tblOrders[[#This Row],[TotalSales]]-tblOrders[[#This Row],[Calculated Sales]]</f>
        <v>0</v>
      </c>
    </row>
    <row r="282" spans="1:17" x14ac:dyDescent="0.25">
      <c r="A282">
        <v>1980</v>
      </c>
      <c r="B282">
        <v>932</v>
      </c>
      <c r="C282" t="str">
        <f>_xlfn.XLOOKUP(tblOrders[[#This Row],[CustomerID]],tblCustomers[CustomerID],tblCustomers[CustomerName],"not found")</f>
        <v>Crystal Prince</v>
      </c>
      <c r="D282">
        <f>_xlfn.XLOOKUP(tblOrders[[#This Row],[CustomerID]],tblCustomers[CustomerID],tblCustomers[Age],"not found")</f>
        <v>31</v>
      </c>
      <c r="E282" t="str">
        <f>_xlfn.XLOOKUP(tblOrders[[#This Row],[CustomerID]],tblCustomers[CustomerID],tblCustomers[Gender],"not found")</f>
        <v>Male</v>
      </c>
      <c r="F282" t="str">
        <f>_xlfn.XLOOKUP(tblOrders[[#This Row],[CustomerID]],tblCustomers[CustomerID],tblCustomers[Region],"not found")</f>
        <v>Central</v>
      </c>
      <c r="G282">
        <v>1055</v>
      </c>
      <c r="H282" t="str">
        <f>_xlfn.XLOOKUP(tblOrders[[#This Row],[ProductID]],tblProducts[ProductID],tblProducts[ProductName],"not found")</f>
        <v>Issue</v>
      </c>
      <c r="I282" t="str">
        <f>_xlfn.XLOOKUP(tblOrders[[#This Row],[ProductID]],tblProducts[ProductID],tblProducts[Category],"not found")</f>
        <v>Toys</v>
      </c>
      <c r="J282">
        <f>_xlfn.XLOOKUP(tblOrders[[#This Row],[ProductID]],tblProducts[ProductID],tblProducts[UnitPrice],"not found")</f>
        <v>286.47000000000003</v>
      </c>
      <c r="K282" t="str">
        <f>_xlfn.XLOOKUP(tblOrders[[#This Row],[ProductID]],tblProducts[ProductID],tblProducts[Supplier],"not found")</f>
        <v>Schmidt LLC</v>
      </c>
      <c r="L282" s="1" t="s">
        <v>2154</v>
      </c>
      <c r="M2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45122</v>
      </c>
      <c r="N282">
        <v>1</v>
      </c>
      <c r="O282">
        <v>286.47000000000003</v>
      </c>
      <c r="P282">
        <f>tblOrders[[#This Row],[Quantity]]*tblOrders[[#This Row],[Unit Price]]</f>
        <v>286.47000000000003</v>
      </c>
      <c r="Q282">
        <f>tblOrders[[#This Row],[TotalSales]]-tblOrders[[#This Row],[Calculated Sales]]</f>
        <v>0</v>
      </c>
    </row>
    <row r="283" spans="1:17" x14ac:dyDescent="0.25">
      <c r="A283">
        <v>15</v>
      </c>
      <c r="B283">
        <v>602</v>
      </c>
      <c r="C283" t="str">
        <f>_xlfn.XLOOKUP(tblOrders[[#This Row],[CustomerID]],tblCustomers[CustomerID],tblCustomers[CustomerName],"not found")</f>
        <v>Kenneth Young</v>
      </c>
      <c r="D283">
        <f>_xlfn.XLOOKUP(tblOrders[[#This Row],[CustomerID]],tblCustomers[CustomerID],tblCustomers[Age],"not found")</f>
        <v>19</v>
      </c>
      <c r="E283" t="str">
        <f>_xlfn.XLOOKUP(tblOrders[[#This Row],[CustomerID]],tblCustomers[CustomerID],tblCustomers[Gender],"not found")</f>
        <v>Male</v>
      </c>
      <c r="F283" t="str">
        <f>_xlfn.XLOOKUP(tblOrders[[#This Row],[CustomerID]],tblCustomers[CustomerID],tblCustomers[Region],"not found")</f>
        <v>East</v>
      </c>
      <c r="G283">
        <v>1057</v>
      </c>
      <c r="H283" t="str">
        <f>_xlfn.XLOOKUP(tblOrders[[#This Row],[ProductID]],tblProducts[ProductID],tblProducts[ProductName],"not found")</f>
        <v>Direction</v>
      </c>
      <c r="I283" t="str">
        <f>_xlfn.XLOOKUP(tblOrders[[#This Row],[ProductID]],tblProducts[ProductID],tblProducts[Category],"not found")</f>
        <v>Beauty</v>
      </c>
      <c r="J283">
        <f>_xlfn.XLOOKUP(tblOrders[[#This Row],[ProductID]],tblProducts[ProductID],tblProducts[UnitPrice],"not found")</f>
        <v>445.58</v>
      </c>
      <c r="K283" t="str">
        <f>_xlfn.XLOOKUP(tblOrders[[#This Row],[ProductID]],tblProducts[ProductID],tblProducts[Supplier],"not found")</f>
        <v>Nguyen Inc</v>
      </c>
      <c r="L283" s="1">
        <v>45358</v>
      </c>
      <c r="M2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45358</v>
      </c>
      <c r="N283">
        <v>3</v>
      </c>
      <c r="O283">
        <v>1336.74</v>
      </c>
      <c r="P283">
        <f>tblOrders[[#This Row],[Quantity]]*tblOrders[[#This Row],[Unit Price]]</f>
        <v>1336.74</v>
      </c>
      <c r="Q283">
        <f>tblOrders[[#This Row],[TotalSales]]-tblOrders[[#This Row],[Calculated Sales]]</f>
        <v>0</v>
      </c>
    </row>
    <row r="284" spans="1:17" x14ac:dyDescent="0.25">
      <c r="A284">
        <v>37</v>
      </c>
      <c r="B284">
        <v>239</v>
      </c>
      <c r="C284" t="str">
        <f>_xlfn.XLOOKUP(tblOrders[[#This Row],[CustomerID]],tblCustomers[CustomerID],tblCustomers[CustomerName],"not found")</f>
        <v>Haley Jordan</v>
      </c>
      <c r="D284">
        <f>_xlfn.XLOOKUP(tblOrders[[#This Row],[CustomerID]],tblCustomers[CustomerID],tblCustomers[Age],"not found")</f>
        <v>37</v>
      </c>
      <c r="E284" t="str">
        <f>_xlfn.XLOOKUP(tblOrders[[#This Row],[CustomerID]],tblCustomers[CustomerID],tblCustomers[Gender],"not found")</f>
        <v>Male</v>
      </c>
      <c r="F284" t="str">
        <f>_xlfn.XLOOKUP(tblOrders[[#This Row],[CustomerID]],tblCustomers[CustomerID],tblCustomers[Region],"not found")</f>
        <v>West</v>
      </c>
      <c r="G284">
        <v>1057</v>
      </c>
      <c r="H284" t="str">
        <f>_xlfn.XLOOKUP(tblOrders[[#This Row],[ProductID]],tblProducts[ProductID],tblProducts[ProductName],"not found")</f>
        <v>Direction</v>
      </c>
      <c r="I284" t="str">
        <f>_xlfn.XLOOKUP(tblOrders[[#This Row],[ProductID]],tblProducts[ProductID],tblProducts[Category],"not found")</f>
        <v>Beauty</v>
      </c>
      <c r="J284">
        <f>_xlfn.XLOOKUP(tblOrders[[#This Row],[ProductID]],tblProducts[ProductID],tblProducts[UnitPrice],"not found")</f>
        <v>445.58</v>
      </c>
      <c r="K284" t="str">
        <f>_xlfn.XLOOKUP(tblOrders[[#This Row],[ProductID]],tblProducts[ProductID],tblProducts[Supplier],"not found")</f>
        <v>Nguyen Inc</v>
      </c>
      <c r="L284" s="1" t="s">
        <v>2155</v>
      </c>
      <c r="M2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45584</v>
      </c>
      <c r="N284">
        <v>5</v>
      </c>
      <c r="O284">
        <v>2227.9</v>
      </c>
      <c r="P284">
        <f>tblOrders[[#This Row],[Quantity]]*tblOrders[[#This Row],[Unit Price]]</f>
        <v>2227.9</v>
      </c>
      <c r="Q284">
        <f>tblOrders[[#This Row],[TotalSales]]-tblOrders[[#This Row],[Calculated Sales]]</f>
        <v>0</v>
      </c>
    </row>
    <row r="285" spans="1:17" x14ac:dyDescent="0.25">
      <c r="A285">
        <v>73</v>
      </c>
      <c r="B285">
        <v>505</v>
      </c>
      <c r="C285" t="str">
        <f>_xlfn.XLOOKUP(tblOrders[[#This Row],[CustomerID]],tblCustomers[CustomerID],tblCustomers[CustomerName],"not found")</f>
        <v>Ronald Anderson</v>
      </c>
      <c r="D285">
        <f>_xlfn.XLOOKUP(tblOrders[[#This Row],[CustomerID]],tblCustomers[CustomerID],tblCustomers[Age],"not found")</f>
        <v>45</v>
      </c>
      <c r="E285" t="str">
        <f>_xlfn.XLOOKUP(tblOrders[[#This Row],[CustomerID]],tblCustomers[CustomerID],tblCustomers[Gender],"not found")</f>
        <v>Female</v>
      </c>
      <c r="F285" t="str">
        <f>_xlfn.XLOOKUP(tblOrders[[#This Row],[CustomerID]],tblCustomers[CustomerID],tblCustomers[Region],"not found")</f>
        <v>Central</v>
      </c>
      <c r="G285">
        <v>1057</v>
      </c>
      <c r="H285" t="str">
        <f>_xlfn.XLOOKUP(tblOrders[[#This Row],[ProductID]],tblProducts[ProductID],tblProducts[ProductName],"not found")</f>
        <v>Direction</v>
      </c>
      <c r="I285" t="str">
        <f>_xlfn.XLOOKUP(tblOrders[[#This Row],[ProductID]],tblProducts[ProductID],tblProducts[Category],"not found")</f>
        <v>Beauty</v>
      </c>
      <c r="J285">
        <f>_xlfn.XLOOKUP(tblOrders[[#This Row],[ProductID]],tblProducts[ProductID],tblProducts[UnitPrice],"not found")</f>
        <v>445.58</v>
      </c>
      <c r="K285" t="str">
        <f>_xlfn.XLOOKUP(tblOrders[[#This Row],[ProductID]],tblProducts[ProductID],tblProducts[Supplier],"not found")</f>
        <v>Nguyen Inc</v>
      </c>
      <c r="L285" s="1" t="s">
        <v>2050</v>
      </c>
      <c r="M2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285">
        <v>7</v>
      </c>
      <c r="O285">
        <v>3119.06</v>
      </c>
      <c r="P285">
        <f>tblOrders[[#This Row],[Quantity]]*tblOrders[[#This Row],[Unit Price]]</f>
        <v>3119.06</v>
      </c>
      <c r="Q285">
        <f>tblOrders[[#This Row],[TotalSales]]-tblOrders[[#This Row],[Calculated Sales]]</f>
        <v>0</v>
      </c>
    </row>
    <row r="286" spans="1:17" x14ac:dyDescent="0.25">
      <c r="A286">
        <v>222</v>
      </c>
      <c r="B286">
        <v>754</v>
      </c>
      <c r="C286" t="str">
        <f>_xlfn.XLOOKUP(tblOrders[[#This Row],[CustomerID]],tblCustomers[CustomerID],tblCustomers[CustomerName],"not found")</f>
        <v>Jermaine Potter</v>
      </c>
      <c r="D286">
        <f>_xlfn.XLOOKUP(tblOrders[[#This Row],[CustomerID]],tblCustomers[CustomerID],tblCustomers[Age],"not found")</f>
        <v>63</v>
      </c>
      <c r="E286" t="str">
        <f>_xlfn.XLOOKUP(tblOrders[[#This Row],[CustomerID]],tblCustomers[CustomerID],tblCustomers[Gender],"not found")</f>
        <v>Female</v>
      </c>
      <c r="F286" t="str">
        <f>_xlfn.XLOOKUP(tblOrders[[#This Row],[CustomerID]],tblCustomers[CustomerID],tblCustomers[Region],"not found")</f>
        <v>North</v>
      </c>
      <c r="G286">
        <v>1057</v>
      </c>
      <c r="H286" t="str">
        <f>_xlfn.XLOOKUP(tblOrders[[#This Row],[ProductID]],tblProducts[ProductID],tblProducts[ProductName],"not found")</f>
        <v>Direction</v>
      </c>
      <c r="I286" t="str">
        <f>_xlfn.XLOOKUP(tblOrders[[#This Row],[ProductID]],tblProducts[ProductID],tblProducts[Category],"not found")</f>
        <v>Beauty</v>
      </c>
      <c r="J286">
        <f>_xlfn.XLOOKUP(tblOrders[[#This Row],[ProductID]],tblProducts[ProductID],tblProducts[UnitPrice],"not found")</f>
        <v>445.58</v>
      </c>
      <c r="K286" t="str">
        <f>_xlfn.XLOOKUP(tblOrders[[#This Row],[ProductID]],tblProducts[ProductID],tblProducts[Supplier],"not found")</f>
        <v>Nguyen Inc</v>
      </c>
      <c r="L286" s="1">
        <v>44937</v>
      </c>
      <c r="M2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286">
        <v>5</v>
      </c>
      <c r="O286">
        <v>2227.9</v>
      </c>
      <c r="P286">
        <f>tblOrders[[#This Row],[Quantity]]*tblOrders[[#This Row],[Unit Price]]</f>
        <v>2227.9</v>
      </c>
      <c r="Q286">
        <f>tblOrders[[#This Row],[TotalSales]]-tblOrders[[#This Row],[Calculated Sales]]</f>
        <v>0</v>
      </c>
    </row>
    <row r="287" spans="1:17" x14ac:dyDescent="0.25">
      <c r="A287">
        <v>256</v>
      </c>
      <c r="B287">
        <v>355</v>
      </c>
      <c r="C287" t="str">
        <f>_xlfn.XLOOKUP(tblOrders[[#This Row],[CustomerID]],tblCustomers[CustomerID],tblCustomers[CustomerName],"not found")</f>
        <v>Thomas Bush</v>
      </c>
      <c r="D287">
        <f>_xlfn.XLOOKUP(tblOrders[[#This Row],[CustomerID]],tblCustomers[CustomerID],tblCustomers[Age],"not found")</f>
        <v>36</v>
      </c>
      <c r="E287" t="str">
        <f>_xlfn.XLOOKUP(tblOrders[[#This Row],[CustomerID]],tblCustomers[CustomerID],tblCustomers[Gender],"not found")</f>
        <v>Female</v>
      </c>
      <c r="F287" t="str">
        <f>_xlfn.XLOOKUP(tblOrders[[#This Row],[CustomerID]],tblCustomers[CustomerID],tblCustomers[Region],"not found")</f>
        <v>Central</v>
      </c>
      <c r="G287">
        <v>1057</v>
      </c>
      <c r="H287" t="str">
        <f>_xlfn.XLOOKUP(tblOrders[[#This Row],[ProductID]],tblProducts[ProductID],tblProducts[ProductName],"not found")</f>
        <v>Direction</v>
      </c>
      <c r="I287" t="str">
        <f>_xlfn.XLOOKUP(tblOrders[[#This Row],[ProductID]],tblProducts[ProductID],tblProducts[Category],"not found")</f>
        <v>Beauty</v>
      </c>
      <c r="J287">
        <f>_xlfn.XLOOKUP(tblOrders[[#This Row],[ProductID]],tblProducts[ProductID],tblProducts[UnitPrice],"not found")</f>
        <v>445.58</v>
      </c>
      <c r="K287" t="str">
        <f>_xlfn.XLOOKUP(tblOrders[[#This Row],[ProductID]],tblProducts[ProductID],tblProducts[Supplier],"not found")</f>
        <v>Nguyen Inc</v>
      </c>
      <c r="L287" s="1" t="s">
        <v>2156</v>
      </c>
      <c r="M2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45013</v>
      </c>
      <c r="N287">
        <v>7</v>
      </c>
      <c r="O287">
        <v>3119.06</v>
      </c>
      <c r="P287">
        <f>tblOrders[[#This Row],[Quantity]]*tblOrders[[#This Row],[Unit Price]]</f>
        <v>3119.06</v>
      </c>
      <c r="Q287">
        <f>tblOrders[[#This Row],[TotalSales]]-tblOrders[[#This Row],[Calculated Sales]]</f>
        <v>0</v>
      </c>
    </row>
    <row r="288" spans="1:17" x14ac:dyDescent="0.25">
      <c r="A288">
        <v>297</v>
      </c>
      <c r="B288">
        <v>332</v>
      </c>
      <c r="C288" t="str">
        <f>_xlfn.XLOOKUP(tblOrders[[#This Row],[CustomerID]],tblCustomers[CustomerID],tblCustomers[CustomerName],"not found")</f>
        <v>Joshua Carroll</v>
      </c>
      <c r="D288">
        <f>_xlfn.XLOOKUP(tblOrders[[#This Row],[CustomerID]],tblCustomers[CustomerID],tblCustomers[Age],"not found")</f>
        <v>26</v>
      </c>
      <c r="E288" t="str">
        <f>_xlfn.XLOOKUP(tblOrders[[#This Row],[CustomerID]],tblCustomers[CustomerID],tblCustomers[Gender],"not found")</f>
        <v>Male</v>
      </c>
      <c r="F288" t="str">
        <f>_xlfn.XLOOKUP(tblOrders[[#This Row],[CustomerID]],tblCustomers[CustomerID],tblCustomers[Region],"not found")</f>
        <v>East</v>
      </c>
      <c r="G288">
        <v>1057</v>
      </c>
      <c r="H288" t="str">
        <f>_xlfn.XLOOKUP(tblOrders[[#This Row],[ProductID]],tblProducts[ProductID],tblProducts[ProductName],"not found")</f>
        <v>Direction</v>
      </c>
      <c r="I288" t="str">
        <f>_xlfn.XLOOKUP(tblOrders[[#This Row],[ProductID]],tblProducts[ProductID],tblProducts[Category],"not found")</f>
        <v>Beauty</v>
      </c>
      <c r="J288">
        <f>_xlfn.XLOOKUP(tblOrders[[#This Row],[ProductID]],tblProducts[ProductID],tblProducts[UnitPrice],"not found")</f>
        <v>445.58</v>
      </c>
      <c r="K288" t="str">
        <f>_xlfn.XLOOKUP(tblOrders[[#This Row],[ProductID]],tblProducts[ProductID],tblProducts[Supplier],"not found")</f>
        <v>Nguyen Inc</v>
      </c>
      <c r="L288" s="1">
        <v>45384</v>
      </c>
      <c r="M2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45384</v>
      </c>
      <c r="N288">
        <v>6</v>
      </c>
      <c r="O288">
        <v>2673.48</v>
      </c>
      <c r="P288">
        <f>tblOrders[[#This Row],[Quantity]]*tblOrders[[#This Row],[Unit Price]]</f>
        <v>2673.48</v>
      </c>
      <c r="Q288">
        <f>tblOrders[[#This Row],[TotalSales]]-tblOrders[[#This Row],[Calculated Sales]]</f>
        <v>0</v>
      </c>
    </row>
    <row r="289" spans="1:17" x14ac:dyDescent="0.25">
      <c r="A289">
        <v>302</v>
      </c>
      <c r="B289">
        <v>606</v>
      </c>
      <c r="C289" t="str">
        <f>_xlfn.XLOOKUP(tblOrders[[#This Row],[CustomerID]],tblCustomers[CustomerID],tblCustomers[CustomerName],"not found")</f>
        <v>Allen Lee</v>
      </c>
      <c r="D289">
        <f>_xlfn.XLOOKUP(tblOrders[[#This Row],[CustomerID]],tblCustomers[CustomerID],tblCustomers[Age],"not found")</f>
        <v>53</v>
      </c>
      <c r="E289" t="str">
        <f>_xlfn.XLOOKUP(tblOrders[[#This Row],[CustomerID]],tblCustomers[CustomerID],tblCustomers[Gender],"not found")</f>
        <v>Male</v>
      </c>
      <c r="F289" t="str">
        <f>_xlfn.XLOOKUP(tblOrders[[#This Row],[CustomerID]],tblCustomers[CustomerID],tblCustomers[Region],"not found")</f>
        <v>West</v>
      </c>
      <c r="G289">
        <v>1057</v>
      </c>
      <c r="H289" t="str">
        <f>_xlfn.XLOOKUP(tblOrders[[#This Row],[ProductID]],tblProducts[ProductID],tblProducts[ProductName],"not found")</f>
        <v>Direction</v>
      </c>
      <c r="I289" t="str">
        <f>_xlfn.XLOOKUP(tblOrders[[#This Row],[ProductID]],tblProducts[ProductID],tblProducts[Category],"not found")</f>
        <v>Beauty</v>
      </c>
      <c r="J289">
        <f>_xlfn.XLOOKUP(tblOrders[[#This Row],[ProductID]],tblProducts[ProductID],tblProducts[UnitPrice],"not found")</f>
        <v>445.58</v>
      </c>
      <c r="K289" t="str">
        <f>_xlfn.XLOOKUP(tblOrders[[#This Row],[ProductID]],tblProducts[ProductID],tblProducts[Supplier],"not found")</f>
        <v>Nguyen Inc</v>
      </c>
      <c r="L289" s="1">
        <v>45390</v>
      </c>
      <c r="M2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45390</v>
      </c>
      <c r="N289">
        <v>1</v>
      </c>
      <c r="O289">
        <v>445.58</v>
      </c>
      <c r="P289">
        <f>tblOrders[[#This Row],[Quantity]]*tblOrders[[#This Row],[Unit Price]]</f>
        <v>445.58</v>
      </c>
      <c r="Q289">
        <f>tblOrders[[#This Row],[TotalSales]]-tblOrders[[#This Row],[Calculated Sales]]</f>
        <v>0</v>
      </c>
    </row>
    <row r="290" spans="1:17" x14ac:dyDescent="0.25">
      <c r="A290">
        <v>339</v>
      </c>
      <c r="B290">
        <v>119</v>
      </c>
      <c r="C290" t="str">
        <f>_xlfn.XLOOKUP(tblOrders[[#This Row],[CustomerID]],tblCustomers[CustomerID],tblCustomers[CustomerName],"not found")</f>
        <v>Adam Valencia</v>
      </c>
      <c r="D290">
        <f>_xlfn.XLOOKUP(tblOrders[[#This Row],[CustomerID]],tblCustomers[CustomerID],tblCustomers[Age],"not found")</f>
        <v>42</v>
      </c>
      <c r="E290" t="str">
        <f>_xlfn.XLOOKUP(tblOrders[[#This Row],[CustomerID]],tblCustomers[CustomerID],tblCustomers[Gender],"not found")</f>
        <v>Male</v>
      </c>
      <c r="F290" t="str">
        <f>_xlfn.XLOOKUP(tblOrders[[#This Row],[CustomerID]],tblCustomers[CustomerID],tblCustomers[Region],"not found")</f>
        <v>North</v>
      </c>
      <c r="G290">
        <v>1057</v>
      </c>
      <c r="H290" t="str">
        <f>_xlfn.XLOOKUP(tblOrders[[#This Row],[ProductID]],tblProducts[ProductID],tblProducts[ProductName],"not found")</f>
        <v>Direction</v>
      </c>
      <c r="I290" t="str">
        <f>_xlfn.XLOOKUP(tblOrders[[#This Row],[ProductID]],tblProducts[ProductID],tblProducts[Category],"not found")</f>
        <v>Beauty</v>
      </c>
      <c r="J290">
        <f>_xlfn.XLOOKUP(tblOrders[[#This Row],[ProductID]],tblProducts[ProductID],tblProducts[UnitPrice],"not found")</f>
        <v>445.58</v>
      </c>
      <c r="K290" t="str">
        <f>_xlfn.XLOOKUP(tblOrders[[#This Row],[ProductID]],tblProducts[ProductID],tblProducts[Supplier],"not found")</f>
        <v>Nguyen Inc</v>
      </c>
      <c r="L290" s="1" t="s">
        <v>2157</v>
      </c>
      <c r="M2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45558</v>
      </c>
      <c r="N290">
        <v>8</v>
      </c>
      <c r="O290">
        <v>3564.64</v>
      </c>
      <c r="P290">
        <f>tblOrders[[#This Row],[Quantity]]*tblOrders[[#This Row],[Unit Price]]</f>
        <v>3564.64</v>
      </c>
      <c r="Q290">
        <f>tblOrders[[#This Row],[TotalSales]]-tblOrders[[#This Row],[Calculated Sales]]</f>
        <v>0</v>
      </c>
    </row>
    <row r="291" spans="1:17" x14ac:dyDescent="0.25">
      <c r="A291">
        <v>489</v>
      </c>
      <c r="B291">
        <v>538</v>
      </c>
      <c r="C291" t="str">
        <f>_xlfn.XLOOKUP(tblOrders[[#This Row],[CustomerID]],tblCustomers[CustomerID],tblCustomers[CustomerName],"not found")</f>
        <v>Sarah Chavez</v>
      </c>
      <c r="D291">
        <f>_xlfn.XLOOKUP(tblOrders[[#This Row],[CustomerID]],tblCustomers[CustomerID],tblCustomers[Age],"not found")</f>
        <v>57</v>
      </c>
      <c r="E291" t="str">
        <f>_xlfn.XLOOKUP(tblOrders[[#This Row],[CustomerID]],tblCustomers[CustomerID],tblCustomers[Gender],"not found")</f>
        <v>Female</v>
      </c>
      <c r="F291" t="str">
        <f>_xlfn.XLOOKUP(tblOrders[[#This Row],[CustomerID]],tblCustomers[CustomerID],tblCustomers[Region],"not found")</f>
        <v>South</v>
      </c>
      <c r="G291">
        <v>1057</v>
      </c>
      <c r="H291" t="str">
        <f>_xlfn.XLOOKUP(tblOrders[[#This Row],[ProductID]],tblProducts[ProductID],tblProducts[ProductName],"not found")</f>
        <v>Direction</v>
      </c>
      <c r="I291" t="str">
        <f>_xlfn.XLOOKUP(tblOrders[[#This Row],[ProductID]],tblProducts[ProductID],tblProducts[Category],"not found")</f>
        <v>Beauty</v>
      </c>
      <c r="J291">
        <f>_xlfn.XLOOKUP(tblOrders[[#This Row],[ProductID]],tblProducts[ProductID],tblProducts[UnitPrice],"not found")</f>
        <v>445.58</v>
      </c>
      <c r="K291" t="str">
        <f>_xlfn.XLOOKUP(tblOrders[[#This Row],[ProductID]],tblProducts[ProductID],tblProducts[Supplier],"not found")</f>
        <v>Nguyen Inc</v>
      </c>
      <c r="L291" s="1" t="s">
        <v>2158</v>
      </c>
      <c r="M2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45462</v>
      </c>
      <c r="N291">
        <v>9</v>
      </c>
      <c r="O291">
        <v>4010.22</v>
      </c>
      <c r="P291">
        <f>tblOrders[[#This Row],[Quantity]]*tblOrders[[#This Row],[Unit Price]]</f>
        <v>4010.22</v>
      </c>
      <c r="Q291">
        <f>tblOrders[[#This Row],[TotalSales]]-tblOrders[[#This Row],[Calculated Sales]]</f>
        <v>0</v>
      </c>
    </row>
    <row r="292" spans="1:17" x14ac:dyDescent="0.25">
      <c r="A292">
        <v>501</v>
      </c>
      <c r="B292">
        <v>754</v>
      </c>
      <c r="C292" t="str">
        <f>_xlfn.XLOOKUP(tblOrders[[#This Row],[CustomerID]],tblCustomers[CustomerID],tblCustomers[CustomerName],"not found")</f>
        <v>Jermaine Potter</v>
      </c>
      <c r="D292">
        <f>_xlfn.XLOOKUP(tblOrders[[#This Row],[CustomerID]],tblCustomers[CustomerID],tblCustomers[Age],"not found")</f>
        <v>63</v>
      </c>
      <c r="E292" t="str">
        <f>_xlfn.XLOOKUP(tblOrders[[#This Row],[CustomerID]],tblCustomers[CustomerID],tblCustomers[Gender],"not found")</f>
        <v>Female</v>
      </c>
      <c r="F292" t="str">
        <f>_xlfn.XLOOKUP(tblOrders[[#This Row],[CustomerID]],tblCustomers[CustomerID],tblCustomers[Region],"not found")</f>
        <v>North</v>
      </c>
      <c r="G292">
        <v>1057</v>
      </c>
      <c r="H292" t="str">
        <f>_xlfn.XLOOKUP(tblOrders[[#This Row],[ProductID]],tblProducts[ProductID],tblProducts[ProductName],"not found")</f>
        <v>Direction</v>
      </c>
      <c r="I292" t="str">
        <f>_xlfn.XLOOKUP(tblOrders[[#This Row],[ProductID]],tblProducts[ProductID],tblProducts[Category],"not found")</f>
        <v>Beauty</v>
      </c>
      <c r="J292">
        <f>_xlfn.XLOOKUP(tblOrders[[#This Row],[ProductID]],tblProducts[ProductID],tblProducts[UnitPrice],"not found")</f>
        <v>445.58</v>
      </c>
      <c r="K292" t="str">
        <f>_xlfn.XLOOKUP(tblOrders[[#This Row],[ProductID]],tblProducts[ProductID],tblProducts[Supplier],"not found")</f>
        <v>Nguyen Inc</v>
      </c>
      <c r="L292" s="1">
        <v>45419</v>
      </c>
      <c r="M2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45419</v>
      </c>
      <c r="N292">
        <v>2</v>
      </c>
      <c r="O292">
        <v>891.16</v>
      </c>
      <c r="P292">
        <f>tblOrders[[#This Row],[Quantity]]*tblOrders[[#This Row],[Unit Price]]</f>
        <v>891.16</v>
      </c>
      <c r="Q292">
        <f>tblOrders[[#This Row],[TotalSales]]-tblOrders[[#This Row],[Calculated Sales]]</f>
        <v>0</v>
      </c>
    </row>
    <row r="293" spans="1:17" x14ac:dyDescent="0.25">
      <c r="A293">
        <v>545</v>
      </c>
      <c r="B293">
        <v>426</v>
      </c>
      <c r="C293" t="str">
        <f>_xlfn.XLOOKUP(tblOrders[[#This Row],[CustomerID]],tblCustomers[CustomerID],tblCustomers[CustomerName],"not found")</f>
        <v>Kevin Garcia</v>
      </c>
      <c r="D293">
        <f>_xlfn.XLOOKUP(tblOrders[[#This Row],[CustomerID]],tblCustomers[CustomerID],tblCustomers[Age],"not found")</f>
        <v>53</v>
      </c>
      <c r="E293" t="str">
        <f>_xlfn.XLOOKUP(tblOrders[[#This Row],[CustomerID]],tblCustomers[CustomerID],tblCustomers[Gender],"not found")</f>
        <v>Male</v>
      </c>
      <c r="F293" t="str">
        <f>_xlfn.XLOOKUP(tblOrders[[#This Row],[CustomerID]],tblCustomers[CustomerID],tblCustomers[Region],"not found")</f>
        <v>South</v>
      </c>
      <c r="G293">
        <v>1057</v>
      </c>
      <c r="H293" t="str">
        <f>_xlfn.XLOOKUP(tblOrders[[#This Row],[ProductID]],tblProducts[ProductID],tblProducts[ProductName],"not found")</f>
        <v>Direction</v>
      </c>
      <c r="I293" t="str">
        <f>_xlfn.XLOOKUP(tblOrders[[#This Row],[ProductID]],tblProducts[ProductID],tblProducts[Category],"not found")</f>
        <v>Beauty</v>
      </c>
      <c r="J293">
        <f>_xlfn.XLOOKUP(tblOrders[[#This Row],[ProductID]],tblProducts[ProductID],tblProducts[UnitPrice],"not found")</f>
        <v>445.58</v>
      </c>
      <c r="K293" t="str">
        <f>_xlfn.XLOOKUP(tblOrders[[#This Row],[ProductID]],tblProducts[ProductID],tblProducts[Supplier],"not found")</f>
        <v>Nguyen Inc</v>
      </c>
      <c r="L293" s="1">
        <v>45514</v>
      </c>
      <c r="M2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45514</v>
      </c>
      <c r="N293">
        <v>4</v>
      </c>
      <c r="O293">
        <v>1782.32</v>
      </c>
      <c r="P293">
        <f>tblOrders[[#This Row],[Quantity]]*tblOrders[[#This Row],[Unit Price]]</f>
        <v>1782.32</v>
      </c>
      <c r="Q293">
        <f>tblOrders[[#This Row],[TotalSales]]-tblOrders[[#This Row],[Calculated Sales]]</f>
        <v>0</v>
      </c>
    </row>
    <row r="294" spans="1:17" x14ac:dyDescent="0.25">
      <c r="A294">
        <v>830</v>
      </c>
      <c r="B294">
        <v>200</v>
      </c>
      <c r="C294" t="str">
        <f>_xlfn.XLOOKUP(tblOrders[[#This Row],[CustomerID]],tblCustomers[CustomerID],tblCustomers[CustomerName],"not found")</f>
        <v>Melissa Bonilla</v>
      </c>
      <c r="D294">
        <f>_xlfn.XLOOKUP(tblOrders[[#This Row],[CustomerID]],tblCustomers[CustomerID],tblCustomers[Age],"not found")</f>
        <v>54</v>
      </c>
      <c r="E294" t="str">
        <f>_xlfn.XLOOKUP(tblOrders[[#This Row],[CustomerID]],tblCustomers[CustomerID],tblCustomers[Gender],"not found")</f>
        <v>Male</v>
      </c>
      <c r="F294" t="str">
        <f>_xlfn.XLOOKUP(tblOrders[[#This Row],[CustomerID]],tblCustomers[CustomerID],tblCustomers[Region],"not found")</f>
        <v>South</v>
      </c>
      <c r="G294">
        <v>1057</v>
      </c>
      <c r="H294" t="str">
        <f>_xlfn.XLOOKUP(tblOrders[[#This Row],[ProductID]],tblProducts[ProductID],tblProducts[ProductName],"not found")</f>
        <v>Direction</v>
      </c>
      <c r="I294" t="str">
        <f>_xlfn.XLOOKUP(tblOrders[[#This Row],[ProductID]],tblProducts[ProductID],tblProducts[Category],"not found")</f>
        <v>Beauty</v>
      </c>
      <c r="J294">
        <f>_xlfn.XLOOKUP(tblOrders[[#This Row],[ProductID]],tblProducts[ProductID],tblProducts[UnitPrice],"not found")</f>
        <v>445.58</v>
      </c>
      <c r="K294" t="str">
        <f>_xlfn.XLOOKUP(tblOrders[[#This Row],[ProductID]],tblProducts[ProductID],tblProducts[Supplier],"not found")</f>
        <v>Nguyen Inc</v>
      </c>
      <c r="L294" s="1" t="s">
        <v>2132</v>
      </c>
      <c r="M2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294">
        <v>6</v>
      </c>
      <c r="O294">
        <v>2673.48</v>
      </c>
      <c r="P294">
        <f>tblOrders[[#This Row],[Quantity]]*tblOrders[[#This Row],[Unit Price]]</f>
        <v>2673.48</v>
      </c>
      <c r="Q294">
        <f>tblOrders[[#This Row],[TotalSales]]-tblOrders[[#This Row],[Calculated Sales]]</f>
        <v>0</v>
      </c>
    </row>
    <row r="295" spans="1:17" x14ac:dyDescent="0.25">
      <c r="A295">
        <v>882</v>
      </c>
      <c r="B295">
        <v>618</v>
      </c>
      <c r="C295" t="str">
        <f>_xlfn.XLOOKUP(tblOrders[[#This Row],[CustomerID]],tblCustomers[CustomerID],tblCustomers[CustomerName],"not found")</f>
        <v>Joseph Clark</v>
      </c>
      <c r="D295">
        <f>_xlfn.XLOOKUP(tblOrders[[#This Row],[CustomerID]],tblCustomers[CustomerID],tblCustomers[Age],"not found")</f>
        <v>35</v>
      </c>
      <c r="E295" t="str">
        <f>_xlfn.XLOOKUP(tblOrders[[#This Row],[CustomerID]],tblCustomers[CustomerID],tblCustomers[Gender],"not found")</f>
        <v>Female</v>
      </c>
      <c r="F295" t="str">
        <f>_xlfn.XLOOKUP(tblOrders[[#This Row],[CustomerID]],tblCustomers[CustomerID],tblCustomers[Region],"not found")</f>
        <v>West</v>
      </c>
      <c r="G295">
        <v>1057</v>
      </c>
      <c r="H295" t="str">
        <f>_xlfn.XLOOKUP(tblOrders[[#This Row],[ProductID]],tblProducts[ProductID],tblProducts[ProductName],"not found")</f>
        <v>Direction</v>
      </c>
      <c r="I295" t="str">
        <f>_xlfn.XLOOKUP(tblOrders[[#This Row],[ProductID]],tblProducts[ProductID],tblProducts[Category],"not found")</f>
        <v>Beauty</v>
      </c>
      <c r="J295">
        <f>_xlfn.XLOOKUP(tblOrders[[#This Row],[ProductID]],tblProducts[ProductID],tblProducts[UnitPrice],"not found")</f>
        <v>445.58</v>
      </c>
      <c r="K295" t="str">
        <f>_xlfn.XLOOKUP(tblOrders[[#This Row],[ProductID]],tblProducts[ProductID],tblProducts[Supplier],"not found")</f>
        <v>Nguyen Inc</v>
      </c>
      <c r="L295" s="1">
        <v>45632</v>
      </c>
      <c r="M2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295">
        <v>8</v>
      </c>
      <c r="O295">
        <v>3564.64</v>
      </c>
      <c r="P295">
        <f>tblOrders[[#This Row],[Quantity]]*tblOrders[[#This Row],[Unit Price]]</f>
        <v>3564.64</v>
      </c>
      <c r="Q295">
        <f>tblOrders[[#This Row],[TotalSales]]-tblOrders[[#This Row],[Calculated Sales]]</f>
        <v>0</v>
      </c>
    </row>
    <row r="296" spans="1:17" x14ac:dyDescent="0.25">
      <c r="A296">
        <v>960</v>
      </c>
      <c r="B296">
        <v>36</v>
      </c>
      <c r="C296" t="str">
        <f>_xlfn.XLOOKUP(tblOrders[[#This Row],[CustomerID]],tblCustomers[CustomerID],tblCustomers[CustomerName],"not found")</f>
        <v>Christopher Thomas</v>
      </c>
      <c r="D296">
        <f>_xlfn.XLOOKUP(tblOrders[[#This Row],[CustomerID]],tblCustomers[CustomerID],tblCustomers[Age],"not found")</f>
        <v>49</v>
      </c>
      <c r="E296" t="str">
        <f>_xlfn.XLOOKUP(tblOrders[[#This Row],[CustomerID]],tblCustomers[CustomerID],tblCustomers[Gender],"not found")</f>
        <v>Female</v>
      </c>
      <c r="F296" t="str">
        <f>_xlfn.XLOOKUP(tblOrders[[#This Row],[CustomerID]],tblCustomers[CustomerID],tblCustomers[Region],"not found")</f>
        <v>East</v>
      </c>
      <c r="G296">
        <v>1057</v>
      </c>
      <c r="H296" t="str">
        <f>_xlfn.XLOOKUP(tblOrders[[#This Row],[ProductID]],tblProducts[ProductID],tblProducts[ProductName],"not found")</f>
        <v>Direction</v>
      </c>
      <c r="I296" t="str">
        <f>_xlfn.XLOOKUP(tblOrders[[#This Row],[ProductID]],tblProducts[ProductID],tblProducts[Category],"not found")</f>
        <v>Beauty</v>
      </c>
      <c r="J296">
        <f>_xlfn.XLOOKUP(tblOrders[[#This Row],[ProductID]],tblProducts[ProductID],tblProducts[UnitPrice],"not found")</f>
        <v>445.58</v>
      </c>
      <c r="K296" t="str">
        <f>_xlfn.XLOOKUP(tblOrders[[#This Row],[ProductID]],tblProducts[ProductID],tblProducts[Supplier],"not found")</f>
        <v>Nguyen Inc</v>
      </c>
      <c r="L296" s="1">
        <v>45333</v>
      </c>
      <c r="M2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45333</v>
      </c>
      <c r="N296">
        <v>6</v>
      </c>
      <c r="O296">
        <v>2673.48</v>
      </c>
      <c r="P296">
        <f>tblOrders[[#This Row],[Quantity]]*tblOrders[[#This Row],[Unit Price]]</f>
        <v>2673.48</v>
      </c>
      <c r="Q296">
        <f>tblOrders[[#This Row],[TotalSales]]-tblOrders[[#This Row],[Calculated Sales]]</f>
        <v>0</v>
      </c>
    </row>
    <row r="297" spans="1:17" x14ac:dyDescent="0.25">
      <c r="A297">
        <v>1006</v>
      </c>
      <c r="B297">
        <v>496</v>
      </c>
      <c r="C297" t="str">
        <f>_xlfn.XLOOKUP(tblOrders[[#This Row],[CustomerID]],tblCustomers[CustomerID],tblCustomers[CustomerName],"not found")</f>
        <v>Jack Phillips</v>
      </c>
      <c r="D297">
        <f>_xlfn.XLOOKUP(tblOrders[[#This Row],[CustomerID]],tblCustomers[CustomerID],tblCustomers[Age],"not found")</f>
        <v>68</v>
      </c>
      <c r="E297" t="str">
        <f>_xlfn.XLOOKUP(tblOrders[[#This Row],[CustomerID]],tblCustomers[CustomerID],tblCustomers[Gender],"not found")</f>
        <v>Male</v>
      </c>
      <c r="F297" t="str">
        <f>_xlfn.XLOOKUP(tblOrders[[#This Row],[CustomerID]],tblCustomers[CustomerID],tblCustomers[Region],"not found")</f>
        <v>East</v>
      </c>
      <c r="G297">
        <v>1057</v>
      </c>
      <c r="H297" t="str">
        <f>_xlfn.XLOOKUP(tblOrders[[#This Row],[ProductID]],tblProducts[ProductID],tblProducts[ProductName],"not found")</f>
        <v>Direction</v>
      </c>
      <c r="I297" t="str">
        <f>_xlfn.XLOOKUP(tblOrders[[#This Row],[ProductID]],tblProducts[ProductID],tblProducts[Category],"not found")</f>
        <v>Beauty</v>
      </c>
      <c r="J297">
        <f>_xlfn.XLOOKUP(tblOrders[[#This Row],[ProductID]],tblProducts[ProductID],tblProducts[UnitPrice],"not found")</f>
        <v>445.58</v>
      </c>
      <c r="K297" t="str">
        <f>_xlfn.XLOOKUP(tblOrders[[#This Row],[ProductID]],tblProducts[ProductID],tblProducts[Supplier],"not found")</f>
        <v>Nguyen Inc</v>
      </c>
      <c r="L297" s="1" t="s">
        <v>2159</v>
      </c>
      <c r="M2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45130</v>
      </c>
      <c r="N297">
        <v>1</v>
      </c>
      <c r="O297">
        <v>445.58</v>
      </c>
      <c r="P297">
        <f>tblOrders[[#This Row],[Quantity]]*tblOrders[[#This Row],[Unit Price]]</f>
        <v>445.58</v>
      </c>
      <c r="Q297">
        <f>tblOrders[[#This Row],[TotalSales]]-tblOrders[[#This Row],[Calculated Sales]]</f>
        <v>0</v>
      </c>
    </row>
    <row r="298" spans="1:17" x14ac:dyDescent="0.25">
      <c r="A298">
        <v>1067</v>
      </c>
      <c r="B298">
        <v>846</v>
      </c>
      <c r="C298" t="str">
        <f>_xlfn.XLOOKUP(tblOrders[[#This Row],[CustomerID]],tblCustomers[CustomerID],tblCustomers[CustomerName],"not found")</f>
        <v>Paul Johnson</v>
      </c>
      <c r="D298">
        <f>_xlfn.XLOOKUP(tblOrders[[#This Row],[CustomerID]],tblCustomers[CustomerID],tblCustomers[Age],"not found")</f>
        <v>20</v>
      </c>
      <c r="E298" t="str">
        <f>_xlfn.XLOOKUP(tblOrders[[#This Row],[CustomerID]],tblCustomers[CustomerID],tblCustomers[Gender],"not found")</f>
        <v>Male</v>
      </c>
      <c r="F298" t="str">
        <f>_xlfn.XLOOKUP(tblOrders[[#This Row],[CustomerID]],tblCustomers[CustomerID],tblCustomers[Region],"not found")</f>
        <v>East</v>
      </c>
      <c r="G298">
        <v>1057</v>
      </c>
      <c r="H298" t="str">
        <f>_xlfn.XLOOKUP(tblOrders[[#This Row],[ProductID]],tblProducts[ProductID],tblProducts[ProductName],"not found")</f>
        <v>Direction</v>
      </c>
      <c r="I298" t="str">
        <f>_xlfn.XLOOKUP(tblOrders[[#This Row],[ProductID]],tblProducts[ProductID],tblProducts[Category],"not found")</f>
        <v>Beauty</v>
      </c>
      <c r="J298">
        <f>_xlfn.XLOOKUP(tblOrders[[#This Row],[ProductID]],tblProducts[ProductID],tblProducts[UnitPrice],"not found")</f>
        <v>445.58</v>
      </c>
      <c r="K298" t="str">
        <f>_xlfn.XLOOKUP(tblOrders[[#This Row],[ProductID]],tblProducts[ProductID],tblProducts[Supplier],"not found")</f>
        <v>Nguyen Inc</v>
      </c>
      <c r="L298" s="1" t="s">
        <v>2025</v>
      </c>
      <c r="M2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45407</v>
      </c>
      <c r="N298">
        <v>2</v>
      </c>
      <c r="O298">
        <v>891.16</v>
      </c>
      <c r="P298">
        <f>tblOrders[[#This Row],[Quantity]]*tblOrders[[#This Row],[Unit Price]]</f>
        <v>891.16</v>
      </c>
      <c r="Q298">
        <f>tblOrders[[#This Row],[TotalSales]]-tblOrders[[#This Row],[Calculated Sales]]</f>
        <v>0</v>
      </c>
    </row>
    <row r="299" spans="1:17" x14ac:dyDescent="0.25">
      <c r="A299">
        <v>1096</v>
      </c>
      <c r="B299">
        <v>701</v>
      </c>
      <c r="C299" t="str">
        <f>_xlfn.XLOOKUP(tblOrders[[#This Row],[CustomerID]],tblCustomers[CustomerID],tblCustomers[CustomerName],"not found")</f>
        <v>Richard Brown</v>
      </c>
      <c r="D299">
        <f>_xlfn.XLOOKUP(tblOrders[[#This Row],[CustomerID]],tblCustomers[CustomerID],tblCustomers[Age],"not found")</f>
        <v>49</v>
      </c>
      <c r="E299" t="str">
        <f>_xlfn.XLOOKUP(tblOrders[[#This Row],[CustomerID]],tblCustomers[CustomerID],tblCustomers[Gender],"not found")</f>
        <v>Male</v>
      </c>
      <c r="F299" t="str">
        <f>_xlfn.XLOOKUP(tblOrders[[#This Row],[CustomerID]],tblCustomers[CustomerID],tblCustomers[Region],"not found")</f>
        <v>East</v>
      </c>
      <c r="G299">
        <v>1057</v>
      </c>
      <c r="H299" t="str">
        <f>_xlfn.XLOOKUP(tblOrders[[#This Row],[ProductID]],tblProducts[ProductID],tblProducts[ProductName],"not found")</f>
        <v>Direction</v>
      </c>
      <c r="I299" t="str">
        <f>_xlfn.XLOOKUP(tblOrders[[#This Row],[ProductID]],tblProducts[ProductID],tblProducts[Category],"not found")</f>
        <v>Beauty</v>
      </c>
      <c r="J299">
        <f>_xlfn.XLOOKUP(tblOrders[[#This Row],[ProductID]],tblProducts[ProductID],tblProducts[UnitPrice],"not found")</f>
        <v>445.58</v>
      </c>
      <c r="K299" t="str">
        <f>_xlfn.XLOOKUP(tblOrders[[#This Row],[ProductID]],tblProducts[ProductID],tblProducts[Supplier],"not found")</f>
        <v>Nguyen Inc</v>
      </c>
      <c r="L299" s="1">
        <v>45111</v>
      </c>
      <c r="M2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45111</v>
      </c>
      <c r="N299">
        <v>2</v>
      </c>
      <c r="O299">
        <v>891.16</v>
      </c>
      <c r="P299">
        <f>tblOrders[[#This Row],[Quantity]]*tblOrders[[#This Row],[Unit Price]]</f>
        <v>891.16</v>
      </c>
      <c r="Q299">
        <f>tblOrders[[#This Row],[TotalSales]]-tblOrders[[#This Row],[Calculated Sales]]</f>
        <v>0</v>
      </c>
    </row>
    <row r="300" spans="1:17" x14ac:dyDescent="0.25">
      <c r="A300">
        <v>1097</v>
      </c>
      <c r="B300">
        <v>61</v>
      </c>
      <c r="C300" t="str">
        <f>_xlfn.XLOOKUP(tblOrders[[#This Row],[CustomerID]],tblCustomers[CustomerID],tblCustomers[CustomerName],"not found")</f>
        <v>Connor Huang</v>
      </c>
      <c r="D300">
        <f>_xlfn.XLOOKUP(tblOrders[[#This Row],[CustomerID]],tblCustomers[CustomerID],tblCustomers[Age],"not found")</f>
        <v>22</v>
      </c>
      <c r="E300" t="str">
        <f>_xlfn.XLOOKUP(tblOrders[[#This Row],[CustomerID]],tblCustomers[CustomerID],tblCustomers[Gender],"not found")</f>
        <v>Male</v>
      </c>
      <c r="F300" t="str">
        <f>_xlfn.XLOOKUP(tblOrders[[#This Row],[CustomerID]],tblCustomers[CustomerID],tblCustomers[Region],"not found")</f>
        <v>West</v>
      </c>
      <c r="G300">
        <v>1057</v>
      </c>
      <c r="H300" t="str">
        <f>_xlfn.XLOOKUP(tblOrders[[#This Row],[ProductID]],tblProducts[ProductID],tblProducts[ProductName],"not found")</f>
        <v>Direction</v>
      </c>
      <c r="I300" t="str">
        <f>_xlfn.XLOOKUP(tblOrders[[#This Row],[ProductID]],tblProducts[ProductID],tblProducts[Category],"not found")</f>
        <v>Beauty</v>
      </c>
      <c r="J300">
        <f>_xlfn.XLOOKUP(tblOrders[[#This Row],[ProductID]],tblProducts[ProductID],tblProducts[UnitPrice],"not found")</f>
        <v>445.58</v>
      </c>
      <c r="K300" t="str">
        <f>_xlfn.XLOOKUP(tblOrders[[#This Row],[ProductID]],tblProducts[ProductID],tblProducts[Supplier],"not found")</f>
        <v>Nguyen Inc</v>
      </c>
      <c r="L300" s="1">
        <v>45208</v>
      </c>
      <c r="M3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45208</v>
      </c>
      <c r="N300">
        <v>1</v>
      </c>
      <c r="O300">
        <v>445.58</v>
      </c>
      <c r="P300">
        <f>tblOrders[[#This Row],[Quantity]]*tblOrders[[#This Row],[Unit Price]]</f>
        <v>445.58</v>
      </c>
      <c r="Q300">
        <f>tblOrders[[#This Row],[TotalSales]]-tblOrders[[#This Row],[Calculated Sales]]</f>
        <v>0</v>
      </c>
    </row>
    <row r="301" spans="1:17" x14ac:dyDescent="0.25">
      <c r="A301">
        <v>1128</v>
      </c>
      <c r="B301">
        <v>10</v>
      </c>
      <c r="C301" t="str">
        <f>_xlfn.XLOOKUP(tblOrders[[#This Row],[CustomerID]],tblCustomers[CustomerID],tblCustomers[CustomerName],"not found")</f>
        <v>Donald Perry</v>
      </c>
      <c r="D301">
        <f>_xlfn.XLOOKUP(tblOrders[[#This Row],[CustomerID]],tblCustomers[CustomerID],tblCustomers[Age],"not found")</f>
        <v>25</v>
      </c>
      <c r="E301" t="str">
        <f>_xlfn.XLOOKUP(tblOrders[[#This Row],[CustomerID]],tblCustomers[CustomerID],tblCustomers[Gender],"not found")</f>
        <v>Male</v>
      </c>
      <c r="F301" t="str">
        <f>_xlfn.XLOOKUP(tblOrders[[#This Row],[CustomerID]],tblCustomers[CustomerID],tblCustomers[Region],"not found")</f>
        <v>South</v>
      </c>
      <c r="G301">
        <v>1057</v>
      </c>
      <c r="H301" t="str">
        <f>_xlfn.XLOOKUP(tblOrders[[#This Row],[ProductID]],tblProducts[ProductID],tblProducts[ProductName],"not found")</f>
        <v>Direction</v>
      </c>
      <c r="I301" t="str">
        <f>_xlfn.XLOOKUP(tblOrders[[#This Row],[ProductID]],tblProducts[ProductID],tblProducts[Category],"not found")</f>
        <v>Beauty</v>
      </c>
      <c r="J301">
        <f>_xlfn.XLOOKUP(tblOrders[[#This Row],[ProductID]],tblProducts[ProductID],tblProducts[UnitPrice],"not found")</f>
        <v>445.58</v>
      </c>
      <c r="K301" t="str">
        <f>_xlfn.XLOOKUP(tblOrders[[#This Row],[ProductID]],tblProducts[ProductID],tblProducts[Supplier],"not found")</f>
        <v>Nguyen Inc</v>
      </c>
      <c r="L301" s="1" t="s">
        <v>2160</v>
      </c>
      <c r="M3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44955</v>
      </c>
      <c r="N301">
        <v>7</v>
      </c>
      <c r="O301">
        <v>3119.06</v>
      </c>
      <c r="P301">
        <f>tblOrders[[#This Row],[Quantity]]*tblOrders[[#This Row],[Unit Price]]</f>
        <v>3119.06</v>
      </c>
      <c r="Q301">
        <f>tblOrders[[#This Row],[TotalSales]]-tblOrders[[#This Row],[Calculated Sales]]</f>
        <v>0</v>
      </c>
    </row>
    <row r="302" spans="1:17" x14ac:dyDescent="0.25">
      <c r="A302">
        <v>1261</v>
      </c>
      <c r="B302">
        <v>890</v>
      </c>
      <c r="C302" t="str">
        <f>_xlfn.XLOOKUP(tblOrders[[#This Row],[CustomerID]],tblCustomers[CustomerID],tblCustomers[CustomerName],"not found")</f>
        <v>Holly Davis</v>
      </c>
      <c r="D302">
        <f>_xlfn.XLOOKUP(tblOrders[[#This Row],[CustomerID]],tblCustomers[CustomerID],tblCustomers[Age],"not found")</f>
        <v>53</v>
      </c>
      <c r="E302" t="str">
        <f>_xlfn.XLOOKUP(tblOrders[[#This Row],[CustomerID]],tblCustomers[CustomerID],tblCustomers[Gender],"not found")</f>
        <v>Male</v>
      </c>
      <c r="F302" t="str">
        <f>_xlfn.XLOOKUP(tblOrders[[#This Row],[CustomerID]],tblCustomers[CustomerID],tblCustomers[Region],"not found")</f>
        <v>West</v>
      </c>
      <c r="G302">
        <v>1057</v>
      </c>
      <c r="H302" t="str">
        <f>_xlfn.XLOOKUP(tblOrders[[#This Row],[ProductID]],tblProducts[ProductID],tblProducts[ProductName],"not found")</f>
        <v>Direction</v>
      </c>
      <c r="I302" t="str">
        <f>_xlfn.XLOOKUP(tblOrders[[#This Row],[ProductID]],tblProducts[ProductID],tblProducts[Category],"not found")</f>
        <v>Beauty</v>
      </c>
      <c r="J302">
        <f>_xlfn.XLOOKUP(tblOrders[[#This Row],[ProductID]],tblProducts[ProductID],tblProducts[UnitPrice],"not found")</f>
        <v>445.58</v>
      </c>
      <c r="K302" t="str">
        <f>_xlfn.XLOOKUP(tblOrders[[#This Row],[ProductID]],tblProducts[ProductID],tblProducts[Supplier],"not found")</f>
        <v>Nguyen Inc</v>
      </c>
      <c r="L302" s="1">
        <v>45383</v>
      </c>
      <c r="M3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45383</v>
      </c>
      <c r="N302">
        <v>6</v>
      </c>
      <c r="O302">
        <v>2673.48</v>
      </c>
      <c r="P302">
        <f>tblOrders[[#This Row],[Quantity]]*tblOrders[[#This Row],[Unit Price]]</f>
        <v>2673.48</v>
      </c>
      <c r="Q302">
        <f>tblOrders[[#This Row],[TotalSales]]-tblOrders[[#This Row],[Calculated Sales]]</f>
        <v>0</v>
      </c>
    </row>
    <row r="303" spans="1:17" x14ac:dyDescent="0.25">
      <c r="A303">
        <v>1354</v>
      </c>
      <c r="B303">
        <v>549</v>
      </c>
      <c r="C303" t="str">
        <f>_xlfn.XLOOKUP(tblOrders[[#This Row],[CustomerID]],tblCustomers[CustomerID],tblCustomers[CustomerName],"not found")</f>
        <v>Andrew Fernandez</v>
      </c>
      <c r="D303">
        <f>_xlfn.XLOOKUP(tblOrders[[#This Row],[CustomerID]],tblCustomers[CustomerID],tblCustomers[Age],"not found")</f>
        <v>42</v>
      </c>
      <c r="E303" t="str">
        <f>_xlfn.XLOOKUP(tblOrders[[#This Row],[CustomerID]],tblCustomers[CustomerID],tblCustomers[Gender],"not found")</f>
        <v>Male</v>
      </c>
      <c r="F303" t="str">
        <f>_xlfn.XLOOKUP(tblOrders[[#This Row],[CustomerID]],tblCustomers[CustomerID],tblCustomers[Region],"not found")</f>
        <v>Central</v>
      </c>
      <c r="G303">
        <v>1057</v>
      </c>
      <c r="H303" t="str">
        <f>_xlfn.XLOOKUP(tblOrders[[#This Row],[ProductID]],tblProducts[ProductID],tblProducts[ProductName],"not found")</f>
        <v>Direction</v>
      </c>
      <c r="I303" t="str">
        <f>_xlfn.XLOOKUP(tblOrders[[#This Row],[ProductID]],tblProducts[ProductID],tblProducts[Category],"not found")</f>
        <v>Beauty</v>
      </c>
      <c r="J303">
        <f>_xlfn.XLOOKUP(tblOrders[[#This Row],[ProductID]],tblProducts[ProductID],tblProducts[UnitPrice],"not found")</f>
        <v>445.58</v>
      </c>
      <c r="K303" t="str">
        <f>_xlfn.XLOOKUP(tblOrders[[#This Row],[ProductID]],tblProducts[ProductID],tblProducts[Supplier],"not found")</f>
        <v>Nguyen Inc</v>
      </c>
      <c r="L303" s="1" t="s">
        <v>2161</v>
      </c>
      <c r="M3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45499</v>
      </c>
      <c r="N303">
        <v>4</v>
      </c>
      <c r="O303">
        <v>1782.32</v>
      </c>
      <c r="P303">
        <f>tblOrders[[#This Row],[Quantity]]*tblOrders[[#This Row],[Unit Price]]</f>
        <v>1782.32</v>
      </c>
      <c r="Q303">
        <f>tblOrders[[#This Row],[TotalSales]]-tblOrders[[#This Row],[Calculated Sales]]</f>
        <v>0</v>
      </c>
    </row>
    <row r="304" spans="1:17" x14ac:dyDescent="0.25">
      <c r="A304">
        <v>1524</v>
      </c>
      <c r="B304">
        <v>808</v>
      </c>
      <c r="C304" t="str">
        <f>_xlfn.XLOOKUP(tblOrders[[#This Row],[CustomerID]],tblCustomers[CustomerID],tblCustomers[CustomerName],"not found")</f>
        <v>Chad Francis</v>
      </c>
      <c r="D304">
        <f>_xlfn.XLOOKUP(tblOrders[[#This Row],[CustomerID]],tblCustomers[CustomerID],tblCustomers[Age],"not found")</f>
        <v>27</v>
      </c>
      <c r="E304" t="str">
        <f>_xlfn.XLOOKUP(tblOrders[[#This Row],[CustomerID]],tblCustomers[CustomerID],tblCustomers[Gender],"not found")</f>
        <v>Male</v>
      </c>
      <c r="F304" t="str">
        <f>_xlfn.XLOOKUP(tblOrders[[#This Row],[CustomerID]],tblCustomers[CustomerID],tblCustomers[Region],"not found")</f>
        <v>East</v>
      </c>
      <c r="G304">
        <v>1057</v>
      </c>
      <c r="H304" t="str">
        <f>_xlfn.XLOOKUP(tblOrders[[#This Row],[ProductID]],tblProducts[ProductID],tblProducts[ProductName],"not found")</f>
        <v>Direction</v>
      </c>
      <c r="I304" t="str">
        <f>_xlfn.XLOOKUP(tblOrders[[#This Row],[ProductID]],tblProducts[ProductID],tblProducts[Category],"not found")</f>
        <v>Beauty</v>
      </c>
      <c r="J304">
        <f>_xlfn.XLOOKUP(tblOrders[[#This Row],[ProductID]],tblProducts[ProductID],tblProducts[UnitPrice],"not found")</f>
        <v>445.58</v>
      </c>
      <c r="K304" t="str">
        <f>_xlfn.XLOOKUP(tblOrders[[#This Row],[ProductID]],tblProducts[ProductID],tblProducts[Supplier],"not found")</f>
        <v>Nguyen Inc</v>
      </c>
      <c r="L304" s="1" t="s">
        <v>2162</v>
      </c>
      <c r="M3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45588</v>
      </c>
      <c r="N304">
        <v>7</v>
      </c>
      <c r="O304">
        <v>3119.06</v>
      </c>
      <c r="P304">
        <f>tblOrders[[#This Row],[Quantity]]*tblOrders[[#This Row],[Unit Price]]</f>
        <v>3119.06</v>
      </c>
      <c r="Q304">
        <f>tblOrders[[#This Row],[TotalSales]]-tblOrders[[#This Row],[Calculated Sales]]</f>
        <v>0</v>
      </c>
    </row>
    <row r="305" spans="1:17" x14ac:dyDescent="0.25">
      <c r="A305">
        <v>1657</v>
      </c>
      <c r="B305">
        <v>118</v>
      </c>
      <c r="C305" t="str">
        <f>_xlfn.XLOOKUP(tblOrders[[#This Row],[CustomerID]],tblCustomers[CustomerID],tblCustomers[CustomerName],"not found")</f>
        <v>Donald Brown</v>
      </c>
      <c r="D305">
        <f>_xlfn.XLOOKUP(tblOrders[[#This Row],[CustomerID]],tblCustomers[CustomerID],tblCustomers[Age],"not found")</f>
        <v>49</v>
      </c>
      <c r="E305" t="str">
        <f>_xlfn.XLOOKUP(tblOrders[[#This Row],[CustomerID]],tblCustomers[CustomerID],tblCustomers[Gender],"not found")</f>
        <v>Male</v>
      </c>
      <c r="F305" t="str">
        <f>_xlfn.XLOOKUP(tblOrders[[#This Row],[CustomerID]],tblCustomers[CustomerID],tblCustomers[Region],"not found")</f>
        <v>East</v>
      </c>
      <c r="G305">
        <v>1057</v>
      </c>
      <c r="H305" t="str">
        <f>_xlfn.XLOOKUP(tblOrders[[#This Row],[ProductID]],tblProducts[ProductID],tblProducts[ProductName],"not found")</f>
        <v>Direction</v>
      </c>
      <c r="I305" t="str">
        <f>_xlfn.XLOOKUP(tblOrders[[#This Row],[ProductID]],tblProducts[ProductID],tblProducts[Category],"not found")</f>
        <v>Beauty</v>
      </c>
      <c r="J305">
        <f>_xlfn.XLOOKUP(tblOrders[[#This Row],[ProductID]],tblProducts[ProductID],tblProducts[UnitPrice],"not found")</f>
        <v>445.58</v>
      </c>
      <c r="K305" t="str">
        <f>_xlfn.XLOOKUP(tblOrders[[#This Row],[ProductID]],tblProducts[ProductID],tblProducts[Supplier],"not found")</f>
        <v>Nguyen Inc</v>
      </c>
      <c r="L305" s="1">
        <v>44930</v>
      </c>
      <c r="M3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44930</v>
      </c>
      <c r="N305">
        <v>4</v>
      </c>
      <c r="O305">
        <v>1782.32</v>
      </c>
      <c r="P305">
        <f>tblOrders[[#This Row],[Quantity]]*tblOrders[[#This Row],[Unit Price]]</f>
        <v>1782.32</v>
      </c>
      <c r="Q305">
        <f>tblOrders[[#This Row],[TotalSales]]-tblOrders[[#This Row],[Calculated Sales]]</f>
        <v>0</v>
      </c>
    </row>
    <row r="306" spans="1:17" x14ac:dyDescent="0.25">
      <c r="A306">
        <v>1736</v>
      </c>
      <c r="B306">
        <v>118</v>
      </c>
      <c r="C306" t="str">
        <f>_xlfn.XLOOKUP(tblOrders[[#This Row],[CustomerID]],tblCustomers[CustomerID],tblCustomers[CustomerName],"not found")</f>
        <v>Donald Brown</v>
      </c>
      <c r="D306">
        <f>_xlfn.XLOOKUP(tblOrders[[#This Row],[CustomerID]],tblCustomers[CustomerID],tblCustomers[Age],"not found")</f>
        <v>49</v>
      </c>
      <c r="E306" t="str">
        <f>_xlfn.XLOOKUP(tblOrders[[#This Row],[CustomerID]],tblCustomers[CustomerID],tblCustomers[Gender],"not found")</f>
        <v>Male</v>
      </c>
      <c r="F306" t="str">
        <f>_xlfn.XLOOKUP(tblOrders[[#This Row],[CustomerID]],tblCustomers[CustomerID],tblCustomers[Region],"not found")</f>
        <v>East</v>
      </c>
      <c r="G306">
        <v>1057</v>
      </c>
      <c r="H306" t="str">
        <f>_xlfn.XLOOKUP(tblOrders[[#This Row],[ProductID]],tblProducts[ProductID],tblProducts[ProductName],"not found")</f>
        <v>Direction</v>
      </c>
      <c r="I306" t="str">
        <f>_xlfn.XLOOKUP(tblOrders[[#This Row],[ProductID]],tblProducts[ProductID],tblProducts[Category],"not found")</f>
        <v>Beauty</v>
      </c>
      <c r="J306">
        <f>_xlfn.XLOOKUP(tblOrders[[#This Row],[ProductID]],tblProducts[ProductID],tblProducts[UnitPrice],"not found")</f>
        <v>445.58</v>
      </c>
      <c r="K306" t="str">
        <f>_xlfn.XLOOKUP(tblOrders[[#This Row],[ProductID]],tblProducts[ProductID],tblProducts[Supplier],"not found")</f>
        <v>Nguyen Inc</v>
      </c>
      <c r="L306" s="1" t="s">
        <v>2163</v>
      </c>
      <c r="M3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45308</v>
      </c>
      <c r="N306">
        <v>2</v>
      </c>
      <c r="O306">
        <v>891.16</v>
      </c>
      <c r="P306">
        <f>tblOrders[[#This Row],[Quantity]]*tblOrders[[#This Row],[Unit Price]]</f>
        <v>891.16</v>
      </c>
      <c r="Q306">
        <f>tblOrders[[#This Row],[TotalSales]]-tblOrders[[#This Row],[Calculated Sales]]</f>
        <v>0</v>
      </c>
    </row>
    <row r="307" spans="1:17" x14ac:dyDescent="0.25">
      <c r="A307">
        <v>1835</v>
      </c>
      <c r="B307">
        <v>196</v>
      </c>
      <c r="C307" t="str">
        <f>_xlfn.XLOOKUP(tblOrders[[#This Row],[CustomerID]],tblCustomers[CustomerID],tblCustomers[CustomerName],"not found")</f>
        <v>Daniel Mcgee</v>
      </c>
      <c r="D307">
        <f>_xlfn.XLOOKUP(tblOrders[[#This Row],[CustomerID]],tblCustomers[CustomerID],tblCustomers[Age],"not found")</f>
        <v>56</v>
      </c>
      <c r="E307" t="str">
        <f>_xlfn.XLOOKUP(tblOrders[[#This Row],[CustomerID]],tblCustomers[CustomerID],tblCustomers[Gender],"not found")</f>
        <v>Female</v>
      </c>
      <c r="F307" t="str">
        <f>_xlfn.XLOOKUP(tblOrders[[#This Row],[CustomerID]],tblCustomers[CustomerID],tblCustomers[Region],"not found")</f>
        <v>South</v>
      </c>
      <c r="G307">
        <v>1057</v>
      </c>
      <c r="H307" t="str">
        <f>_xlfn.XLOOKUP(tblOrders[[#This Row],[ProductID]],tblProducts[ProductID],tblProducts[ProductName],"not found")</f>
        <v>Direction</v>
      </c>
      <c r="I307" t="str">
        <f>_xlfn.XLOOKUP(tblOrders[[#This Row],[ProductID]],tblProducts[ProductID],tblProducts[Category],"not found")</f>
        <v>Beauty</v>
      </c>
      <c r="J307">
        <f>_xlfn.XLOOKUP(tblOrders[[#This Row],[ProductID]],tblProducts[ProductID],tblProducts[UnitPrice],"not found")</f>
        <v>445.58</v>
      </c>
      <c r="K307" t="str">
        <f>_xlfn.XLOOKUP(tblOrders[[#This Row],[ProductID]],tblProducts[ProductID],tblProducts[Supplier],"not found")</f>
        <v>Nguyen Inc</v>
      </c>
      <c r="L307" s="1">
        <v>45117</v>
      </c>
      <c r="M3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45117</v>
      </c>
      <c r="N307">
        <v>5</v>
      </c>
      <c r="O307">
        <v>2227.9</v>
      </c>
      <c r="P307">
        <f>tblOrders[[#This Row],[Quantity]]*tblOrders[[#This Row],[Unit Price]]</f>
        <v>2227.9</v>
      </c>
      <c r="Q307">
        <f>tblOrders[[#This Row],[TotalSales]]-tblOrders[[#This Row],[Calculated Sales]]</f>
        <v>0</v>
      </c>
    </row>
    <row r="308" spans="1:17" x14ac:dyDescent="0.25">
      <c r="A308">
        <v>16</v>
      </c>
      <c r="B308">
        <v>945</v>
      </c>
      <c r="C308" t="str">
        <f>_xlfn.XLOOKUP(tblOrders[[#This Row],[CustomerID]],tblCustomers[CustomerID],tblCustomers[CustomerName],"not found")</f>
        <v>Elizabeth Daniel</v>
      </c>
      <c r="D308">
        <f>_xlfn.XLOOKUP(tblOrders[[#This Row],[CustomerID]],tblCustomers[CustomerID],tblCustomers[Age],"not found")</f>
        <v>63</v>
      </c>
      <c r="E308" t="str">
        <f>_xlfn.XLOOKUP(tblOrders[[#This Row],[CustomerID]],tblCustomers[CustomerID],tblCustomers[Gender],"not found")</f>
        <v>Male</v>
      </c>
      <c r="F308" t="str">
        <f>_xlfn.XLOOKUP(tblOrders[[#This Row],[CustomerID]],tblCustomers[CustomerID],tblCustomers[Region],"not found")</f>
        <v>East</v>
      </c>
      <c r="G308">
        <v>1003</v>
      </c>
      <c r="H308" t="str">
        <f>_xlfn.XLOOKUP(tblOrders[[#This Row],[ProductID]],tblProducts[ProductID],tblProducts[ProductName],"not found")</f>
        <v>Almost</v>
      </c>
      <c r="I308" t="str">
        <f>_xlfn.XLOOKUP(tblOrders[[#This Row],[ProductID]],tblProducts[ProductID],tblProducts[Category],"not found")</f>
        <v>Electronics</v>
      </c>
      <c r="J308">
        <f>_xlfn.XLOOKUP(tblOrders[[#This Row],[ProductID]],tblProducts[ProductID],tblProducts[UnitPrice],"not found")</f>
        <v>37.75</v>
      </c>
      <c r="K308" t="str">
        <f>_xlfn.XLOOKUP(tblOrders[[#This Row],[ProductID]],tblProducts[ProductID],tblProducts[Supplier],"not found")</f>
        <v>Williams, Shah and Mitchell</v>
      </c>
      <c r="L308" s="1">
        <v>45601</v>
      </c>
      <c r="M3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45601</v>
      </c>
      <c r="N308">
        <v>3</v>
      </c>
      <c r="O308">
        <v>113.25</v>
      </c>
      <c r="P308">
        <f>tblOrders[[#This Row],[Quantity]]*tblOrders[[#This Row],[Unit Price]]</f>
        <v>113.25</v>
      </c>
      <c r="Q308">
        <f>tblOrders[[#This Row],[TotalSales]]-tblOrders[[#This Row],[Calculated Sales]]</f>
        <v>0</v>
      </c>
    </row>
    <row r="309" spans="1:17" x14ac:dyDescent="0.25">
      <c r="A309">
        <v>301</v>
      </c>
      <c r="B309">
        <v>54</v>
      </c>
      <c r="C309" t="str">
        <f>_xlfn.XLOOKUP(tblOrders[[#This Row],[CustomerID]],tblCustomers[CustomerID],tblCustomers[CustomerName],"not found")</f>
        <v>Jamie Sherman</v>
      </c>
      <c r="D309">
        <f>_xlfn.XLOOKUP(tblOrders[[#This Row],[CustomerID]],tblCustomers[CustomerID],tblCustomers[Age],"not found")</f>
        <v>64</v>
      </c>
      <c r="E309" t="str">
        <f>_xlfn.XLOOKUP(tblOrders[[#This Row],[CustomerID]],tblCustomers[CustomerID],tblCustomers[Gender],"not found")</f>
        <v>Male</v>
      </c>
      <c r="F309" t="str">
        <f>_xlfn.XLOOKUP(tblOrders[[#This Row],[CustomerID]],tblCustomers[CustomerID],tblCustomers[Region],"not found")</f>
        <v>Central</v>
      </c>
      <c r="G309">
        <v>1003</v>
      </c>
      <c r="H309" t="str">
        <f>_xlfn.XLOOKUP(tblOrders[[#This Row],[ProductID]],tblProducts[ProductID],tblProducts[ProductName],"not found")</f>
        <v>Almost</v>
      </c>
      <c r="I309" t="str">
        <f>_xlfn.XLOOKUP(tblOrders[[#This Row],[ProductID]],tblProducts[ProductID],tblProducts[Category],"not found")</f>
        <v>Electronics</v>
      </c>
      <c r="J309">
        <f>_xlfn.XLOOKUP(tblOrders[[#This Row],[ProductID]],tblProducts[ProductID],tblProducts[UnitPrice],"not found")</f>
        <v>37.75</v>
      </c>
      <c r="K309" t="str">
        <f>_xlfn.XLOOKUP(tblOrders[[#This Row],[ProductID]],tblProducts[ProductID],tblProducts[Supplier],"not found")</f>
        <v>Williams, Shah and Mitchell</v>
      </c>
      <c r="L309" s="1">
        <v>45207</v>
      </c>
      <c r="M3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45207</v>
      </c>
      <c r="N309">
        <v>5</v>
      </c>
      <c r="O309">
        <v>188.75</v>
      </c>
      <c r="P309">
        <f>tblOrders[[#This Row],[Quantity]]*tblOrders[[#This Row],[Unit Price]]</f>
        <v>188.75</v>
      </c>
      <c r="Q309">
        <f>tblOrders[[#This Row],[TotalSales]]-tblOrders[[#This Row],[Calculated Sales]]</f>
        <v>0</v>
      </c>
    </row>
    <row r="310" spans="1:17" x14ac:dyDescent="0.25">
      <c r="A310">
        <v>311</v>
      </c>
      <c r="B310">
        <v>673</v>
      </c>
      <c r="C310" t="str">
        <f>_xlfn.XLOOKUP(tblOrders[[#This Row],[CustomerID]],tblCustomers[CustomerID],tblCustomers[CustomerName],"not found")</f>
        <v>Gregory Walters</v>
      </c>
      <c r="D310">
        <f>_xlfn.XLOOKUP(tblOrders[[#This Row],[CustomerID]],tblCustomers[CustomerID],tblCustomers[Age],"not found")</f>
        <v>65</v>
      </c>
      <c r="E310" t="str">
        <f>_xlfn.XLOOKUP(tblOrders[[#This Row],[CustomerID]],tblCustomers[CustomerID],tblCustomers[Gender],"not found")</f>
        <v>Female</v>
      </c>
      <c r="F310" t="str">
        <f>_xlfn.XLOOKUP(tblOrders[[#This Row],[CustomerID]],tblCustomers[CustomerID],tblCustomers[Region],"not found")</f>
        <v>North</v>
      </c>
      <c r="G310">
        <v>1003</v>
      </c>
      <c r="H310" t="str">
        <f>_xlfn.XLOOKUP(tblOrders[[#This Row],[ProductID]],tblProducts[ProductID],tblProducts[ProductName],"not found")</f>
        <v>Almost</v>
      </c>
      <c r="I310" t="str">
        <f>_xlfn.XLOOKUP(tblOrders[[#This Row],[ProductID]],tblProducts[ProductID],tblProducts[Category],"not found")</f>
        <v>Electronics</v>
      </c>
      <c r="J310">
        <f>_xlfn.XLOOKUP(tblOrders[[#This Row],[ProductID]],tblProducts[ProductID],tblProducts[UnitPrice],"not found")</f>
        <v>37.75</v>
      </c>
      <c r="K310" t="str">
        <f>_xlfn.XLOOKUP(tblOrders[[#This Row],[ProductID]],tblProducts[ProductID],tblProducts[Supplier],"not found")</f>
        <v>Williams, Shah and Mitchell</v>
      </c>
      <c r="L310" s="1" t="s">
        <v>2160</v>
      </c>
      <c r="M3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44955</v>
      </c>
      <c r="N310">
        <v>9</v>
      </c>
      <c r="O310">
        <v>339.75</v>
      </c>
      <c r="P310">
        <f>tblOrders[[#This Row],[Quantity]]*tblOrders[[#This Row],[Unit Price]]</f>
        <v>339.75</v>
      </c>
      <c r="Q310">
        <f>tblOrders[[#This Row],[TotalSales]]-tblOrders[[#This Row],[Calculated Sales]]</f>
        <v>0</v>
      </c>
    </row>
    <row r="311" spans="1:17" x14ac:dyDescent="0.25">
      <c r="A311">
        <v>378</v>
      </c>
      <c r="B311">
        <v>336</v>
      </c>
      <c r="C311" t="str">
        <f>_xlfn.XLOOKUP(tblOrders[[#This Row],[CustomerID]],tblCustomers[CustomerID],tblCustomers[CustomerName],"not found")</f>
        <v>Edwin Barnes</v>
      </c>
      <c r="D311">
        <f>_xlfn.XLOOKUP(tblOrders[[#This Row],[CustomerID]],tblCustomers[CustomerID],tblCustomers[Age],"not found")</f>
        <v>63</v>
      </c>
      <c r="E311" t="str">
        <f>_xlfn.XLOOKUP(tblOrders[[#This Row],[CustomerID]],tblCustomers[CustomerID],tblCustomers[Gender],"not found")</f>
        <v>Female</v>
      </c>
      <c r="F311" t="str">
        <f>_xlfn.XLOOKUP(tblOrders[[#This Row],[CustomerID]],tblCustomers[CustomerID],tblCustomers[Region],"not found")</f>
        <v>North</v>
      </c>
      <c r="G311">
        <v>1003</v>
      </c>
      <c r="H311" t="str">
        <f>_xlfn.XLOOKUP(tblOrders[[#This Row],[ProductID]],tblProducts[ProductID],tblProducts[ProductName],"not found")</f>
        <v>Almost</v>
      </c>
      <c r="I311" t="str">
        <f>_xlfn.XLOOKUP(tblOrders[[#This Row],[ProductID]],tblProducts[ProductID],tblProducts[Category],"not found")</f>
        <v>Electronics</v>
      </c>
      <c r="J311">
        <f>_xlfn.XLOOKUP(tblOrders[[#This Row],[ProductID]],tblProducts[ProductID],tblProducts[UnitPrice],"not found")</f>
        <v>37.75</v>
      </c>
      <c r="K311" t="str">
        <f>_xlfn.XLOOKUP(tblOrders[[#This Row],[ProductID]],tblProducts[ProductID],tblProducts[Supplier],"not found")</f>
        <v>Williams, Shah and Mitchell</v>
      </c>
      <c r="L311" s="1">
        <v>45476</v>
      </c>
      <c r="M3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45476</v>
      </c>
      <c r="N311">
        <v>5</v>
      </c>
      <c r="O311">
        <v>188.75</v>
      </c>
      <c r="P311">
        <f>tblOrders[[#This Row],[Quantity]]*tblOrders[[#This Row],[Unit Price]]</f>
        <v>188.75</v>
      </c>
      <c r="Q311">
        <f>tblOrders[[#This Row],[TotalSales]]-tblOrders[[#This Row],[Calculated Sales]]</f>
        <v>0</v>
      </c>
    </row>
    <row r="312" spans="1:17" x14ac:dyDescent="0.25">
      <c r="A312">
        <v>420</v>
      </c>
      <c r="B312">
        <v>314</v>
      </c>
      <c r="C312" t="str">
        <f>_xlfn.XLOOKUP(tblOrders[[#This Row],[CustomerID]],tblCustomers[CustomerID],tblCustomers[CustomerName],"not found")</f>
        <v>Douglas Kelly</v>
      </c>
      <c r="D312">
        <f>_xlfn.XLOOKUP(tblOrders[[#This Row],[CustomerID]],tblCustomers[CustomerID],tblCustomers[Age],"not found")</f>
        <v>23</v>
      </c>
      <c r="E312" t="str">
        <f>_xlfn.XLOOKUP(tblOrders[[#This Row],[CustomerID]],tblCustomers[CustomerID],tblCustomers[Gender],"not found")</f>
        <v>Male</v>
      </c>
      <c r="F312" t="str">
        <f>_xlfn.XLOOKUP(tblOrders[[#This Row],[CustomerID]],tblCustomers[CustomerID],tblCustomers[Region],"not found")</f>
        <v>West</v>
      </c>
      <c r="G312">
        <v>1003</v>
      </c>
      <c r="H312" t="str">
        <f>_xlfn.XLOOKUP(tblOrders[[#This Row],[ProductID]],tblProducts[ProductID],tblProducts[ProductName],"not found")</f>
        <v>Almost</v>
      </c>
      <c r="I312" t="str">
        <f>_xlfn.XLOOKUP(tblOrders[[#This Row],[ProductID]],tblProducts[ProductID],tblProducts[Category],"not found")</f>
        <v>Electronics</v>
      </c>
      <c r="J312">
        <f>_xlfn.XLOOKUP(tblOrders[[#This Row],[ProductID]],tblProducts[ProductID],tblProducts[UnitPrice],"not found")</f>
        <v>37.75</v>
      </c>
      <c r="K312" t="str">
        <f>_xlfn.XLOOKUP(tblOrders[[#This Row],[ProductID]],tblProducts[ProductID],tblProducts[Supplier],"not found")</f>
        <v>Williams, Shah and Mitchell</v>
      </c>
      <c r="L312" s="1">
        <v>45600</v>
      </c>
      <c r="M3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45600</v>
      </c>
      <c r="N312">
        <v>3</v>
      </c>
      <c r="O312">
        <v>113.25</v>
      </c>
      <c r="P312">
        <f>tblOrders[[#This Row],[Quantity]]*tblOrders[[#This Row],[Unit Price]]</f>
        <v>113.25</v>
      </c>
      <c r="Q312">
        <f>tblOrders[[#This Row],[TotalSales]]-tblOrders[[#This Row],[Calculated Sales]]</f>
        <v>0</v>
      </c>
    </row>
    <row r="313" spans="1:17" x14ac:dyDescent="0.25">
      <c r="A313">
        <v>556</v>
      </c>
      <c r="B313">
        <v>641</v>
      </c>
      <c r="C313" t="str">
        <f>_xlfn.XLOOKUP(tblOrders[[#This Row],[CustomerID]],tblCustomers[CustomerID],tblCustomers[CustomerName],"not found")</f>
        <v>Lindsay Wong</v>
      </c>
      <c r="D313">
        <f>_xlfn.XLOOKUP(tblOrders[[#This Row],[CustomerID]],tblCustomers[CustomerID],tblCustomers[Age],"not found")</f>
        <v>38</v>
      </c>
      <c r="E313" t="str">
        <f>_xlfn.XLOOKUP(tblOrders[[#This Row],[CustomerID]],tblCustomers[CustomerID],tblCustomers[Gender],"not found")</f>
        <v>Female</v>
      </c>
      <c r="F313" t="str">
        <f>_xlfn.XLOOKUP(tblOrders[[#This Row],[CustomerID]],tblCustomers[CustomerID],tblCustomers[Region],"not found")</f>
        <v>East</v>
      </c>
      <c r="G313">
        <v>1003</v>
      </c>
      <c r="H313" t="str">
        <f>_xlfn.XLOOKUP(tblOrders[[#This Row],[ProductID]],tblProducts[ProductID],tblProducts[ProductName],"not found")</f>
        <v>Almost</v>
      </c>
      <c r="I313" t="str">
        <f>_xlfn.XLOOKUP(tblOrders[[#This Row],[ProductID]],tblProducts[ProductID],tblProducts[Category],"not found")</f>
        <v>Electronics</v>
      </c>
      <c r="J313">
        <f>_xlfn.XLOOKUP(tblOrders[[#This Row],[ProductID]],tblProducts[ProductID],tblProducts[UnitPrice],"not found")</f>
        <v>37.75</v>
      </c>
      <c r="K313" t="str">
        <f>_xlfn.XLOOKUP(tblOrders[[#This Row],[ProductID]],tblProducts[ProductID],tblProducts[Supplier],"not found")</f>
        <v>Williams, Shah and Mitchell</v>
      </c>
      <c r="L313" s="1" t="s">
        <v>2164</v>
      </c>
      <c r="M3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45471</v>
      </c>
      <c r="N313">
        <v>5</v>
      </c>
      <c r="O313">
        <v>188.75</v>
      </c>
      <c r="P313">
        <f>tblOrders[[#This Row],[Quantity]]*tblOrders[[#This Row],[Unit Price]]</f>
        <v>188.75</v>
      </c>
      <c r="Q313">
        <f>tblOrders[[#This Row],[TotalSales]]-tblOrders[[#This Row],[Calculated Sales]]</f>
        <v>0</v>
      </c>
    </row>
    <row r="314" spans="1:17" x14ac:dyDescent="0.25">
      <c r="A314">
        <v>596</v>
      </c>
      <c r="B314">
        <v>814</v>
      </c>
      <c r="C314" t="str">
        <f>_xlfn.XLOOKUP(tblOrders[[#This Row],[CustomerID]],tblCustomers[CustomerID],tblCustomers[CustomerName],"not found")</f>
        <v>Mark Blake</v>
      </c>
      <c r="D314">
        <f>_xlfn.XLOOKUP(tblOrders[[#This Row],[CustomerID]],tblCustomers[CustomerID],tblCustomers[Age],"not found")</f>
        <v>23</v>
      </c>
      <c r="E314" t="str">
        <f>_xlfn.XLOOKUP(tblOrders[[#This Row],[CustomerID]],tblCustomers[CustomerID],tblCustomers[Gender],"not found")</f>
        <v>Female</v>
      </c>
      <c r="F314" t="str">
        <f>_xlfn.XLOOKUP(tblOrders[[#This Row],[CustomerID]],tblCustomers[CustomerID],tblCustomers[Region],"not found")</f>
        <v>East</v>
      </c>
      <c r="G314">
        <v>1003</v>
      </c>
      <c r="H314" t="str">
        <f>_xlfn.XLOOKUP(tblOrders[[#This Row],[ProductID]],tblProducts[ProductID],tblProducts[ProductName],"not found")</f>
        <v>Almost</v>
      </c>
      <c r="I314" t="str">
        <f>_xlfn.XLOOKUP(tblOrders[[#This Row],[ProductID]],tblProducts[ProductID],tblProducts[Category],"not found")</f>
        <v>Electronics</v>
      </c>
      <c r="J314">
        <f>_xlfn.XLOOKUP(tblOrders[[#This Row],[ProductID]],tblProducts[ProductID],tblProducts[UnitPrice],"not found")</f>
        <v>37.75</v>
      </c>
      <c r="K314" t="str">
        <f>_xlfn.XLOOKUP(tblOrders[[#This Row],[ProductID]],tblProducts[ProductID],tblProducts[Supplier],"not found")</f>
        <v>Williams, Shah and Mitchell</v>
      </c>
      <c r="L314" s="1" t="s">
        <v>2165</v>
      </c>
      <c r="M3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44982</v>
      </c>
      <c r="N314">
        <v>5</v>
      </c>
      <c r="O314">
        <v>188.75</v>
      </c>
      <c r="P314">
        <f>tblOrders[[#This Row],[Quantity]]*tblOrders[[#This Row],[Unit Price]]</f>
        <v>188.75</v>
      </c>
      <c r="Q314">
        <f>tblOrders[[#This Row],[TotalSales]]-tblOrders[[#This Row],[Calculated Sales]]</f>
        <v>0</v>
      </c>
    </row>
    <row r="315" spans="1:17" x14ac:dyDescent="0.25">
      <c r="A315">
        <v>650</v>
      </c>
      <c r="B315">
        <v>326</v>
      </c>
      <c r="C315" t="str">
        <f>_xlfn.XLOOKUP(tblOrders[[#This Row],[CustomerID]],tblCustomers[CustomerID],tblCustomers[CustomerName],"not found")</f>
        <v>Matthew Walker</v>
      </c>
      <c r="D315">
        <f>_xlfn.XLOOKUP(tblOrders[[#This Row],[CustomerID]],tblCustomers[CustomerID],tblCustomers[Age],"not found")</f>
        <v>35</v>
      </c>
      <c r="E315" t="str">
        <f>_xlfn.XLOOKUP(tblOrders[[#This Row],[CustomerID]],tblCustomers[CustomerID],tblCustomers[Gender],"not found")</f>
        <v>Male</v>
      </c>
      <c r="F315" t="str">
        <f>_xlfn.XLOOKUP(tblOrders[[#This Row],[CustomerID]],tblCustomers[CustomerID],tblCustomers[Region],"not found")</f>
        <v>East</v>
      </c>
      <c r="G315">
        <v>1003</v>
      </c>
      <c r="H315" t="str">
        <f>_xlfn.XLOOKUP(tblOrders[[#This Row],[ProductID]],tblProducts[ProductID],tblProducts[ProductName],"not found")</f>
        <v>Almost</v>
      </c>
      <c r="I315" t="str">
        <f>_xlfn.XLOOKUP(tblOrders[[#This Row],[ProductID]],tblProducts[ProductID],tblProducts[Category],"not found")</f>
        <v>Electronics</v>
      </c>
      <c r="J315">
        <f>_xlfn.XLOOKUP(tblOrders[[#This Row],[ProductID]],tblProducts[ProductID],tblProducts[UnitPrice],"not found")</f>
        <v>37.75</v>
      </c>
      <c r="K315" t="str">
        <f>_xlfn.XLOOKUP(tblOrders[[#This Row],[ProductID]],tblProducts[ProductID],tblProducts[Supplier],"not found")</f>
        <v>Williams, Shah and Mitchell</v>
      </c>
      <c r="L315" s="1">
        <v>45604</v>
      </c>
      <c r="M3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45604</v>
      </c>
      <c r="N315">
        <v>2</v>
      </c>
      <c r="O315">
        <v>75.5</v>
      </c>
      <c r="P315">
        <f>tblOrders[[#This Row],[Quantity]]*tblOrders[[#This Row],[Unit Price]]</f>
        <v>75.5</v>
      </c>
      <c r="Q315">
        <f>tblOrders[[#This Row],[TotalSales]]-tblOrders[[#This Row],[Calculated Sales]]</f>
        <v>0</v>
      </c>
    </row>
    <row r="316" spans="1:17" x14ac:dyDescent="0.25">
      <c r="A316">
        <v>663</v>
      </c>
      <c r="B316">
        <v>559</v>
      </c>
      <c r="C316" t="str">
        <f>_xlfn.XLOOKUP(tblOrders[[#This Row],[CustomerID]],tblCustomers[CustomerID],tblCustomers[CustomerName],"not found")</f>
        <v>Stephanie Dunn</v>
      </c>
      <c r="D316">
        <f>_xlfn.XLOOKUP(tblOrders[[#This Row],[CustomerID]],tblCustomers[CustomerID],tblCustomers[Age],"not found")</f>
        <v>48</v>
      </c>
      <c r="E316" t="str">
        <f>_xlfn.XLOOKUP(tblOrders[[#This Row],[CustomerID]],tblCustomers[CustomerID],tblCustomers[Gender],"not found")</f>
        <v>Female</v>
      </c>
      <c r="F316" t="str">
        <f>_xlfn.XLOOKUP(tblOrders[[#This Row],[CustomerID]],tblCustomers[CustomerID],tblCustomers[Region],"not found")</f>
        <v>Central</v>
      </c>
      <c r="G316">
        <v>1003</v>
      </c>
      <c r="H316" t="str">
        <f>_xlfn.XLOOKUP(tblOrders[[#This Row],[ProductID]],tblProducts[ProductID],tblProducts[ProductName],"not found")</f>
        <v>Almost</v>
      </c>
      <c r="I316" t="str">
        <f>_xlfn.XLOOKUP(tblOrders[[#This Row],[ProductID]],tblProducts[ProductID],tblProducts[Category],"not found")</f>
        <v>Electronics</v>
      </c>
      <c r="J316">
        <f>_xlfn.XLOOKUP(tblOrders[[#This Row],[ProductID]],tblProducts[ProductID],tblProducts[UnitPrice],"not found")</f>
        <v>37.75</v>
      </c>
      <c r="K316" t="str">
        <f>_xlfn.XLOOKUP(tblOrders[[#This Row],[ProductID]],tblProducts[ProductID],tblProducts[Supplier],"not found")</f>
        <v>Williams, Shah and Mitchell</v>
      </c>
      <c r="L316" s="1">
        <v>45353</v>
      </c>
      <c r="M3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45353</v>
      </c>
      <c r="N316">
        <v>9</v>
      </c>
      <c r="O316">
        <v>339.75</v>
      </c>
      <c r="P316">
        <f>tblOrders[[#This Row],[Quantity]]*tblOrders[[#This Row],[Unit Price]]</f>
        <v>339.75</v>
      </c>
      <c r="Q316">
        <f>tblOrders[[#This Row],[TotalSales]]-tblOrders[[#This Row],[Calculated Sales]]</f>
        <v>0</v>
      </c>
    </row>
    <row r="317" spans="1:17" x14ac:dyDescent="0.25">
      <c r="A317">
        <v>845</v>
      </c>
      <c r="B317">
        <v>511</v>
      </c>
      <c r="C317" t="str">
        <f>_xlfn.XLOOKUP(tblOrders[[#This Row],[CustomerID]],tblCustomers[CustomerID],tblCustomers[CustomerName],"not found")</f>
        <v>Karina Gomez</v>
      </c>
      <c r="D317">
        <f>_xlfn.XLOOKUP(tblOrders[[#This Row],[CustomerID]],tblCustomers[CustomerID],tblCustomers[Age],"not found")</f>
        <v>19</v>
      </c>
      <c r="E317" t="str">
        <f>_xlfn.XLOOKUP(tblOrders[[#This Row],[CustomerID]],tblCustomers[CustomerID],tblCustomers[Gender],"not found")</f>
        <v>Male</v>
      </c>
      <c r="F317" t="str">
        <f>_xlfn.XLOOKUP(tblOrders[[#This Row],[CustomerID]],tblCustomers[CustomerID],tblCustomers[Region],"not found")</f>
        <v>South</v>
      </c>
      <c r="G317">
        <v>1003</v>
      </c>
      <c r="H317" t="str">
        <f>_xlfn.XLOOKUP(tblOrders[[#This Row],[ProductID]],tblProducts[ProductID],tblProducts[ProductName],"not found")</f>
        <v>Almost</v>
      </c>
      <c r="I317" t="str">
        <f>_xlfn.XLOOKUP(tblOrders[[#This Row],[ProductID]],tblProducts[ProductID],tblProducts[Category],"not found")</f>
        <v>Electronics</v>
      </c>
      <c r="J317">
        <f>_xlfn.XLOOKUP(tblOrders[[#This Row],[ProductID]],tblProducts[ProductID],tblProducts[UnitPrice],"not found")</f>
        <v>37.75</v>
      </c>
      <c r="K317" t="str">
        <f>_xlfn.XLOOKUP(tblOrders[[#This Row],[ProductID]],tblProducts[ProductID],tblProducts[Supplier],"not found")</f>
        <v>Williams, Shah and Mitchell</v>
      </c>
      <c r="L317" s="1">
        <v>45417</v>
      </c>
      <c r="M3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45417</v>
      </c>
      <c r="N317">
        <v>4</v>
      </c>
      <c r="O317">
        <v>151</v>
      </c>
      <c r="P317">
        <f>tblOrders[[#This Row],[Quantity]]*tblOrders[[#This Row],[Unit Price]]</f>
        <v>151</v>
      </c>
      <c r="Q317">
        <f>tblOrders[[#This Row],[TotalSales]]-tblOrders[[#This Row],[Calculated Sales]]</f>
        <v>0</v>
      </c>
    </row>
    <row r="318" spans="1:17" x14ac:dyDescent="0.25">
      <c r="A318">
        <v>956</v>
      </c>
      <c r="B318">
        <v>919</v>
      </c>
      <c r="C318" t="str">
        <f>_xlfn.XLOOKUP(tblOrders[[#This Row],[CustomerID]],tblCustomers[CustomerID],tblCustomers[CustomerName],"not found")</f>
        <v>Gabriella Johnson</v>
      </c>
      <c r="D318">
        <f>_xlfn.XLOOKUP(tblOrders[[#This Row],[CustomerID]],tblCustomers[CustomerID],tblCustomers[Age],"not found")</f>
        <v>25</v>
      </c>
      <c r="E318" t="str">
        <f>_xlfn.XLOOKUP(tblOrders[[#This Row],[CustomerID]],tblCustomers[CustomerID],tblCustomers[Gender],"not found")</f>
        <v>Male</v>
      </c>
      <c r="F318" t="str">
        <f>_xlfn.XLOOKUP(tblOrders[[#This Row],[CustomerID]],tblCustomers[CustomerID],tblCustomers[Region],"not found")</f>
        <v>West</v>
      </c>
      <c r="G318">
        <v>1003</v>
      </c>
      <c r="H318" t="str">
        <f>_xlfn.XLOOKUP(tblOrders[[#This Row],[ProductID]],tblProducts[ProductID],tblProducts[ProductName],"not found")</f>
        <v>Almost</v>
      </c>
      <c r="I318" t="str">
        <f>_xlfn.XLOOKUP(tblOrders[[#This Row],[ProductID]],tblProducts[ProductID],tblProducts[Category],"not found")</f>
        <v>Electronics</v>
      </c>
      <c r="J318">
        <f>_xlfn.XLOOKUP(tblOrders[[#This Row],[ProductID]],tblProducts[ProductID],tblProducts[UnitPrice],"not found")</f>
        <v>37.75</v>
      </c>
      <c r="K318" t="str">
        <f>_xlfn.XLOOKUP(tblOrders[[#This Row],[ProductID]],tblProducts[ProductID],tblProducts[Supplier],"not found")</f>
        <v>Williams, Shah and Mitchell</v>
      </c>
      <c r="L318" s="1" t="s">
        <v>2166</v>
      </c>
      <c r="M3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44942</v>
      </c>
      <c r="N318">
        <v>7</v>
      </c>
      <c r="O318">
        <v>264.25</v>
      </c>
      <c r="P318">
        <f>tblOrders[[#This Row],[Quantity]]*tblOrders[[#This Row],[Unit Price]]</f>
        <v>264.25</v>
      </c>
      <c r="Q318">
        <f>tblOrders[[#This Row],[TotalSales]]-tblOrders[[#This Row],[Calculated Sales]]</f>
        <v>0</v>
      </c>
    </row>
    <row r="319" spans="1:17" x14ac:dyDescent="0.25">
      <c r="A319">
        <v>980</v>
      </c>
      <c r="B319">
        <v>930</v>
      </c>
      <c r="C319" t="str">
        <f>_xlfn.XLOOKUP(tblOrders[[#This Row],[CustomerID]],tblCustomers[CustomerID],tblCustomers[CustomerName],"not found")</f>
        <v>Mary Edwards</v>
      </c>
      <c r="D319">
        <f>_xlfn.XLOOKUP(tblOrders[[#This Row],[CustomerID]],tblCustomers[CustomerID],tblCustomers[Age],"not found")</f>
        <v>20</v>
      </c>
      <c r="E319" t="str">
        <f>_xlfn.XLOOKUP(tblOrders[[#This Row],[CustomerID]],tblCustomers[CustomerID],tblCustomers[Gender],"not found")</f>
        <v>Male</v>
      </c>
      <c r="F319" t="str">
        <f>_xlfn.XLOOKUP(tblOrders[[#This Row],[CustomerID]],tblCustomers[CustomerID],tblCustomers[Region],"not found")</f>
        <v>South</v>
      </c>
      <c r="G319">
        <v>1003</v>
      </c>
      <c r="H319" t="str">
        <f>_xlfn.XLOOKUP(tblOrders[[#This Row],[ProductID]],tblProducts[ProductID],tblProducts[ProductName],"not found")</f>
        <v>Almost</v>
      </c>
      <c r="I319" t="str">
        <f>_xlfn.XLOOKUP(tblOrders[[#This Row],[ProductID]],tblProducts[ProductID],tblProducts[Category],"not found")</f>
        <v>Electronics</v>
      </c>
      <c r="J319">
        <f>_xlfn.XLOOKUP(tblOrders[[#This Row],[ProductID]],tblProducts[ProductID],tblProducts[UnitPrice],"not found")</f>
        <v>37.75</v>
      </c>
      <c r="K319" t="str">
        <f>_xlfn.XLOOKUP(tblOrders[[#This Row],[ProductID]],tblProducts[ProductID],tblProducts[Supplier],"not found")</f>
        <v>Williams, Shah and Mitchell</v>
      </c>
      <c r="L319" s="1" t="s">
        <v>2066</v>
      </c>
      <c r="M3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45199</v>
      </c>
      <c r="N319">
        <v>5</v>
      </c>
      <c r="O319">
        <v>188.75</v>
      </c>
      <c r="P319">
        <f>tblOrders[[#This Row],[Quantity]]*tblOrders[[#This Row],[Unit Price]]</f>
        <v>188.75</v>
      </c>
      <c r="Q319">
        <f>tblOrders[[#This Row],[TotalSales]]-tblOrders[[#This Row],[Calculated Sales]]</f>
        <v>0</v>
      </c>
    </row>
    <row r="320" spans="1:17" x14ac:dyDescent="0.25">
      <c r="A320">
        <v>1089</v>
      </c>
      <c r="B320">
        <v>104</v>
      </c>
      <c r="C320" t="str">
        <f>_xlfn.XLOOKUP(tblOrders[[#This Row],[CustomerID]],tblCustomers[CustomerID],tblCustomers[CustomerName],"not found")</f>
        <v>Amy Roach</v>
      </c>
      <c r="D320">
        <f>_xlfn.XLOOKUP(tblOrders[[#This Row],[CustomerID]],tblCustomers[CustomerID],tblCustomers[Age],"not found")</f>
        <v>32</v>
      </c>
      <c r="E320" t="str">
        <f>_xlfn.XLOOKUP(tblOrders[[#This Row],[CustomerID]],tblCustomers[CustomerID],tblCustomers[Gender],"not found")</f>
        <v>Male</v>
      </c>
      <c r="F320" t="str">
        <f>_xlfn.XLOOKUP(tblOrders[[#This Row],[CustomerID]],tblCustomers[CustomerID],tblCustomers[Region],"not found")</f>
        <v>South</v>
      </c>
      <c r="G320">
        <v>1003</v>
      </c>
      <c r="H320" t="str">
        <f>_xlfn.XLOOKUP(tblOrders[[#This Row],[ProductID]],tblProducts[ProductID],tblProducts[ProductName],"not found")</f>
        <v>Almost</v>
      </c>
      <c r="I320" t="str">
        <f>_xlfn.XLOOKUP(tblOrders[[#This Row],[ProductID]],tblProducts[ProductID],tblProducts[Category],"not found")</f>
        <v>Electronics</v>
      </c>
      <c r="J320">
        <f>_xlfn.XLOOKUP(tblOrders[[#This Row],[ProductID]],tblProducts[ProductID],tblProducts[UnitPrice],"not found")</f>
        <v>37.75</v>
      </c>
      <c r="K320" t="str">
        <f>_xlfn.XLOOKUP(tblOrders[[#This Row],[ProductID]],tblProducts[ProductID],tblProducts[Supplier],"not found")</f>
        <v>Williams, Shah and Mitchell</v>
      </c>
      <c r="L320" s="1">
        <v>45600</v>
      </c>
      <c r="M3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45600</v>
      </c>
      <c r="N320">
        <v>9</v>
      </c>
      <c r="O320">
        <v>339.75</v>
      </c>
      <c r="P320">
        <f>tblOrders[[#This Row],[Quantity]]*tblOrders[[#This Row],[Unit Price]]</f>
        <v>339.75</v>
      </c>
      <c r="Q320">
        <f>tblOrders[[#This Row],[TotalSales]]-tblOrders[[#This Row],[Calculated Sales]]</f>
        <v>0</v>
      </c>
    </row>
    <row r="321" spans="1:17" x14ac:dyDescent="0.25">
      <c r="A321">
        <v>1219</v>
      </c>
      <c r="B321">
        <v>269</v>
      </c>
      <c r="C321" t="str">
        <f>_xlfn.XLOOKUP(tblOrders[[#This Row],[CustomerID]],tblCustomers[CustomerID],tblCustomers[CustomerName],"not found")</f>
        <v>Hayley Mcdonald</v>
      </c>
      <c r="D321">
        <f>_xlfn.XLOOKUP(tblOrders[[#This Row],[CustomerID]],tblCustomers[CustomerID],tblCustomers[Age],"not found")</f>
        <v>19</v>
      </c>
      <c r="E321" t="str">
        <f>_xlfn.XLOOKUP(tblOrders[[#This Row],[CustomerID]],tblCustomers[CustomerID],tblCustomers[Gender],"not found")</f>
        <v>Male</v>
      </c>
      <c r="F321" t="str">
        <f>_xlfn.XLOOKUP(tblOrders[[#This Row],[CustomerID]],tblCustomers[CustomerID],tblCustomers[Region],"not found")</f>
        <v>West</v>
      </c>
      <c r="G321">
        <v>1003</v>
      </c>
      <c r="H321" t="str">
        <f>_xlfn.XLOOKUP(tblOrders[[#This Row],[ProductID]],tblProducts[ProductID],tblProducts[ProductName],"not found")</f>
        <v>Almost</v>
      </c>
      <c r="I321" t="str">
        <f>_xlfn.XLOOKUP(tblOrders[[#This Row],[ProductID]],tblProducts[ProductID],tblProducts[Category],"not found")</f>
        <v>Electronics</v>
      </c>
      <c r="J321">
        <f>_xlfn.XLOOKUP(tblOrders[[#This Row],[ProductID]],tblProducts[ProductID],tblProducts[UnitPrice],"not found")</f>
        <v>37.75</v>
      </c>
      <c r="K321" t="str">
        <f>_xlfn.XLOOKUP(tblOrders[[#This Row],[ProductID]],tblProducts[ProductID],tblProducts[Supplier],"not found")</f>
        <v>Williams, Shah and Mitchell</v>
      </c>
      <c r="L321" s="1">
        <v>45144</v>
      </c>
      <c r="M3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45144</v>
      </c>
      <c r="N321">
        <v>3</v>
      </c>
      <c r="O321">
        <v>113.25</v>
      </c>
      <c r="P321">
        <f>tblOrders[[#This Row],[Quantity]]*tblOrders[[#This Row],[Unit Price]]</f>
        <v>113.25</v>
      </c>
      <c r="Q321">
        <f>tblOrders[[#This Row],[TotalSales]]-tblOrders[[#This Row],[Calculated Sales]]</f>
        <v>0</v>
      </c>
    </row>
    <row r="322" spans="1:17" x14ac:dyDescent="0.25">
      <c r="A322">
        <v>1228</v>
      </c>
      <c r="B322">
        <v>382</v>
      </c>
      <c r="C322" t="str">
        <f>_xlfn.XLOOKUP(tblOrders[[#This Row],[CustomerID]],tblCustomers[CustomerID],tblCustomers[CustomerName],"not found")</f>
        <v>Mrs. Abigail Cardenas</v>
      </c>
      <c r="D322">
        <f>_xlfn.XLOOKUP(tblOrders[[#This Row],[CustomerID]],tblCustomers[CustomerID],tblCustomers[Age],"not found")</f>
        <v>32</v>
      </c>
      <c r="E322" t="str">
        <f>_xlfn.XLOOKUP(tblOrders[[#This Row],[CustomerID]],tblCustomers[CustomerID],tblCustomers[Gender],"not found")</f>
        <v>Female</v>
      </c>
      <c r="F322" t="str">
        <f>_xlfn.XLOOKUP(tblOrders[[#This Row],[CustomerID]],tblCustomers[CustomerID],tblCustomers[Region],"not found")</f>
        <v>West</v>
      </c>
      <c r="G322">
        <v>1003</v>
      </c>
      <c r="H322" t="str">
        <f>_xlfn.XLOOKUP(tblOrders[[#This Row],[ProductID]],tblProducts[ProductID],tblProducts[ProductName],"not found")</f>
        <v>Almost</v>
      </c>
      <c r="I322" t="str">
        <f>_xlfn.XLOOKUP(tblOrders[[#This Row],[ProductID]],tblProducts[ProductID],tblProducts[Category],"not found")</f>
        <v>Electronics</v>
      </c>
      <c r="J322">
        <f>_xlfn.XLOOKUP(tblOrders[[#This Row],[ProductID]],tblProducts[ProductID],tblProducts[UnitPrice],"not found")</f>
        <v>37.75</v>
      </c>
      <c r="K322" t="str">
        <f>_xlfn.XLOOKUP(tblOrders[[#This Row],[ProductID]],tblProducts[ProductID],tblProducts[Supplier],"not found")</f>
        <v>Williams, Shah and Mitchell</v>
      </c>
      <c r="L322" s="1" t="s">
        <v>2167</v>
      </c>
      <c r="M3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45273</v>
      </c>
      <c r="N322">
        <v>7</v>
      </c>
      <c r="O322">
        <v>264.25</v>
      </c>
      <c r="P322">
        <f>tblOrders[[#This Row],[Quantity]]*tblOrders[[#This Row],[Unit Price]]</f>
        <v>264.25</v>
      </c>
      <c r="Q322">
        <f>tblOrders[[#This Row],[TotalSales]]-tblOrders[[#This Row],[Calculated Sales]]</f>
        <v>0</v>
      </c>
    </row>
    <row r="323" spans="1:17" x14ac:dyDescent="0.25">
      <c r="A323">
        <v>1260</v>
      </c>
      <c r="B323">
        <v>31</v>
      </c>
      <c r="C323" t="str">
        <f>_xlfn.XLOOKUP(tblOrders[[#This Row],[CustomerID]],tblCustomers[CustomerID],tblCustomers[CustomerName],"not found")</f>
        <v>Anthony Perez</v>
      </c>
      <c r="D323">
        <f>_xlfn.XLOOKUP(tblOrders[[#This Row],[CustomerID]],tblCustomers[CustomerID],tblCustomers[Age],"not found")</f>
        <v>19</v>
      </c>
      <c r="E323" t="str">
        <f>_xlfn.XLOOKUP(tblOrders[[#This Row],[CustomerID]],tblCustomers[CustomerID],tblCustomers[Gender],"not found")</f>
        <v>Male</v>
      </c>
      <c r="F323" t="str">
        <f>_xlfn.XLOOKUP(tblOrders[[#This Row],[CustomerID]],tblCustomers[CustomerID],tblCustomers[Region],"not found")</f>
        <v>South</v>
      </c>
      <c r="G323">
        <v>1003</v>
      </c>
      <c r="H323" t="str">
        <f>_xlfn.XLOOKUP(tblOrders[[#This Row],[ProductID]],tblProducts[ProductID],tblProducts[ProductName],"not found")</f>
        <v>Almost</v>
      </c>
      <c r="I323" t="str">
        <f>_xlfn.XLOOKUP(tblOrders[[#This Row],[ProductID]],tblProducts[ProductID],tblProducts[Category],"not found")</f>
        <v>Electronics</v>
      </c>
      <c r="J323">
        <f>_xlfn.XLOOKUP(tblOrders[[#This Row],[ProductID]],tblProducts[ProductID],tblProducts[UnitPrice],"not found")</f>
        <v>37.75</v>
      </c>
      <c r="K323" t="str">
        <f>_xlfn.XLOOKUP(tblOrders[[#This Row],[ProductID]],tblProducts[ProductID],tblProducts[Supplier],"not found")</f>
        <v>Williams, Shah and Mitchell</v>
      </c>
      <c r="L323" s="1">
        <v>45571</v>
      </c>
      <c r="M3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45571</v>
      </c>
      <c r="N323">
        <v>2</v>
      </c>
      <c r="O323">
        <v>75.5</v>
      </c>
      <c r="P323">
        <f>tblOrders[[#This Row],[Quantity]]*tblOrders[[#This Row],[Unit Price]]</f>
        <v>75.5</v>
      </c>
      <c r="Q323">
        <f>tblOrders[[#This Row],[TotalSales]]-tblOrders[[#This Row],[Calculated Sales]]</f>
        <v>0</v>
      </c>
    </row>
    <row r="324" spans="1:17" x14ac:dyDescent="0.25">
      <c r="A324">
        <v>1574</v>
      </c>
      <c r="B324">
        <v>620</v>
      </c>
      <c r="C324" t="str">
        <f>_xlfn.XLOOKUP(tblOrders[[#This Row],[CustomerID]],tblCustomers[CustomerID],tblCustomers[CustomerName],"not found")</f>
        <v>Mark Watkins</v>
      </c>
      <c r="D324">
        <f>_xlfn.XLOOKUP(tblOrders[[#This Row],[CustomerID]],tblCustomers[CustomerID],tblCustomers[Age],"not found")</f>
        <v>28</v>
      </c>
      <c r="E324" t="str">
        <f>_xlfn.XLOOKUP(tblOrders[[#This Row],[CustomerID]],tblCustomers[CustomerID],tblCustomers[Gender],"not found")</f>
        <v>Male</v>
      </c>
      <c r="F324" t="str">
        <f>_xlfn.XLOOKUP(tblOrders[[#This Row],[CustomerID]],tblCustomers[CustomerID],tblCustomers[Region],"not found")</f>
        <v>West</v>
      </c>
      <c r="G324">
        <v>1003</v>
      </c>
      <c r="H324" t="str">
        <f>_xlfn.XLOOKUP(tblOrders[[#This Row],[ProductID]],tblProducts[ProductID],tblProducts[ProductName],"not found")</f>
        <v>Almost</v>
      </c>
      <c r="I324" t="str">
        <f>_xlfn.XLOOKUP(tblOrders[[#This Row],[ProductID]],tblProducts[ProductID],tblProducts[Category],"not found")</f>
        <v>Electronics</v>
      </c>
      <c r="J324">
        <f>_xlfn.XLOOKUP(tblOrders[[#This Row],[ProductID]],tblProducts[ProductID],tblProducts[UnitPrice],"not found")</f>
        <v>37.75</v>
      </c>
      <c r="K324" t="str">
        <f>_xlfn.XLOOKUP(tblOrders[[#This Row],[ProductID]],tblProducts[ProductID],tblProducts[Supplier],"not found")</f>
        <v>Williams, Shah and Mitchell</v>
      </c>
      <c r="L324" s="1">
        <v>45477</v>
      </c>
      <c r="M3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45477</v>
      </c>
      <c r="N324">
        <v>2</v>
      </c>
      <c r="O324">
        <v>75.5</v>
      </c>
      <c r="P324">
        <f>tblOrders[[#This Row],[Quantity]]*tblOrders[[#This Row],[Unit Price]]</f>
        <v>75.5</v>
      </c>
      <c r="Q324">
        <f>tblOrders[[#This Row],[TotalSales]]-tblOrders[[#This Row],[Calculated Sales]]</f>
        <v>0</v>
      </c>
    </row>
    <row r="325" spans="1:17" x14ac:dyDescent="0.25">
      <c r="A325">
        <v>1593</v>
      </c>
      <c r="B325">
        <v>486</v>
      </c>
      <c r="C325" t="str">
        <f>_xlfn.XLOOKUP(tblOrders[[#This Row],[CustomerID]],tblCustomers[CustomerID],tblCustomers[CustomerName],"not found")</f>
        <v>Sandra Lewis</v>
      </c>
      <c r="D325">
        <f>_xlfn.XLOOKUP(tblOrders[[#This Row],[CustomerID]],tblCustomers[CustomerID],tblCustomers[Age],"not found")</f>
        <v>22</v>
      </c>
      <c r="E325" t="str">
        <f>_xlfn.XLOOKUP(tblOrders[[#This Row],[CustomerID]],tblCustomers[CustomerID],tblCustomers[Gender],"not found")</f>
        <v>Male</v>
      </c>
      <c r="F325" t="str">
        <f>_xlfn.XLOOKUP(tblOrders[[#This Row],[CustomerID]],tblCustomers[CustomerID],tblCustomers[Region],"not found")</f>
        <v>North</v>
      </c>
      <c r="G325">
        <v>1003</v>
      </c>
      <c r="H325" t="str">
        <f>_xlfn.XLOOKUP(tblOrders[[#This Row],[ProductID]],tblProducts[ProductID],tblProducts[ProductName],"not found")</f>
        <v>Almost</v>
      </c>
      <c r="I325" t="str">
        <f>_xlfn.XLOOKUP(tblOrders[[#This Row],[ProductID]],tblProducts[ProductID],tblProducts[Category],"not found")</f>
        <v>Electronics</v>
      </c>
      <c r="J325">
        <f>_xlfn.XLOOKUP(tblOrders[[#This Row],[ProductID]],tblProducts[ProductID],tblProducts[UnitPrice],"not found")</f>
        <v>37.75</v>
      </c>
      <c r="K325" t="str">
        <f>_xlfn.XLOOKUP(tblOrders[[#This Row],[ProductID]],tblProducts[ProductID],tblProducts[Supplier],"not found")</f>
        <v>Williams, Shah and Mitchell</v>
      </c>
      <c r="L325" s="1" t="s">
        <v>2168</v>
      </c>
      <c r="M3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45400</v>
      </c>
      <c r="N325">
        <v>5</v>
      </c>
      <c r="O325">
        <v>188.75</v>
      </c>
      <c r="P325">
        <f>tblOrders[[#This Row],[Quantity]]*tblOrders[[#This Row],[Unit Price]]</f>
        <v>188.75</v>
      </c>
      <c r="Q325">
        <f>tblOrders[[#This Row],[TotalSales]]-tblOrders[[#This Row],[Calculated Sales]]</f>
        <v>0</v>
      </c>
    </row>
    <row r="326" spans="1:17" x14ac:dyDescent="0.25">
      <c r="A326">
        <v>1643</v>
      </c>
      <c r="B326">
        <v>921</v>
      </c>
      <c r="C326" t="str">
        <f>_xlfn.XLOOKUP(tblOrders[[#This Row],[CustomerID]],tblCustomers[CustomerID],tblCustomers[CustomerName],"not found")</f>
        <v>Dennis Stone</v>
      </c>
      <c r="D326">
        <f>_xlfn.XLOOKUP(tblOrders[[#This Row],[CustomerID]],tblCustomers[CustomerID],tblCustomers[Age],"not found")</f>
        <v>48</v>
      </c>
      <c r="E326" t="str">
        <f>_xlfn.XLOOKUP(tblOrders[[#This Row],[CustomerID]],tblCustomers[CustomerID],tblCustomers[Gender],"not found")</f>
        <v>Male</v>
      </c>
      <c r="F326" t="str">
        <f>_xlfn.XLOOKUP(tblOrders[[#This Row],[CustomerID]],tblCustomers[CustomerID],tblCustomers[Region],"not found")</f>
        <v>East</v>
      </c>
      <c r="G326">
        <v>1003</v>
      </c>
      <c r="H326" t="str">
        <f>_xlfn.XLOOKUP(tblOrders[[#This Row],[ProductID]],tblProducts[ProductID],tblProducts[ProductName],"not found")</f>
        <v>Almost</v>
      </c>
      <c r="I326" t="str">
        <f>_xlfn.XLOOKUP(tblOrders[[#This Row],[ProductID]],tblProducts[ProductID],tblProducts[Category],"not found")</f>
        <v>Electronics</v>
      </c>
      <c r="J326">
        <f>_xlfn.XLOOKUP(tblOrders[[#This Row],[ProductID]],tblProducts[ProductID],tblProducts[UnitPrice],"not found")</f>
        <v>37.75</v>
      </c>
      <c r="K326" t="str">
        <f>_xlfn.XLOOKUP(tblOrders[[#This Row],[ProductID]],tblProducts[ProductID],tblProducts[Supplier],"not found")</f>
        <v>Williams, Shah and Mitchell</v>
      </c>
      <c r="L326" s="1" t="s">
        <v>2169</v>
      </c>
      <c r="M3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45167</v>
      </c>
      <c r="N326">
        <v>7</v>
      </c>
      <c r="O326">
        <v>264.25</v>
      </c>
      <c r="P326">
        <f>tblOrders[[#This Row],[Quantity]]*tblOrders[[#This Row],[Unit Price]]</f>
        <v>264.25</v>
      </c>
      <c r="Q326">
        <f>tblOrders[[#This Row],[TotalSales]]-tblOrders[[#This Row],[Calculated Sales]]</f>
        <v>0</v>
      </c>
    </row>
    <row r="327" spans="1:17" x14ac:dyDescent="0.25">
      <c r="A327">
        <v>1780</v>
      </c>
      <c r="B327">
        <v>315</v>
      </c>
      <c r="C327" t="str">
        <f>_xlfn.XLOOKUP(tblOrders[[#This Row],[CustomerID]],tblCustomers[CustomerID],tblCustomers[CustomerName],"not found")</f>
        <v>Adrian Sims</v>
      </c>
      <c r="D327">
        <f>_xlfn.XLOOKUP(tblOrders[[#This Row],[CustomerID]],tblCustomers[CustomerID],tblCustomers[Age],"not found")</f>
        <v>58</v>
      </c>
      <c r="E327" t="str">
        <f>_xlfn.XLOOKUP(tblOrders[[#This Row],[CustomerID]],tblCustomers[CustomerID],tblCustomers[Gender],"not found")</f>
        <v>Female</v>
      </c>
      <c r="F327" t="str">
        <f>_xlfn.XLOOKUP(tblOrders[[#This Row],[CustomerID]],tblCustomers[CustomerID],tblCustomers[Region],"not found")</f>
        <v>West</v>
      </c>
      <c r="G327">
        <v>1003</v>
      </c>
      <c r="H327" t="str">
        <f>_xlfn.XLOOKUP(tblOrders[[#This Row],[ProductID]],tblProducts[ProductID],tblProducts[ProductName],"not found")</f>
        <v>Almost</v>
      </c>
      <c r="I327" t="str">
        <f>_xlfn.XLOOKUP(tblOrders[[#This Row],[ProductID]],tblProducts[ProductID],tblProducts[Category],"not found")</f>
        <v>Electronics</v>
      </c>
      <c r="J327">
        <f>_xlfn.XLOOKUP(tblOrders[[#This Row],[ProductID]],tblProducts[ProductID],tblProducts[UnitPrice],"not found")</f>
        <v>37.75</v>
      </c>
      <c r="K327" t="str">
        <f>_xlfn.XLOOKUP(tblOrders[[#This Row],[ProductID]],tblProducts[ProductID],tblProducts[Supplier],"not found")</f>
        <v>Williams, Shah and Mitchell</v>
      </c>
      <c r="L327" s="1">
        <v>45271</v>
      </c>
      <c r="M3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45271</v>
      </c>
      <c r="N327">
        <v>8</v>
      </c>
      <c r="O327">
        <v>302</v>
      </c>
      <c r="P327">
        <f>tblOrders[[#This Row],[Quantity]]*tblOrders[[#This Row],[Unit Price]]</f>
        <v>302</v>
      </c>
      <c r="Q327">
        <f>tblOrders[[#This Row],[TotalSales]]-tblOrders[[#This Row],[Calculated Sales]]</f>
        <v>0</v>
      </c>
    </row>
    <row r="328" spans="1:17" x14ac:dyDescent="0.25">
      <c r="A328">
        <v>1791</v>
      </c>
      <c r="B328">
        <v>454</v>
      </c>
      <c r="C328" t="str">
        <f>_xlfn.XLOOKUP(tblOrders[[#This Row],[CustomerID]],tblCustomers[CustomerID],tblCustomers[CustomerName],"not found")</f>
        <v>Jennifer Alvarez</v>
      </c>
      <c r="D328">
        <f>_xlfn.XLOOKUP(tblOrders[[#This Row],[CustomerID]],tblCustomers[CustomerID],tblCustomers[Age],"not found")</f>
        <v>67</v>
      </c>
      <c r="E328" t="str">
        <f>_xlfn.XLOOKUP(tblOrders[[#This Row],[CustomerID]],tblCustomers[CustomerID],tblCustomers[Gender],"not found")</f>
        <v>Male</v>
      </c>
      <c r="F328" t="str">
        <f>_xlfn.XLOOKUP(tblOrders[[#This Row],[CustomerID]],tblCustomers[CustomerID],tblCustomers[Region],"not found")</f>
        <v>Central</v>
      </c>
      <c r="G328">
        <v>1003</v>
      </c>
      <c r="H328" t="str">
        <f>_xlfn.XLOOKUP(tblOrders[[#This Row],[ProductID]],tblProducts[ProductID],tblProducts[ProductName],"not found")</f>
        <v>Almost</v>
      </c>
      <c r="I328" t="str">
        <f>_xlfn.XLOOKUP(tblOrders[[#This Row],[ProductID]],tblProducts[ProductID],tblProducts[Category],"not found")</f>
        <v>Electronics</v>
      </c>
      <c r="J328">
        <f>_xlfn.XLOOKUP(tblOrders[[#This Row],[ProductID]],tblProducts[ProductID],tblProducts[UnitPrice],"not found")</f>
        <v>37.75</v>
      </c>
      <c r="K328" t="str">
        <f>_xlfn.XLOOKUP(tblOrders[[#This Row],[ProductID]],tblProducts[ProductID],tblProducts[Supplier],"not found")</f>
        <v>Williams, Shah and Mitchell</v>
      </c>
      <c r="L328" s="1">
        <v>45413</v>
      </c>
      <c r="M3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45413</v>
      </c>
      <c r="N328">
        <v>2</v>
      </c>
      <c r="O328">
        <v>75.5</v>
      </c>
      <c r="P328">
        <f>tblOrders[[#This Row],[Quantity]]*tblOrders[[#This Row],[Unit Price]]</f>
        <v>75.5</v>
      </c>
      <c r="Q328">
        <f>tblOrders[[#This Row],[TotalSales]]-tblOrders[[#This Row],[Calculated Sales]]</f>
        <v>0</v>
      </c>
    </row>
    <row r="329" spans="1:17" x14ac:dyDescent="0.25">
      <c r="A329">
        <v>1807</v>
      </c>
      <c r="B329">
        <v>184</v>
      </c>
      <c r="C329" t="str">
        <f>_xlfn.XLOOKUP(tblOrders[[#This Row],[CustomerID]],tblCustomers[CustomerID],tblCustomers[CustomerName],"not found")</f>
        <v>Jonathan Sanford</v>
      </c>
      <c r="D329">
        <f>_xlfn.XLOOKUP(tblOrders[[#This Row],[CustomerID]],tblCustomers[CustomerID],tblCustomers[Age],"not found")</f>
        <v>60</v>
      </c>
      <c r="E329" t="str">
        <f>_xlfn.XLOOKUP(tblOrders[[#This Row],[CustomerID]],tblCustomers[CustomerID],tblCustomers[Gender],"not found")</f>
        <v>Female</v>
      </c>
      <c r="F329" t="str">
        <f>_xlfn.XLOOKUP(tblOrders[[#This Row],[CustomerID]],tblCustomers[CustomerID],tblCustomers[Region],"not found")</f>
        <v>East</v>
      </c>
      <c r="G329">
        <v>1003</v>
      </c>
      <c r="H329" t="str">
        <f>_xlfn.XLOOKUP(tblOrders[[#This Row],[ProductID]],tblProducts[ProductID],tblProducts[ProductName],"not found")</f>
        <v>Almost</v>
      </c>
      <c r="I329" t="str">
        <f>_xlfn.XLOOKUP(tblOrders[[#This Row],[ProductID]],tblProducts[ProductID],tblProducts[Category],"not found")</f>
        <v>Electronics</v>
      </c>
      <c r="J329">
        <f>_xlfn.XLOOKUP(tblOrders[[#This Row],[ProductID]],tblProducts[ProductID],tblProducts[UnitPrice],"not found")</f>
        <v>37.75</v>
      </c>
      <c r="K329" t="str">
        <f>_xlfn.XLOOKUP(tblOrders[[#This Row],[ProductID]],tblProducts[ProductID],tblProducts[Supplier],"not found")</f>
        <v>Williams, Shah and Mitchell</v>
      </c>
      <c r="L329" s="1" t="s">
        <v>2170</v>
      </c>
      <c r="M3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45283</v>
      </c>
      <c r="N329">
        <v>3</v>
      </c>
      <c r="O329">
        <v>113.25</v>
      </c>
      <c r="P329">
        <f>tblOrders[[#This Row],[Quantity]]*tblOrders[[#This Row],[Unit Price]]</f>
        <v>113.25</v>
      </c>
      <c r="Q329">
        <f>tblOrders[[#This Row],[TotalSales]]-tblOrders[[#This Row],[Calculated Sales]]</f>
        <v>0</v>
      </c>
    </row>
    <row r="330" spans="1:17" x14ac:dyDescent="0.25">
      <c r="A330">
        <v>1902</v>
      </c>
      <c r="B330">
        <v>342</v>
      </c>
      <c r="C330" t="str">
        <f>_xlfn.XLOOKUP(tblOrders[[#This Row],[CustomerID]],tblCustomers[CustomerID],tblCustomers[CustomerName],"not found")</f>
        <v>Raymond Rodriguez</v>
      </c>
      <c r="D330">
        <f>_xlfn.XLOOKUP(tblOrders[[#This Row],[CustomerID]],tblCustomers[CustomerID],tblCustomers[Age],"not found")</f>
        <v>64</v>
      </c>
      <c r="E330" t="str">
        <f>_xlfn.XLOOKUP(tblOrders[[#This Row],[CustomerID]],tblCustomers[CustomerID],tblCustomers[Gender],"not found")</f>
        <v>Female</v>
      </c>
      <c r="F330" t="str">
        <f>_xlfn.XLOOKUP(tblOrders[[#This Row],[CustomerID]],tblCustomers[CustomerID],tblCustomers[Region],"not found")</f>
        <v>West</v>
      </c>
      <c r="G330">
        <v>1003</v>
      </c>
      <c r="H330" t="str">
        <f>_xlfn.XLOOKUP(tblOrders[[#This Row],[ProductID]],tblProducts[ProductID],tblProducts[ProductName],"not found")</f>
        <v>Almost</v>
      </c>
      <c r="I330" t="str">
        <f>_xlfn.XLOOKUP(tblOrders[[#This Row],[ProductID]],tblProducts[ProductID],tblProducts[Category],"not found")</f>
        <v>Electronics</v>
      </c>
      <c r="J330">
        <f>_xlfn.XLOOKUP(tblOrders[[#This Row],[ProductID]],tblProducts[ProductID],tblProducts[UnitPrice],"not found")</f>
        <v>37.75</v>
      </c>
      <c r="K330" t="str">
        <f>_xlfn.XLOOKUP(tblOrders[[#This Row],[ProductID]],tblProducts[ProductID],tblProducts[Supplier],"not found")</f>
        <v>Williams, Shah and Mitchell</v>
      </c>
      <c r="L330" s="1">
        <v>45597</v>
      </c>
      <c r="M3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330">
        <v>5</v>
      </c>
      <c r="O330">
        <v>188.75</v>
      </c>
      <c r="P330">
        <f>tblOrders[[#This Row],[Quantity]]*tblOrders[[#This Row],[Unit Price]]</f>
        <v>188.75</v>
      </c>
      <c r="Q330">
        <f>tblOrders[[#This Row],[TotalSales]]-tblOrders[[#This Row],[Calculated Sales]]</f>
        <v>0</v>
      </c>
    </row>
    <row r="331" spans="1:17" x14ac:dyDescent="0.25">
      <c r="A331">
        <v>1921</v>
      </c>
      <c r="B331">
        <v>282</v>
      </c>
      <c r="C331" t="str">
        <f>_xlfn.XLOOKUP(tblOrders[[#This Row],[CustomerID]],tblCustomers[CustomerID],tblCustomers[CustomerName],"not found")</f>
        <v>Timothy Howell</v>
      </c>
      <c r="D331">
        <f>_xlfn.XLOOKUP(tblOrders[[#This Row],[CustomerID]],tblCustomers[CustomerID],tblCustomers[Age],"not found")</f>
        <v>51</v>
      </c>
      <c r="E331" t="str">
        <f>_xlfn.XLOOKUP(tblOrders[[#This Row],[CustomerID]],tblCustomers[CustomerID],tblCustomers[Gender],"not found")</f>
        <v>Male</v>
      </c>
      <c r="F331" t="str">
        <f>_xlfn.XLOOKUP(tblOrders[[#This Row],[CustomerID]],tblCustomers[CustomerID],tblCustomers[Region],"not found")</f>
        <v>Central</v>
      </c>
      <c r="G331">
        <v>1003</v>
      </c>
      <c r="H331" t="str">
        <f>_xlfn.XLOOKUP(tblOrders[[#This Row],[ProductID]],tblProducts[ProductID],tblProducts[ProductName],"not found")</f>
        <v>Almost</v>
      </c>
      <c r="I331" t="str">
        <f>_xlfn.XLOOKUP(tblOrders[[#This Row],[ProductID]],tblProducts[ProductID],tblProducts[Category],"not found")</f>
        <v>Electronics</v>
      </c>
      <c r="J331">
        <f>_xlfn.XLOOKUP(tblOrders[[#This Row],[ProductID]],tblProducts[ProductID],tblProducts[UnitPrice],"not found")</f>
        <v>37.75</v>
      </c>
      <c r="K331" t="str">
        <f>_xlfn.XLOOKUP(tblOrders[[#This Row],[ProductID]],tblProducts[ProductID],tblProducts[Supplier],"not found")</f>
        <v>Williams, Shah and Mitchell</v>
      </c>
      <c r="L331" s="1">
        <v>45232</v>
      </c>
      <c r="M3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45232</v>
      </c>
      <c r="N331">
        <v>4</v>
      </c>
      <c r="O331">
        <v>151</v>
      </c>
      <c r="P331">
        <f>tblOrders[[#This Row],[Quantity]]*tblOrders[[#This Row],[Unit Price]]</f>
        <v>151</v>
      </c>
      <c r="Q331">
        <f>tblOrders[[#This Row],[TotalSales]]-tblOrders[[#This Row],[Calculated Sales]]</f>
        <v>0</v>
      </c>
    </row>
    <row r="332" spans="1:17" x14ac:dyDescent="0.25">
      <c r="A332">
        <v>17</v>
      </c>
      <c r="B332">
        <v>442</v>
      </c>
      <c r="C332" t="str">
        <f>_xlfn.XLOOKUP(tblOrders[[#This Row],[CustomerID]],tblCustomers[CustomerID],tblCustomers[CustomerName],"not found")</f>
        <v>Jessica Garcia</v>
      </c>
      <c r="D332">
        <f>_xlfn.XLOOKUP(tblOrders[[#This Row],[CustomerID]],tblCustomers[CustomerID],tblCustomers[Age],"not found")</f>
        <v>37</v>
      </c>
      <c r="E332" t="str">
        <f>_xlfn.XLOOKUP(tblOrders[[#This Row],[CustomerID]],tblCustomers[CustomerID],tblCustomers[Gender],"not found")</f>
        <v>Female</v>
      </c>
      <c r="F332" t="str">
        <f>_xlfn.XLOOKUP(tblOrders[[#This Row],[CustomerID]],tblCustomers[CustomerID],tblCustomers[Region],"not found")</f>
        <v>West</v>
      </c>
      <c r="G332">
        <v>1100</v>
      </c>
      <c r="H332" t="str">
        <f>_xlfn.XLOOKUP(tblOrders[[#This Row],[ProductID]],tblProducts[ProductID],tblProducts[ProductName],"not found")</f>
        <v>Among</v>
      </c>
      <c r="I332" t="str">
        <f>_xlfn.XLOOKUP(tblOrders[[#This Row],[ProductID]],tblProducts[ProductID],tblProducts[Category],"not found")</f>
        <v>Apparel</v>
      </c>
      <c r="J332">
        <f>_xlfn.XLOOKUP(tblOrders[[#This Row],[ProductID]],tblProducts[ProductID],tblProducts[UnitPrice],"not found")</f>
        <v>331.2</v>
      </c>
      <c r="K332" t="str">
        <f>_xlfn.XLOOKUP(tblOrders[[#This Row],[ProductID]],tblProducts[ProductID],tblProducts[Supplier],"not found")</f>
        <v>Johnson-Luna</v>
      </c>
      <c r="L332" s="1" t="s">
        <v>2171</v>
      </c>
      <c r="M3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45593</v>
      </c>
      <c r="N332">
        <v>3</v>
      </c>
      <c r="O332">
        <v>993.6</v>
      </c>
      <c r="P332">
        <f>tblOrders[[#This Row],[Quantity]]*tblOrders[[#This Row],[Unit Price]]</f>
        <v>993.59999999999991</v>
      </c>
      <c r="Q332">
        <f>tblOrders[[#This Row],[TotalSales]]-tblOrders[[#This Row],[Calculated Sales]]</f>
        <v>0</v>
      </c>
    </row>
    <row r="333" spans="1:17" x14ac:dyDescent="0.25">
      <c r="A333">
        <v>50</v>
      </c>
      <c r="B333">
        <v>832</v>
      </c>
      <c r="C333" t="str">
        <f>_xlfn.XLOOKUP(tblOrders[[#This Row],[CustomerID]],tblCustomers[CustomerID],tblCustomers[CustomerName],"not found")</f>
        <v>Meghan Hardin</v>
      </c>
      <c r="D333">
        <f>_xlfn.XLOOKUP(tblOrders[[#This Row],[CustomerID]],tblCustomers[CustomerID],tblCustomers[Age],"not found")</f>
        <v>32</v>
      </c>
      <c r="E333" t="str">
        <f>_xlfn.XLOOKUP(tblOrders[[#This Row],[CustomerID]],tblCustomers[CustomerID],tblCustomers[Gender],"not found")</f>
        <v>Female</v>
      </c>
      <c r="F333" t="str">
        <f>_xlfn.XLOOKUP(tblOrders[[#This Row],[CustomerID]],tblCustomers[CustomerID],tblCustomers[Region],"not found")</f>
        <v>North</v>
      </c>
      <c r="G333">
        <v>1100</v>
      </c>
      <c r="H333" t="str">
        <f>_xlfn.XLOOKUP(tblOrders[[#This Row],[ProductID]],tblProducts[ProductID],tblProducts[ProductName],"not found")</f>
        <v>Among</v>
      </c>
      <c r="I333" t="str">
        <f>_xlfn.XLOOKUP(tblOrders[[#This Row],[ProductID]],tblProducts[ProductID],tblProducts[Category],"not found")</f>
        <v>Apparel</v>
      </c>
      <c r="J333">
        <f>_xlfn.XLOOKUP(tblOrders[[#This Row],[ProductID]],tblProducts[ProductID],tblProducts[UnitPrice],"not found")</f>
        <v>331.2</v>
      </c>
      <c r="K333" t="str">
        <f>_xlfn.XLOOKUP(tblOrders[[#This Row],[ProductID]],tblProducts[ProductID],tblProducts[Supplier],"not found")</f>
        <v>Johnson-Luna</v>
      </c>
      <c r="L333" s="1">
        <v>44995</v>
      </c>
      <c r="M3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44995</v>
      </c>
      <c r="N333">
        <v>9</v>
      </c>
      <c r="O333">
        <v>2980.8</v>
      </c>
      <c r="P333">
        <f>tblOrders[[#This Row],[Quantity]]*tblOrders[[#This Row],[Unit Price]]</f>
        <v>2980.7999999999997</v>
      </c>
      <c r="Q333">
        <f>tblOrders[[#This Row],[TotalSales]]-tblOrders[[#This Row],[Calculated Sales]]</f>
        <v>0</v>
      </c>
    </row>
    <row r="334" spans="1:17" x14ac:dyDescent="0.25">
      <c r="A334">
        <v>110</v>
      </c>
      <c r="B334">
        <v>124</v>
      </c>
      <c r="C334" t="str">
        <f>_xlfn.XLOOKUP(tblOrders[[#This Row],[CustomerID]],tblCustomers[CustomerID],tblCustomers[CustomerName],"not found")</f>
        <v>Jennifer Dunlap</v>
      </c>
      <c r="D334">
        <f>_xlfn.XLOOKUP(tblOrders[[#This Row],[CustomerID]],tblCustomers[CustomerID],tblCustomers[Age],"not found")</f>
        <v>32</v>
      </c>
      <c r="E334" t="str">
        <f>_xlfn.XLOOKUP(tblOrders[[#This Row],[CustomerID]],tblCustomers[CustomerID],tblCustomers[Gender],"not found")</f>
        <v>Female</v>
      </c>
      <c r="F334" t="str">
        <f>_xlfn.XLOOKUP(tblOrders[[#This Row],[CustomerID]],tblCustomers[CustomerID],tblCustomers[Region],"not found")</f>
        <v>Central</v>
      </c>
      <c r="G334">
        <v>1100</v>
      </c>
      <c r="H334" t="str">
        <f>_xlfn.XLOOKUP(tblOrders[[#This Row],[ProductID]],tblProducts[ProductID],tblProducts[ProductName],"not found")</f>
        <v>Among</v>
      </c>
      <c r="I334" t="str">
        <f>_xlfn.XLOOKUP(tblOrders[[#This Row],[ProductID]],tblProducts[ProductID],tblProducts[Category],"not found")</f>
        <v>Apparel</v>
      </c>
      <c r="J334">
        <f>_xlfn.XLOOKUP(tblOrders[[#This Row],[ProductID]],tblProducts[ProductID],tblProducts[UnitPrice],"not found")</f>
        <v>331.2</v>
      </c>
      <c r="K334" t="str">
        <f>_xlfn.XLOOKUP(tblOrders[[#This Row],[ProductID]],tblProducts[ProductID],tblProducts[Supplier],"not found")</f>
        <v>Johnson-Luna</v>
      </c>
      <c r="L334" s="1">
        <v>45142</v>
      </c>
      <c r="M3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45142</v>
      </c>
      <c r="N334">
        <v>1</v>
      </c>
      <c r="O334">
        <v>331.2</v>
      </c>
      <c r="P334">
        <f>tblOrders[[#This Row],[Quantity]]*tblOrders[[#This Row],[Unit Price]]</f>
        <v>331.2</v>
      </c>
      <c r="Q334">
        <f>tblOrders[[#This Row],[TotalSales]]-tblOrders[[#This Row],[Calculated Sales]]</f>
        <v>0</v>
      </c>
    </row>
    <row r="335" spans="1:17" x14ac:dyDescent="0.25">
      <c r="A335">
        <v>196</v>
      </c>
      <c r="B335">
        <v>339</v>
      </c>
      <c r="C335" t="str">
        <f>_xlfn.XLOOKUP(tblOrders[[#This Row],[CustomerID]],tblCustomers[CustomerID],tblCustomers[CustomerName],"not found")</f>
        <v>Michael Chang</v>
      </c>
      <c r="D335">
        <f>_xlfn.XLOOKUP(tblOrders[[#This Row],[CustomerID]],tblCustomers[CustomerID],tblCustomers[Age],"not found")</f>
        <v>18</v>
      </c>
      <c r="E335" t="str">
        <f>_xlfn.XLOOKUP(tblOrders[[#This Row],[CustomerID]],tblCustomers[CustomerID],tblCustomers[Gender],"not found")</f>
        <v>Female</v>
      </c>
      <c r="F335" t="str">
        <f>_xlfn.XLOOKUP(tblOrders[[#This Row],[CustomerID]],tblCustomers[CustomerID],tblCustomers[Region],"not found")</f>
        <v>West</v>
      </c>
      <c r="G335">
        <v>1100</v>
      </c>
      <c r="H335" t="str">
        <f>_xlfn.XLOOKUP(tblOrders[[#This Row],[ProductID]],tblProducts[ProductID],tblProducts[ProductName],"not found")</f>
        <v>Among</v>
      </c>
      <c r="I335" t="str">
        <f>_xlfn.XLOOKUP(tblOrders[[#This Row],[ProductID]],tblProducts[ProductID],tblProducts[Category],"not found")</f>
        <v>Apparel</v>
      </c>
      <c r="J335">
        <f>_xlfn.XLOOKUP(tblOrders[[#This Row],[ProductID]],tblProducts[ProductID],tblProducts[UnitPrice],"not found")</f>
        <v>331.2</v>
      </c>
      <c r="K335" t="str">
        <f>_xlfn.XLOOKUP(tblOrders[[#This Row],[ProductID]],tblProducts[ProductID],tblProducts[Supplier],"not found")</f>
        <v>Johnson-Luna</v>
      </c>
      <c r="L335" s="1">
        <v>45019</v>
      </c>
      <c r="M3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45019</v>
      </c>
      <c r="N335">
        <v>8</v>
      </c>
      <c r="O335">
        <v>2649.6</v>
      </c>
      <c r="P335">
        <f>tblOrders[[#This Row],[Quantity]]*tblOrders[[#This Row],[Unit Price]]</f>
        <v>2649.6</v>
      </c>
      <c r="Q335">
        <f>tblOrders[[#This Row],[TotalSales]]-tblOrders[[#This Row],[Calculated Sales]]</f>
        <v>0</v>
      </c>
    </row>
    <row r="336" spans="1:17" x14ac:dyDescent="0.25">
      <c r="A336">
        <v>259</v>
      </c>
      <c r="B336">
        <v>980</v>
      </c>
      <c r="C336" t="str">
        <f>_xlfn.XLOOKUP(tblOrders[[#This Row],[CustomerID]],tblCustomers[CustomerID],tblCustomers[CustomerName],"not found")</f>
        <v>Gregory Andrade</v>
      </c>
      <c r="D336">
        <f>_xlfn.XLOOKUP(tblOrders[[#This Row],[CustomerID]],tblCustomers[CustomerID],tblCustomers[Age],"not found")</f>
        <v>24</v>
      </c>
      <c r="E336" t="str">
        <f>_xlfn.XLOOKUP(tblOrders[[#This Row],[CustomerID]],tblCustomers[CustomerID],tblCustomers[Gender],"not found")</f>
        <v>Female</v>
      </c>
      <c r="F336" t="str">
        <f>_xlfn.XLOOKUP(tblOrders[[#This Row],[CustomerID]],tblCustomers[CustomerID],tblCustomers[Region],"not found")</f>
        <v>North</v>
      </c>
      <c r="G336">
        <v>1100</v>
      </c>
      <c r="H336" t="str">
        <f>_xlfn.XLOOKUP(tblOrders[[#This Row],[ProductID]],tblProducts[ProductID],tblProducts[ProductName],"not found")</f>
        <v>Among</v>
      </c>
      <c r="I336" t="str">
        <f>_xlfn.XLOOKUP(tblOrders[[#This Row],[ProductID]],tblProducts[ProductID],tblProducts[Category],"not found")</f>
        <v>Apparel</v>
      </c>
      <c r="J336">
        <f>_xlfn.XLOOKUP(tblOrders[[#This Row],[ProductID]],tblProducts[ProductID],tblProducts[UnitPrice],"not found")</f>
        <v>331.2</v>
      </c>
      <c r="K336" t="str">
        <f>_xlfn.XLOOKUP(tblOrders[[#This Row],[ProductID]],tblProducts[ProductID],tblProducts[Supplier],"not found")</f>
        <v>Johnson-Luna</v>
      </c>
      <c r="L336" s="1">
        <v>45231</v>
      </c>
      <c r="M3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45231</v>
      </c>
      <c r="N336">
        <v>4</v>
      </c>
      <c r="O336">
        <v>1324.8</v>
      </c>
      <c r="P336">
        <f>tblOrders[[#This Row],[Quantity]]*tblOrders[[#This Row],[Unit Price]]</f>
        <v>1324.8</v>
      </c>
      <c r="Q336">
        <f>tblOrders[[#This Row],[TotalSales]]-tblOrders[[#This Row],[Calculated Sales]]</f>
        <v>0</v>
      </c>
    </row>
    <row r="337" spans="1:17" x14ac:dyDescent="0.25">
      <c r="A337">
        <v>493</v>
      </c>
      <c r="B337">
        <v>468</v>
      </c>
      <c r="C337" t="str">
        <f>_xlfn.XLOOKUP(tblOrders[[#This Row],[CustomerID]],tblCustomers[CustomerID],tblCustomers[CustomerName],"not found")</f>
        <v>David Robinson</v>
      </c>
      <c r="D337">
        <f>_xlfn.XLOOKUP(tblOrders[[#This Row],[CustomerID]],tblCustomers[CustomerID],tblCustomers[Age],"not found")</f>
        <v>24</v>
      </c>
      <c r="E337" t="str">
        <f>_xlfn.XLOOKUP(tblOrders[[#This Row],[CustomerID]],tblCustomers[CustomerID],tblCustomers[Gender],"not found")</f>
        <v>Male</v>
      </c>
      <c r="F337" t="str">
        <f>_xlfn.XLOOKUP(tblOrders[[#This Row],[CustomerID]],tblCustomers[CustomerID],tblCustomers[Region],"not found")</f>
        <v>East</v>
      </c>
      <c r="G337">
        <v>1100</v>
      </c>
      <c r="H337" t="str">
        <f>_xlfn.XLOOKUP(tblOrders[[#This Row],[ProductID]],tblProducts[ProductID],tblProducts[ProductName],"not found")</f>
        <v>Among</v>
      </c>
      <c r="I337" t="str">
        <f>_xlfn.XLOOKUP(tblOrders[[#This Row],[ProductID]],tblProducts[ProductID],tblProducts[Category],"not found")</f>
        <v>Apparel</v>
      </c>
      <c r="J337">
        <f>_xlfn.XLOOKUP(tblOrders[[#This Row],[ProductID]],tblProducts[ProductID],tblProducts[UnitPrice],"not found")</f>
        <v>331.2</v>
      </c>
      <c r="K337" t="str">
        <f>_xlfn.XLOOKUP(tblOrders[[#This Row],[ProductID]],tblProducts[ProductID],tblProducts[Supplier],"not found")</f>
        <v>Johnson-Luna</v>
      </c>
      <c r="L337" s="1">
        <v>45232</v>
      </c>
      <c r="M3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45232</v>
      </c>
      <c r="N337">
        <v>2</v>
      </c>
      <c r="O337">
        <v>662.4</v>
      </c>
      <c r="P337">
        <f>tblOrders[[#This Row],[Quantity]]*tblOrders[[#This Row],[Unit Price]]</f>
        <v>662.4</v>
      </c>
      <c r="Q337">
        <f>tblOrders[[#This Row],[TotalSales]]-tblOrders[[#This Row],[Calculated Sales]]</f>
        <v>0</v>
      </c>
    </row>
    <row r="338" spans="1:17" x14ac:dyDescent="0.25">
      <c r="A338">
        <v>498</v>
      </c>
      <c r="B338">
        <v>672</v>
      </c>
      <c r="C338" t="str">
        <f>_xlfn.XLOOKUP(tblOrders[[#This Row],[CustomerID]],tblCustomers[CustomerID],tblCustomers[CustomerName],"not found")</f>
        <v>Tara Graves</v>
      </c>
      <c r="D338">
        <f>_xlfn.XLOOKUP(tblOrders[[#This Row],[CustomerID]],tblCustomers[CustomerID],tblCustomers[Age],"not found")</f>
        <v>37</v>
      </c>
      <c r="E338" t="str">
        <f>_xlfn.XLOOKUP(tblOrders[[#This Row],[CustomerID]],tblCustomers[CustomerID],tblCustomers[Gender],"not found")</f>
        <v>Male</v>
      </c>
      <c r="F338" t="str">
        <f>_xlfn.XLOOKUP(tblOrders[[#This Row],[CustomerID]],tblCustomers[CustomerID],tblCustomers[Region],"not found")</f>
        <v>East</v>
      </c>
      <c r="G338">
        <v>1100</v>
      </c>
      <c r="H338" t="str">
        <f>_xlfn.XLOOKUP(tblOrders[[#This Row],[ProductID]],tblProducts[ProductID],tblProducts[ProductName],"not found")</f>
        <v>Among</v>
      </c>
      <c r="I338" t="str">
        <f>_xlfn.XLOOKUP(tblOrders[[#This Row],[ProductID]],tblProducts[ProductID],tblProducts[Category],"not found")</f>
        <v>Apparel</v>
      </c>
      <c r="J338">
        <f>_xlfn.XLOOKUP(tblOrders[[#This Row],[ProductID]],tblProducts[ProductID],tblProducts[UnitPrice],"not found")</f>
        <v>331.2</v>
      </c>
      <c r="K338" t="str">
        <f>_xlfn.XLOOKUP(tblOrders[[#This Row],[ProductID]],tblProducts[ProductID],tblProducts[Supplier],"not found")</f>
        <v>Johnson-Luna</v>
      </c>
      <c r="L338" s="1" t="s">
        <v>2172</v>
      </c>
      <c r="M3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45378</v>
      </c>
      <c r="N338">
        <v>4</v>
      </c>
      <c r="O338">
        <v>1324.8</v>
      </c>
      <c r="P338">
        <f>tblOrders[[#This Row],[Quantity]]*tblOrders[[#This Row],[Unit Price]]</f>
        <v>1324.8</v>
      </c>
      <c r="Q338">
        <f>tblOrders[[#This Row],[TotalSales]]-tblOrders[[#This Row],[Calculated Sales]]</f>
        <v>0</v>
      </c>
    </row>
    <row r="339" spans="1:17" x14ac:dyDescent="0.25">
      <c r="A339">
        <v>624</v>
      </c>
      <c r="B339">
        <v>167</v>
      </c>
      <c r="C339" t="str">
        <f>_xlfn.XLOOKUP(tblOrders[[#This Row],[CustomerID]],tblCustomers[CustomerID],tblCustomers[CustomerName],"not found")</f>
        <v>Anna Evans</v>
      </c>
      <c r="D339">
        <f>_xlfn.XLOOKUP(tblOrders[[#This Row],[CustomerID]],tblCustomers[CustomerID],tblCustomers[Age],"not found")</f>
        <v>23</v>
      </c>
      <c r="E339" t="str">
        <f>_xlfn.XLOOKUP(tblOrders[[#This Row],[CustomerID]],tblCustomers[CustomerID],tblCustomers[Gender],"not found")</f>
        <v>Male</v>
      </c>
      <c r="F339" t="str">
        <f>_xlfn.XLOOKUP(tblOrders[[#This Row],[CustomerID]],tblCustomers[CustomerID],tblCustomers[Region],"not found")</f>
        <v>Central</v>
      </c>
      <c r="G339">
        <v>1100</v>
      </c>
      <c r="H339" t="str">
        <f>_xlfn.XLOOKUP(tblOrders[[#This Row],[ProductID]],tblProducts[ProductID],tblProducts[ProductName],"not found")</f>
        <v>Among</v>
      </c>
      <c r="I339" t="str">
        <f>_xlfn.XLOOKUP(tblOrders[[#This Row],[ProductID]],tblProducts[ProductID],tblProducts[Category],"not found")</f>
        <v>Apparel</v>
      </c>
      <c r="J339">
        <f>_xlfn.XLOOKUP(tblOrders[[#This Row],[ProductID]],tblProducts[ProductID],tblProducts[UnitPrice],"not found")</f>
        <v>331.2</v>
      </c>
      <c r="K339" t="str">
        <f>_xlfn.XLOOKUP(tblOrders[[#This Row],[ProductID]],tblProducts[ProductID],tblProducts[Supplier],"not found")</f>
        <v>Johnson-Luna</v>
      </c>
      <c r="L339" s="1" t="s">
        <v>2168</v>
      </c>
      <c r="M3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45400</v>
      </c>
      <c r="N339">
        <v>4</v>
      </c>
      <c r="O339">
        <v>1324.8</v>
      </c>
      <c r="P339">
        <f>tblOrders[[#This Row],[Quantity]]*tblOrders[[#This Row],[Unit Price]]</f>
        <v>1324.8</v>
      </c>
      <c r="Q339">
        <f>tblOrders[[#This Row],[TotalSales]]-tblOrders[[#This Row],[Calculated Sales]]</f>
        <v>0</v>
      </c>
    </row>
    <row r="340" spans="1:17" x14ac:dyDescent="0.25">
      <c r="A340">
        <v>785</v>
      </c>
      <c r="B340">
        <v>635</v>
      </c>
      <c r="C340" t="str">
        <f>_xlfn.XLOOKUP(tblOrders[[#This Row],[CustomerID]],tblCustomers[CustomerID],tblCustomers[CustomerName],"not found")</f>
        <v>Alexis Henderson</v>
      </c>
      <c r="D340">
        <f>_xlfn.XLOOKUP(tblOrders[[#This Row],[CustomerID]],tblCustomers[CustomerID],tblCustomers[Age],"not found")</f>
        <v>29</v>
      </c>
      <c r="E340" t="str">
        <f>_xlfn.XLOOKUP(tblOrders[[#This Row],[CustomerID]],tblCustomers[CustomerID],tblCustomers[Gender],"not found")</f>
        <v>Male</v>
      </c>
      <c r="F340" t="str">
        <f>_xlfn.XLOOKUP(tblOrders[[#This Row],[CustomerID]],tblCustomers[CustomerID],tblCustomers[Region],"not found")</f>
        <v>Central</v>
      </c>
      <c r="G340">
        <v>1100</v>
      </c>
      <c r="H340" t="str">
        <f>_xlfn.XLOOKUP(tblOrders[[#This Row],[ProductID]],tblProducts[ProductID],tblProducts[ProductName],"not found")</f>
        <v>Among</v>
      </c>
      <c r="I340" t="str">
        <f>_xlfn.XLOOKUP(tblOrders[[#This Row],[ProductID]],tblProducts[ProductID],tblProducts[Category],"not found")</f>
        <v>Apparel</v>
      </c>
      <c r="J340">
        <f>_xlfn.XLOOKUP(tblOrders[[#This Row],[ProductID]],tblProducts[ProductID],tblProducts[UnitPrice],"not found")</f>
        <v>331.2</v>
      </c>
      <c r="K340" t="str">
        <f>_xlfn.XLOOKUP(tblOrders[[#This Row],[ProductID]],tblProducts[ProductID],tblProducts[Supplier],"not found")</f>
        <v>Johnson-Luna</v>
      </c>
      <c r="L340" s="1" t="s">
        <v>2146</v>
      </c>
      <c r="M3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45032</v>
      </c>
      <c r="N340">
        <v>4</v>
      </c>
      <c r="O340">
        <v>1324.8</v>
      </c>
      <c r="P340">
        <f>tblOrders[[#This Row],[Quantity]]*tblOrders[[#This Row],[Unit Price]]</f>
        <v>1324.8</v>
      </c>
      <c r="Q340">
        <f>tblOrders[[#This Row],[TotalSales]]-tblOrders[[#This Row],[Calculated Sales]]</f>
        <v>0</v>
      </c>
    </row>
    <row r="341" spans="1:17" x14ac:dyDescent="0.25">
      <c r="A341">
        <v>844</v>
      </c>
      <c r="B341">
        <v>13</v>
      </c>
      <c r="C341" t="str">
        <f>_xlfn.XLOOKUP(tblOrders[[#This Row],[CustomerID]],tblCustomers[CustomerID],tblCustomers[CustomerName],"not found")</f>
        <v>Chelsey Hunter</v>
      </c>
      <c r="D341">
        <f>_xlfn.XLOOKUP(tblOrders[[#This Row],[CustomerID]],tblCustomers[CustomerID],tblCustomers[Age],"not found")</f>
        <v>32</v>
      </c>
      <c r="E341" t="str">
        <f>_xlfn.XLOOKUP(tblOrders[[#This Row],[CustomerID]],tblCustomers[CustomerID],tblCustomers[Gender],"not found")</f>
        <v>Female</v>
      </c>
      <c r="F341" t="str">
        <f>_xlfn.XLOOKUP(tblOrders[[#This Row],[CustomerID]],tblCustomers[CustomerID],tblCustomers[Region],"not found")</f>
        <v>East</v>
      </c>
      <c r="G341">
        <v>1100</v>
      </c>
      <c r="H341" t="str">
        <f>_xlfn.XLOOKUP(tblOrders[[#This Row],[ProductID]],tblProducts[ProductID],tblProducts[ProductName],"not found")</f>
        <v>Among</v>
      </c>
      <c r="I341" t="str">
        <f>_xlfn.XLOOKUP(tblOrders[[#This Row],[ProductID]],tblProducts[ProductID],tblProducts[Category],"not found")</f>
        <v>Apparel</v>
      </c>
      <c r="J341">
        <f>_xlfn.XLOOKUP(tblOrders[[#This Row],[ProductID]],tblProducts[ProductID],tblProducts[UnitPrice],"not found")</f>
        <v>331.2</v>
      </c>
      <c r="K341" t="str">
        <f>_xlfn.XLOOKUP(tblOrders[[#This Row],[ProductID]],tblProducts[ProductID],tblProducts[Supplier],"not found")</f>
        <v>Johnson-Luna</v>
      </c>
      <c r="L341" s="1" t="s">
        <v>2173</v>
      </c>
      <c r="M3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45152</v>
      </c>
      <c r="N341">
        <v>2</v>
      </c>
      <c r="O341">
        <v>662.4</v>
      </c>
      <c r="P341">
        <f>tblOrders[[#This Row],[Quantity]]*tblOrders[[#This Row],[Unit Price]]</f>
        <v>662.4</v>
      </c>
      <c r="Q341">
        <f>tblOrders[[#This Row],[TotalSales]]-tblOrders[[#This Row],[Calculated Sales]]</f>
        <v>0</v>
      </c>
    </row>
    <row r="342" spans="1:17" x14ac:dyDescent="0.25">
      <c r="A342">
        <v>918</v>
      </c>
      <c r="B342">
        <v>146</v>
      </c>
      <c r="C342" t="str">
        <f>_xlfn.XLOOKUP(tblOrders[[#This Row],[CustomerID]],tblCustomers[CustomerID],tblCustomers[CustomerName],"not found")</f>
        <v>Tiffany Roth</v>
      </c>
      <c r="D342">
        <f>_xlfn.XLOOKUP(tblOrders[[#This Row],[CustomerID]],tblCustomers[CustomerID],tblCustomers[Age],"not found")</f>
        <v>41</v>
      </c>
      <c r="E342" t="str">
        <f>_xlfn.XLOOKUP(tblOrders[[#This Row],[CustomerID]],tblCustomers[CustomerID],tblCustomers[Gender],"not found")</f>
        <v>Male</v>
      </c>
      <c r="F342" t="str">
        <f>_xlfn.XLOOKUP(tblOrders[[#This Row],[CustomerID]],tblCustomers[CustomerID],tblCustomers[Region],"not found")</f>
        <v>West</v>
      </c>
      <c r="G342">
        <v>1100</v>
      </c>
      <c r="H342" t="str">
        <f>_xlfn.XLOOKUP(tblOrders[[#This Row],[ProductID]],tblProducts[ProductID],tblProducts[ProductName],"not found")</f>
        <v>Among</v>
      </c>
      <c r="I342" t="str">
        <f>_xlfn.XLOOKUP(tblOrders[[#This Row],[ProductID]],tblProducts[ProductID],tblProducts[Category],"not found")</f>
        <v>Apparel</v>
      </c>
      <c r="J342">
        <f>_xlfn.XLOOKUP(tblOrders[[#This Row],[ProductID]],tblProducts[ProductID],tblProducts[UnitPrice],"not found")</f>
        <v>331.2</v>
      </c>
      <c r="K342" t="str">
        <f>_xlfn.XLOOKUP(tblOrders[[#This Row],[ProductID]],tblProducts[ProductID],tblProducts[Supplier],"not found")</f>
        <v>Johnson-Luna</v>
      </c>
      <c r="L342" s="1" t="s">
        <v>2174</v>
      </c>
      <c r="M3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45010</v>
      </c>
      <c r="N342">
        <v>3</v>
      </c>
      <c r="O342">
        <v>993.6</v>
      </c>
      <c r="P342">
        <f>tblOrders[[#This Row],[Quantity]]*tblOrders[[#This Row],[Unit Price]]</f>
        <v>993.59999999999991</v>
      </c>
      <c r="Q342">
        <f>tblOrders[[#This Row],[TotalSales]]-tblOrders[[#This Row],[Calculated Sales]]</f>
        <v>0</v>
      </c>
    </row>
    <row r="343" spans="1:17" x14ac:dyDescent="0.25">
      <c r="A343">
        <v>971</v>
      </c>
      <c r="B343">
        <v>867</v>
      </c>
      <c r="C343" t="str">
        <f>_xlfn.XLOOKUP(tblOrders[[#This Row],[CustomerID]],tblCustomers[CustomerID],tblCustomers[CustomerName],"not found")</f>
        <v>Clarence King MD</v>
      </c>
      <c r="D343">
        <f>_xlfn.XLOOKUP(tblOrders[[#This Row],[CustomerID]],tblCustomers[CustomerID],tblCustomers[Age],"not found")</f>
        <v>34</v>
      </c>
      <c r="E343" t="str">
        <f>_xlfn.XLOOKUP(tblOrders[[#This Row],[CustomerID]],tblCustomers[CustomerID],tblCustomers[Gender],"not found")</f>
        <v>Male</v>
      </c>
      <c r="F343" t="str">
        <f>_xlfn.XLOOKUP(tblOrders[[#This Row],[CustomerID]],tblCustomers[CustomerID],tblCustomers[Region],"not found")</f>
        <v>North</v>
      </c>
      <c r="G343">
        <v>1100</v>
      </c>
      <c r="H343" t="str">
        <f>_xlfn.XLOOKUP(tblOrders[[#This Row],[ProductID]],tblProducts[ProductID],tblProducts[ProductName],"not found")</f>
        <v>Among</v>
      </c>
      <c r="I343" t="str">
        <f>_xlfn.XLOOKUP(tblOrders[[#This Row],[ProductID]],tblProducts[ProductID],tblProducts[Category],"not found")</f>
        <v>Apparel</v>
      </c>
      <c r="J343">
        <f>_xlfn.XLOOKUP(tblOrders[[#This Row],[ProductID]],tblProducts[ProductID],tblProducts[UnitPrice],"not found")</f>
        <v>331.2</v>
      </c>
      <c r="K343" t="str">
        <f>_xlfn.XLOOKUP(tblOrders[[#This Row],[ProductID]],tblProducts[ProductID],tblProducts[Supplier],"not found")</f>
        <v>Johnson-Luna</v>
      </c>
      <c r="L343" s="1" t="s">
        <v>2175</v>
      </c>
      <c r="M3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45006</v>
      </c>
      <c r="N343">
        <v>4</v>
      </c>
      <c r="O343">
        <v>1324.8</v>
      </c>
      <c r="P343">
        <f>tblOrders[[#This Row],[Quantity]]*tblOrders[[#This Row],[Unit Price]]</f>
        <v>1324.8</v>
      </c>
      <c r="Q343">
        <f>tblOrders[[#This Row],[TotalSales]]-tblOrders[[#This Row],[Calculated Sales]]</f>
        <v>0</v>
      </c>
    </row>
    <row r="344" spans="1:17" x14ac:dyDescent="0.25">
      <c r="A344">
        <v>995</v>
      </c>
      <c r="B344">
        <v>644</v>
      </c>
      <c r="C344" t="str">
        <f>_xlfn.XLOOKUP(tblOrders[[#This Row],[CustomerID]],tblCustomers[CustomerID],tblCustomers[CustomerName],"not found")</f>
        <v>Kaitlyn Douglas</v>
      </c>
      <c r="D344">
        <f>_xlfn.XLOOKUP(tblOrders[[#This Row],[CustomerID]],tblCustomers[CustomerID],tblCustomers[Age],"not found")</f>
        <v>31</v>
      </c>
      <c r="E344" t="str">
        <f>_xlfn.XLOOKUP(tblOrders[[#This Row],[CustomerID]],tblCustomers[CustomerID],tblCustomers[Gender],"not found")</f>
        <v>Male</v>
      </c>
      <c r="F344" t="str">
        <f>_xlfn.XLOOKUP(tblOrders[[#This Row],[CustomerID]],tblCustomers[CustomerID],tblCustomers[Region],"not found")</f>
        <v>North</v>
      </c>
      <c r="G344">
        <v>1100</v>
      </c>
      <c r="H344" t="str">
        <f>_xlfn.XLOOKUP(tblOrders[[#This Row],[ProductID]],tblProducts[ProductID],tblProducts[ProductName],"not found")</f>
        <v>Among</v>
      </c>
      <c r="I344" t="str">
        <f>_xlfn.XLOOKUP(tblOrders[[#This Row],[ProductID]],tblProducts[ProductID],tblProducts[Category],"not found")</f>
        <v>Apparel</v>
      </c>
      <c r="J344">
        <f>_xlfn.XLOOKUP(tblOrders[[#This Row],[ProductID]],tblProducts[ProductID],tblProducts[UnitPrice],"not found")</f>
        <v>331.2</v>
      </c>
      <c r="K344" t="str">
        <f>_xlfn.XLOOKUP(tblOrders[[#This Row],[ProductID]],tblProducts[ProductID],tblProducts[Supplier],"not found")</f>
        <v>Johnson-Luna</v>
      </c>
      <c r="L344" s="1">
        <v>45539</v>
      </c>
      <c r="M3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45539</v>
      </c>
      <c r="N344">
        <v>6</v>
      </c>
      <c r="O344">
        <v>1987.2</v>
      </c>
      <c r="P344">
        <f>tblOrders[[#This Row],[Quantity]]*tblOrders[[#This Row],[Unit Price]]</f>
        <v>1987.1999999999998</v>
      </c>
      <c r="Q344">
        <f>tblOrders[[#This Row],[TotalSales]]-tblOrders[[#This Row],[Calculated Sales]]</f>
        <v>0</v>
      </c>
    </row>
    <row r="345" spans="1:17" x14ac:dyDescent="0.25">
      <c r="A345">
        <v>996</v>
      </c>
      <c r="B345">
        <v>916</v>
      </c>
      <c r="C345" t="str">
        <f>_xlfn.XLOOKUP(tblOrders[[#This Row],[CustomerID]],tblCustomers[CustomerID],tblCustomers[CustomerName],"not found")</f>
        <v>Monica Harris</v>
      </c>
      <c r="D345">
        <f>_xlfn.XLOOKUP(tblOrders[[#This Row],[CustomerID]],tblCustomers[CustomerID],tblCustomers[Age],"not found")</f>
        <v>54</v>
      </c>
      <c r="E345" t="str">
        <f>_xlfn.XLOOKUP(tblOrders[[#This Row],[CustomerID]],tblCustomers[CustomerID],tblCustomers[Gender],"not found")</f>
        <v>Male</v>
      </c>
      <c r="F345" t="str">
        <f>_xlfn.XLOOKUP(tblOrders[[#This Row],[CustomerID]],tblCustomers[CustomerID],tblCustomers[Region],"not found")</f>
        <v>Central</v>
      </c>
      <c r="G345">
        <v>1100</v>
      </c>
      <c r="H345" t="str">
        <f>_xlfn.XLOOKUP(tblOrders[[#This Row],[ProductID]],tblProducts[ProductID],tblProducts[ProductName],"not found")</f>
        <v>Among</v>
      </c>
      <c r="I345" t="str">
        <f>_xlfn.XLOOKUP(tblOrders[[#This Row],[ProductID]],tblProducts[ProductID],tblProducts[Category],"not found")</f>
        <v>Apparel</v>
      </c>
      <c r="J345">
        <f>_xlfn.XLOOKUP(tblOrders[[#This Row],[ProductID]],tblProducts[ProductID],tblProducts[UnitPrice],"not found")</f>
        <v>331.2</v>
      </c>
      <c r="K345" t="str">
        <f>_xlfn.XLOOKUP(tblOrders[[#This Row],[ProductID]],tblProducts[ProductID],tblProducts[Supplier],"not found")</f>
        <v>Johnson-Luna</v>
      </c>
      <c r="L345" s="1">
        <v>45573</v>
      </c>
      <c r="M3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45573</v>
      </c>
      <c r="N345">
        <v>3</v>
      </c>
      <c r="O345">
        <v>993.6</v>
      </c>
      <c r="P345">
        <f>tblOrders[[#This Row],[Quantity]]*tblOrders[[#This Row],[Unit Price]]</f>
        <v>993.59999999999991</v>
      </c>
      <c r="Q345">
        <f>tblOrders[[#This Row],[TotalSales]]-tblOrders[[#This Row],[Calculated Sales]]</f>
        <v>0</v>
      </c>
    </row>
    <row r="346" spans="1:17" x14ac:dyDescent="0.25">
      <c r="A346">
        <v>1290</v>
      </c>
      <c r="B346">
        <v>92</v>
      </c>
      <c r="C346" t="str">
        <f>_xlfn.XLOOKUP(tblOrders[[#This Row],[CustomerID]],tblCustomers[CustomerID],tblCustomers[CustomerName],"not found")</f>
        <v>Pamela Gordon</v>
      </c>
      <c r="D346">
        <f>_xlfn.XLOOKUP(tblOrders[[#This Row],[CustomerID]],tblCustomers[CustomerID],tblCustomers[Age],"not found")</f>
        <v>51</v>
      </c>
      <c r="E346" t="str">
        <f>_xlfn.XLOOKUP(tblOrders[[#This Row],[CustomerID]],tblCustomers[CustomerID],tblCustomers[Gender],"not found")</f>
        <v>Male</v>
      </c>
      <c r="F346" t="str">
        <f>_xlfn.XLOOKUP(tblOrders[[#This Row],[CustomerID]],tblCustomers[CustomerID],tblCustomers[Region],"not found")</f>
        <v>North</v>
      </c>
      <c r="G346">
        <v>1100</v>
      </c>
      <c r="H346" t="str">
        <f>_xlfn.XLOOKUP(tblOrders[[#This Row],[ProductID]],tblProducts[ProductID],tblProducts[ProductName],"not found")</f>
        <v>Among</v>
      </c>
      <c r="I346" t="str">
        <f>_xlfn.XLOOKUP(tblOrders[[#This Row],[ProductID]],tblProducts[ProductID],tblProducts[Category],"not found")</f>
        <v>Apparel</v>
      </c>
      <c r="J346">
        <f>_xlfn.XLOOKUP(tblOrders[[#This Row],[ProductID]],tblProducts[ProductID],tblProducts[UnitPrice],"not found")</f>
        <v>331.2</v>
      </c>
      <c r="K346" t="str">
        <f>_xlfn.XLOOKUP(tblOrders[[#This Row],[ProductID]],tblProducts[ProductID],tblProducts[Supplier],"not found")</f>
        <v>Johnson-Luna</v>
      </c>
      <c r="L346" s="1" t="s">
        <v>2141</v>
      </c>
      <c r="M3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44925</v>
      </c>
      <c r="N346">
        <v>4</v>
      </c>
      <c r="O346">
        <v>1324.8</v>
      </c>
      <c r="P346">
        <f>tblOrders[[#This Row],[Quantity]]*tblOrders[[#This Row],[Unit Price]]</f>
        <v>1324.8</v>
      </c>
      <c r="Q346">
        <f>tblOrders[[#This Row],[TotalSales]]-tblOrders[[#This Row],[Calculated Sales]]</f>
        <v>0</v>
      </c>
    </row>
    <row r="347" spans="1:17" x14ac:dyDescent="0.25">
      <c r="A347">
        <v>1527</v>
      </c>
      <c r="B347">
        <v>831</v>
      </c>
      <c r="C347" t="str">
        <f>_xlfn.XLOOKUP(tblOrders[[#This Row],[CustomerID]],tblCustomers[CustomerID],tblCustomers[CustomerName],"not found")</f>
        <v>Lindsey Gilbert</v>
      </c>
      <c r="D347">
        <f>_xlfn.XLOOKUP(tblOrders[[#This Row],[CustomerID]],tblCustomers[CustomerID],tblCustomers[Age],"not found")</f>
        <v>67</v>
      </c>
      <c r="E347" t="str">
        <f>_xlfn.XLOOKUP(tblOrders[[#This Row],[CustomerID]],tblCustomers[CustomerID],tblCustomers[Gender],"not found")</f>
        <v>Male</v>
      </c>
      <c r="F347" t="str">
        <f>_xlfn.XLOOKUP(tblOrders[[#This Row],[CustomerID]],tblCustomers[CustomerID],tblCustomers[Region],"not found")</f>
        <v>South</v>
      </c>
      <c r="G347">
        <v>1100</v>
      </c>
      <c r="H347" t="str">
        <f>_xlfn.XLOOKUP(tblOrders[[#This Row],[ProductID]],tblProducts[ProductID],tblProducts[ProductName],"not found")</f>
        <v>Among</v>
      </c>
      <c r="I347" t="str">
        <f>_xlfn.XLOOKUP(tblOrders[[#This Row],[ProductID]],tblProducts[ProductID],tblProducts[Category],"not found")</f>
        <v>Apparel</v>
      </c>
      <c r="J347">
        <f>_xlfn.XLOOKUP(tblOrders[[#This Row],[ProductID]],tblProducts[ProductID],tblProducts[UnitPrice],"not found")</f>
        <v>331.2</v>
      </c>
      <c r="K347" t="str">
        <f>_xlfn.XLOOKUP(tblOrders[[#This Row],[ProductID]],tblProducts[ProductID],tblProducts[Supplier],"not found")</f>
        <v>Johnson-Luna</v>
      </c>
      <c r="L347" s="1" t="s">
        <v>2083</v>
      </c>
      <c r="M3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45000</v>
      </c>
      <c r="N347">
        <v>3</v>
      </c>
      <c r="O347">
        <v>993.6</v>
      </c>
      <c r="P347">
        <f>tblOrders[[#This Row],[Quantity]]*tblOrders[[#This Row],[Unit Price]]</f>
        <v>993.59999999999991</v>
      </c>
      <c r="Q347">
        <f>tblOrders[[#This Row],[TotalSales]]-tblOrders[[#This Row],[Calculated Sales]]</f>
        <v>0</v>
      </c>
    </row>
    <row r="348" spans="1:17" x14ac:dyDescent="0.25">
      <c r="A348">
        <v>1580</v>
      </c>
      <c r="B348">
        <v>995</v>
      </c>
      <c r="C348" t="str">
        <f>_xlfn.XLOOKUP(tblOrders[[#This Row],[CustomerID]],tblCustomers[CustomerID],tblCustomers[CustomerName],"not found")</f>
        <v>Angela Wood</v>
      </c>
      <c r="D348">
        <f>_xlfn.XLOOKUP(tblOrders[[#This Row],[CustomerID]],tblCustomers[CustomerID],tblCustomers[Age],"not found")</f>
        <v>64</v>
      </c>
      <c r="E348" t="str">
        <f>_xlfn.XLOOKUP(tblOrders[[#This Row],[CustomerID]],tblCustomers[CustomerID],tblCustomers[Gender],"not found")</f>
        <v>Female</v>
      </c>
      <c r="F348" t="str">
        <f>_xlfn.XLOOKUP(tblOrders[[#This Row],[CustomerID]],tblCustomers[CustomerID],tblCustomers[Region],"not found")</f>
        <v>East</v>
      </c>
      <c r="G348">
        <v>1100</v>
      </c>
      <c r="H348" t="str">
        <f>_xlfn.XLOOKUP(tblOrders[[#This Row],[ProductID]],tblProducts[ProductID],tblProducts[ProductName],"not found")</f>
        <v>Among</v>
      </c>
      <c r="I348" t="str">
        <f>_xlfn.XLOOKUP(tblOrders[[#This Row],[ProductID]],tblProducts[ProductID],tblProducts[Category],"not found")</f>
        <v>Apparel</v>
      </c>
      <c r="J348">
        <f>_xlfn.XLOOKUP(tblOrders[[#This Row],[ProductID]],tblProducts[ProductID],tblProducts[UnitPrice],"not found")</f>
        <v>331.2</v>
      </c>
      <c r="K348" t="str">
        <f>_xlfn.XLOOKUP(tblOrders[[#This Row],[ProductID]],tblProducts[ProductID],tblProducts[Supplier],"not found")</f>
        <v>Johnson-Luna</v>
      </c>
      <c r="L348" s="1" t="s">
        <v>2176</v>
      </c>
      <c r="M3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45291</v>
      </c>
      <c r="N348">
        <v>7</v>
      </c>
      <c r="O348">
        <v>2318.4</v>
      </c>
      <c r="P348">
        <f>tblOrders[[#This Row],[Quantity]]*tblOrders[[#This Row],[Unit Price]]</f>
        <v>2318.4</v>
      </c>
      <c r="Q348">
        <f>tblOrders[[#This Row],[TotalSales]]-tblOrders[[#This Row],[Calculated Sales]]</f>
        <v>0</v>
      </c>
    </row>
    <row r="349" spans="1:17" x14ac:dyDescent="0.25">
      <c r="A349">
        <v>1681</v>
      </c>
      <c r="B349">
        <v>363</v>
      </c>
      <c r="C349" t="str">
        <f>_xlfn.XLOOKUP(tblOrders[[#This Row],[CustomerID]],tblCustomers[CustomerID],tblCustomers[CustomerName],"not found")</f>
        <v>Dale Black</v>
      </c>
      <c r="D349">
        <f>_xlfn.XLOOKUP(tblOrders[[#This Row],[CustomerID]],tblCustomers[CustomerID],tblCustomers[Age],"not found")</f>
        <v>33</v>
      </c>
      <c r="E349" t="str">
        <f>_xlfn.XLOOKUP(tblOrders[[#This Row],[CustomerID]],tblCustomers[CustomerID],tblCustomers[Gender],"not found")</f>
        <v>Female</v>
      </c>
      <c r="F349" t="str">
        <f>_xlfn.XLOOKUP(tblOrders[[#This Row],[CustomerID]],tblCustomers[CustomerID],tblCustomers[Region],"not found")</f>
        <v>Central</v>
      </c>
      <c r="G349">
        <v>1100</v>
      </c>
      <c r="H349" t="str">
        <f>_xlfn.XLOOKUP(tblOrders[[#This Row],[ProductID]],tblProducts[ProductID],tblProducts[ProductName],"not found")</f>
        <v>Among</v>
      </c>
      <c r="I349" t="str">
        <f>_xlfn.XLOOKUP(tblOrders[[#This Row],[ProductID]],tblProducts[ProductID],tblProducts[Category],"not found")</f>
        <v>Apparel</v>
      </c>
      <c r="J349">
        <f>_xlfn.XLOOKUP(tblOrders[[#This Row],[ProductID]],tblProducts[ProductID],tblProducts[UnitPrice],"not found")</f>
        <v>331.2</v>
      </c>
      <c r="K349" t="str">
        <f>_xlfn.XLOOKUP(tblOrders[[#This Row],[ProductID]],tblProducts[ProductID],tblProducts[Supplier],"not found")</f>
        <v>Johnson-Luna</v>
      </c>
      <c r="L349" s="1" t="s">
        <v>2177</v>
      </c>
      <c r="M3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44944</v>
      </c>
      <c r="N349">
        <v>3</v>
      </c>
      <c r="O349">
        <v>993.6</v>
      </c>
      <c r="P349">
        <f>tblOrders[[#This Row],[Quantity]]*tblOrders[[#This Row],[Unit Price]]</f>
        <v>993.59999999999991</v>
      </c>
      <c r="Q349">
        <f>tblOrders[[#This Row],[TotalSales]]-tblOrders[[#This Row],[Calculated Sales]]</f>
        <v>0</v>
      </c>
    </row>
    <row r="350" spans="1:17" x14ac:dyDescent="0.25">
      <c r="A350">
        <v>1693</v>
      </c>
      <c r="B350">
        <v>721</v>
      </c>
      <c r="C350" t="str">
        <f>_xlfn.XLOOKUP(tblOrders[[#This Row],[CustomerID]],tblCustomers[CustomerID],tblCustomers[CustomerName],"not found")</f>
        <v>Mary Parker</v>
      </c>
      <c r="D350">
        <f>_xlfn.XLOOKUP(tblOrders[[#This Row],[CustomerID]],tblCustomers[CustomerID],tblCustomers[Age],"not found")</f>
        <v>30</v>
      </c>
      <c r="E350" t="str">
        <f>_xlfn.XLOOKUP(tblOrders[[#This Row],[CustomerID]],tblCustomers[CustomerID],tblCustomers[Gender],"not found")</f>
        <v>Male</v>
      </c>
      <c r="F350" t="str">
        <f>_xlfn.XLOOKUP(tblOrders[[#This Row],[CustomerID]],tblCustomers[CustomerID],tblCustomers[Region],"not found")</f>
        <v>East</v>
      </c>
      <c r="G350">
        <v>1100</v>
      </c>
      <c r="H350" t="str">
        <f>_xlfn.XLOOKUP(tblOrders[[#This Row],[ProductID]],tblProducts[ProductID],tblProducts[ProductName],"not found")</f>
        <v>Among</v>
      </c>
      <c r="I350" t="str">
        <f>_xlfn.XLOOKUP(tblOrders[[#This Row],[ProductID]],tblProducts[ProductID],tblProducts[Category],"not found")</f>
        <v>Apparel</v>
      </c>
      <c r="J350">
        <f>_xlfn.XLOOKUP(tblOrders[[#This Row],[ProductID]],tblProducts[ProductID],tblProducts[UnitPrice],"not found")</f>
        <v>331.2</v>
      </c>
      <c r="K350" t="str">
        <f>_xlfn.XLOOKUP(tblOrders[[#This Row],[ProductID]],tblProducts[ProductID],tblProducts[Supplier],"not found")</f>
        <v>Johnson-Luna</v>
      </c>
      <c r="L350" s="1">
        <v>45266</v>
      </c>
      <c r="M3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45266</v>
      </c>
      <c r="N350">
        <v>9</v>
      </c>
      <c r="O350">
        <v>2980.8</v>
      </c>
      <c r="P350">
        <f>tblOrders[[#This Row],[Quantity]]*tblOrders[[#This Row],[Unit Price]]</f>
        <v>2980.7999999999997</v>
      </c>
      <c r="Q350">
        <f>tblOrders[[#This Row],[TotalSales]]-tblOrders[[#This Row],[Calculated Sales]]</f>
        <v>0</v>
      </c>
    </row>
    <row r="351" spans="1:17" x14ac:dyDescent="0.25">
      <c r="A351">
        <v>1696</v>
      </c>
      <c r="B351">
        <v>527</v>
      </c>
      <c r="C351" t="str">
        <f>_xlfn.XLOOKUP(tblOrders[[#This Row],[CustomerID]],tblCustomers[CustomerID],tblCustomers[CustomerName],"not found")</f>
        <v>Michelle Ross</v>
      </c>
      <c r="D351">
        <f>_xlfn.XLOOKUP(tblOrders[[#This Row],[CustomerID]],tblCustomers[CustomerID],tblCustomers[Age],"not found")</f>
        <v>35</v>
      </c>
      <c r="E351" t="str">
        <f>_xlfn.XLOOKUP(tblOrders[[#This Row],[CustomerID]],tblCustomers[CustomerID],tblCustomers[Gender],"not found")</f>
        <v>Male</v>
      </c>
      <c r="F351" t="str">
        <f>_xlfn.XLOOKUP(tblOrders[[#This Row],[CustomerID]],tblCustomers[CustomerID],tblCustomers[Region],"not found")</f>
        <v>West</v>
      </c>
      <c r="G351">
        <v>1100</v>
      </c>
      <c r="H351" t="str">
        <f>_xlfn.XLOOKUP(tblOrders[[#This Row],[ProductID]],tblProducts[ProductID],tblProducts[ProductName],"not found")</f>
        <v>Among</v>
      </c>
      <c r="I351" t="str">
        <f>_xlfn.XLOOKUP(tblOrders[[#This Row],[ProductID]],tblProducts[ProductID],tblProducts[Category],"not found")</f>
        <v>Apparel</v>
      </c>
      <c r="J351">
        <f>_xlfn.XLOOKUP(tblOrders[[#This Row],[ProductID]],tblProducts[ProductID],tblProducts[UnitPrice],"not found")</f>
        <v>331.2</v>
      </c>
      <c r="K351" t="str">
        <f>_xlfn.XLOOKUP(tblOrders[[#This Row],[ProductID]],tblProducts[ProductID],tblProducts[Supplier],"not found")</f>
        <v>Johnson-Luna</v>
      </c>
      <c r="L351" s="1" t="s">
        <v>2053</v>
      </c>
      <c r="M3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45281</v>
      </c>
      <c r="N351">
        <v>3</v>
      </c>
      <c r="O351">
        <v>993.6</v>
      </c>
      <c r="P351">
        <f>tblOrders[[#This Row],[Quantity]]*tblOrders[[#This Row],[Unit Price]]</f>
        <v>993.59999999999991</v>
      </c>
      <c r="Q351">
        <f>tblOrders[[#This Row],[TotalSales]]-tblOrders[[#This Row],[Calculated Sales]]</f>
        <v>0</v>
      </c>
    </row>
    <row r="352" spans="1:17" x14ac:dyDescent="0.25">
      <c r="A352">
        <v>1704</v>
      </c>
      <c r="B352">
        <v>445</v>
      </c>
      <c r="C352" t="str">
        <f>_xlfn.XLOOKUP(tblOrders[[#This Row],[CustomerID]],tblCustomers[CustomerID],tblCustomers[CustomerName],"not found")</f>
        <v>Dr. Kathryn Jacobs</v>
      </c>
      <c r="D352">
        <f>_xlfn.XLOOKUP(tblOrders[[#This Row],[CustomerID]],tblCustomers[CustomerID],tblCustomers[Age],"not found")</f>
        <v>62</v>
      </c>
      <c r="E352" t="str">
        <f>_xlfn.XLOOKUP(tblOrders[[#This Row],[CustomerID]],tblCustomers[CustomerID],tblCustomers[Gender],"not found")</f>
        <v>Male</v>
      </c>
      <c r="F352" t="str">
        <f>_xlfn.XLOOKUP(tblOrders[[#This Row],[CustomerID]],tblCustomers[CustomerID],tblCustomers[Region],"not found")</f>
        <v>West</v>
      </c>
      <c r="G352">
        <v>1100</v>
      </c>
      <c r="H352" t="str">
        <f>_xlfn.XLOOKUP(tblOrders[[#This Row],[ProductID]],tblProducts[ProductID],tblProducts[ProductName],"not found")</f>
        <v>Among</v>
      </c>
      <c r="I352" t="str">
        <f>_xlfn.XLOOKUP(tblOrders[[#This Row],[ProductID]],tblProducts[ProductID],tblProducts[Category],"not found")</f>
        <v>Apparel</v>
      </c>
      <c r="J352">
        <f>_xlfn.XLOOKUP(tblOrders[[#This Row],[ProductID]],tblProducts[ProductID],tblProducts[UnitPrice],"not found")</f>
        <v>331.2</v>
      </c>
      <c r="K352" t="str">
        <f>_xlfn.XLOOKUP(tblOrders[[#This Row],[ProductID]],tblProducts[ProductID],tblProducts[Supplier],"not found")</f>
        <v>Johnson-Luna</v>
      </c>
      <c r="L352" s="1" t="s">
        <v>2178</v>
      </c>
      <c r="M3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45069</v>
      </c>
      <c r="N352">
        <v>6</v>
      </c>
      <c r="O352">
        <v>1987.2</v>
      </c>
      <c r="P352">
        <f>tblOrders[[#This Row],[Quantity]]*tblOrders[[#This Row],[Unit Price]]</f>
        <v>1987.1999999999998</v>
      </c>
      <c r="Q352">
        <f>tblOrders[[#This Row],[TotalSales]]-tblOrders[[#This Row],[Calculated Sales]]</f>
        <v>0</v>
      </c>
    </row>
    <row r="353" spans="1:17" x14ac:dyDescent="0.25">
      <c r="A353">
        <v>18</v>
      </c>
      <c r="B353">
        <v>84</v>
      </c>
      <c r="C353" t="str">
        <f>_xlfn.XLOOKUP(tblOrders[[#This Row],[CustomerID]],tblCustomers[CustomerID],tblCustomers[CustomerName],"not found")</f>
        <v>Christian Lee</v>
      </c>
      <c r="D353">
        <f>_xlfn.XLOOKUP(tblOrders[[#This Row],[CustomerID]],tblCustomers[CustomerID],tblCustomers[Age],"not found")</f>
        <v>29</v>
      </c>
      <c r="E353" t="str">
        <f>_xlfn.XLOOKUP(tblOrders[[#This Row],[CustomerID]],tblCustomers[CustomerID],tblCustomers[Gender],"not found")</f>
        <v>Male</v>
      </c>
      <c r="F353" t="str">
        <f>_xlfn.XLOOKUP(tblOrders[[#This Row],[CustomerID]],tblCustomers[CustomerID],tblCustomers[Region],"not found")</f>
        <v>South</v>
      </c>
      <c r="G353">
        <v>1024</v>
      </c>
      <c r="H353" t="str">
        <f>_xlfn.XLOOKUP(tblOrders[[#This Row],[ProductID]],tblProducts[ProductID],tblProducts[ProductName],"not found")</f>
        <v>Very</v>
      </c>
      <c r="I353" t="str">
        <f>_xlfn.XLOOKUP(tblOrders[[#This Row],[ProductID]],tblProducts[ProductID],tblProducts[Category],"not found")</f>
        <v>Beauty</v>
      </c>
      <c r="J353">
        <f>_xlfn.XLOOKUP(tblOrders[[#This Row],[ProductID]],tblProducts[ProductID],tblProducts[UnitPrice],"not found")</f>
        <v>250.77</v>
      </c>
      <c r="K353" t="str">
        <f>_xlfn.XLOOKUP(tblOrders[[#This Row],[ProductID]],tblProducts[ProductID],tblProducts[Supplier],"not found")</f>
        <v>Riley LLC</v>
      </c>
      <c r="L353" s="1">
        <v>45234</v>
      </c>
      <c r="M3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45234</v>
      </c>
      <c r="N353">
        <v>9</v>
      </c>
      <c r="O353">
        <v>2256.9299999999998</v>
      </c>
      <c r="P353">
        <f>tblOrders[[#This Row],[Quantity]]*tblOrders[[#This Row],[Unit Price]]</f>
        <v>2256.9300000000003</v>
      </c>
      <c r="Q353">
        <f>tblOrders[[#This Row],[TotalSales]]-tblOrders[[#This Row],[Calculated Sales]]</f>
        <v>0</v>
      </c>
    </row>
    <row r="354" spans="1:17" x14ac:dyDescent="0.25">
      <c r="A354">
        <v>61</v>
      </c>
      <c r="B354">
        <v>213</v>
      </c>
      <c r="C354" t="str">
        <f>_xlfn.XLOOKUP(tblOrders[[#This Row],[CustomerID]],tblCustomers[CustomerID],tblCustomers[CustomerName],"not found")</f>
        <v>Joseph Sosa</v>
      </c>
      <c r="D354">
        <f>_xlfn.XLOOKUP(tblOrders[[#This Row],[CustomerID]],tblCustomers[CustomerID],tblCustomers[Age],"not found")</f>
        <v>38</v>
      </c>
      <c r="E354" t="str">
        <f>_xlfn.XLOOKUP(tblOrders[[#This Row],[CustomerID]],tblCustomers[CustomerID],tblCustomers[Gender],"not found")</f>
        <v>Female</v>
      </c>
      <c r="F354" t="str">
        <f>_xlfn.XLOOKUP(tblOrders[[#This Row],[CustomerID]],tblCustomers[CustomerID],tblCustomers[Region],"not found")</f>
        <v>East</v>
      </c>
      <c r="G354">
        <v>1024</v>
      </c>
      <c r="H354" t="str">
        <f>_xlfn.XLOOKUP(tblOrders[[#This Row],[ProductID]],tblProducts[ProductID],tblProducts[ProductName],"not found")</f>
        <v>Very</v>
      </c>
      <c r="I354" t="str">
        <f>_xlfn.XLOOKUP(tblOrders[[#This Row],[ProductID]],tblProducts[ProductID],tblProducts[Category],"not found")</f>
        <v>Beauty</v>
      </c>
      <c r="J354">
        <f>_xlfn.XLOOKUP(tblOrders[[#This Row],[ProductID]],tblProducts[ProductID],tblProducts[UnitPrice],"not found")</f>
        <v>250.77</v>
      </c>
      <c r="K354" t="str">
        <f>_xlfn.XLOOKUP(tblOrders[[#This Row],[ProductID]],tblProducts[ProductID],tblProducts[Supplier],"not found")</f>
        <v>Riley LLC</v>
      </c>
      <c r="L354" s="1" t="s">
        <v>2179</v>
      </c>
      <c r="M3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45169</v>
      </c>
      <c r="N354">
        <v>4</v>
      </c>
      <c r="O354">
        <v>1003.08</v>
      </c>
      <c r="P354">
        <f>tblOrders[[#This Row],[Quantity]]*tblOrders[[#This Row],[Unit Price]]</f>
        <v>1003.08</v>
      </c>
      <c r="Q354">
        <f>tblOrders[[#This Row],[TotalSales]]-tblOrders[[#This Row],[Calculated Sales]]</f>
        <v>0</v>
      </c>
    </row>
    <row r="355" spans="1:17" x14ac:dyDescent="0.25">
      <c r="A355">
        <v>92</v>
      </c>
      <c r="B355">
        <v>30</v>
      </c>
      <c r="C355" t="str">
        <f>_xlfn.XLOOKUP(tblOrders[[#This Row],[CustomerID]],tblCustomers[CustomerID],tblCustomers[CustomerName],"not found")</f>
        <v>Michael Martinez</v>
      </c>
      <c r="D355">
        <f>_xlfn.XLOOKUP(tblOrders[[#This Row],[CustomerID]],tblCustomers[CustomerID],tblCustomers[Age],"not found")</f>
        <v>45</v>
      </c>
      <c r="E355" t="str">
        <f>_xlfn.XLOOKUP(tblOrders[[#This Row],[CustomerID]],tblCustomers[CustomerID],tblCustomers[Gender],"not found")</f>
        <v>Female</v>
      </c>
      <c r="F355" t="str">
        <f>_xlfn.XLOOKUP(tblOrders[[#This Row],[CustomerID]],tblCustomers[CustomerID],tblCustomers[Region],"not found")</f>
        <v>East</v>
      </c>
      <c r="G355">
        <v>1024</v>
      </c>
      <c r="H355" t="str">
        <f>_xlfn.XLOOKUP(tblOrders[[#This Row],[ProductID]],tblProducts[ProductID],tblProducts[ProductName],"not found")</f>
        <v>Very</v>
      </c>
      <c r="I355" t="str">
        <f>_xlfn.XLOOKUP(tblOrders[[#This Row],[ProductID]],tblProducts[ProductID],tblProducts[Category],"not found")</f>
        <v>Beauty</v>
      </c>
      <c r="J355">
        <f>_xlfn.XLOOKUP(tblOrders[[#This Row],[ProductID]],tblProducts[ProductID],tblProducts[UnitPrice],"not found")</f>
        <v>250.77</v>
      </c>
      <c r="K355" t="str">
        <f>_xlfn.XLOOKUP(tblOrders[[#This Row],[ProductID]],tblProducts[ProductID],tblProducts[Supplier],"not found")</f>
        <v>Riley LLC</v>
      </c>
      <c r="L355" s="1" t="s">
        <v>2015</v>
      </c>
      <c r="M3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45556</v>
      </c>
      <c r="N355">
        <v>7</v>
      </c>
      <c r="O355">
        <v>1755.39</v>
      </c>
      <c r="P355">
        <f>tblOrders[[#This Row],[Quantity]]*tblOrders[[#This Row],[Unit Price]]</f>
        <v>1755.39</v>
      </c>
      <c r="Q355">
        <f>tblOrders[[#This Row],[TotalSales]]-tblOrders[[#This Row],[Calculated Sales]]</f>
        <v>0</v>
      </c>
    </row>
    <row r="356" spans="1:17" x14ac:dyDescent="0.25">
      <c r="A356">
        <v>602</v>
      </c>
      <c r="B356">
        <v>314</v>
      </c>
      <c r="C356" t="str">
        <f>_xlfn.XLOOKUP(tblOrders[[#This Row],[CustomerID]],tblCustomers[CustomerID],tblCustomers[CustomerName],"not found")</f>
        <v>Douglas Kelly</v>
      </c>
      <c r="D356">
        <f>_xlfn.XLOOKUP(tblOrders[[#This Row],[CustomerID]],tblCustomers[CustomerID],tblCustomers[Age],"not found")</f>
        <v>23</v>
      </c>
      <c r="E356" t="str">
        <f>_xlfn.XLOOKUP(tblOrders[[#This Row],[CustomerID]],tblCustomers[CustomerID],tblCustomers[Gender],"not found")</f>
        <v>Male</v>
      </c>
      <c r="F356" t="str">
        <f>_xlfn.XLOOKUP(tblOrders[[#This Row],[CustomerID]],tblCustomers[CustomerID],tblCustomers[Region],"not found")</f>
        <v>West</v>
      </c>
      <c r="G356">
        <v>1024</v>
      </c>
      <c r="H356" t="str">
        <f>_xlfn.XLOOKUP(tblOrders[[#This Row],[ProductID]],tblProducts[ProductID],tblProducts[ProductName],"not found")</f>
        <v>Very</v>
      </c>
      <c r="I356" t="str">
        <f>_xlfn.XLOOKUP(tblOrders[[#This Row],[ProductID]],tblProducts[ProductID],tblProducts[Category],"not found")</f>
        <v>Beauty</v>
      </c>
      <c r="J356">
        <f>_xlfn.XLOOKUP(tblOrders[[#This Row],[ProductID]],tblProducts[ProductID],tblProducts[UnitPrice],"not found")</f>
        <v>250.77</v>
      </c>
      <c r="K356" t="str">
        <f>_xlfn.XLOOKUP(tblOrders[[#This Row],[ProductID]],tblProducts[ProductID],tblProducts[Supplier],"not found")</f>
        <v>Riley LLC</v>
      </c>
      <c r="L356" s="1" t="s">
        <v>2053</v>
      </c>
      <c r="M3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45281</v>
      </c>
      <c r="N356">
        <v>4</v>
      </c>
      <c r="O356">
        <v>1003.08</v>
      </c>
      <c r="P356">
        <f>tblOrders[[#This Row],[Quantity]]*tblOrders[[#This Row],[Unit Price]]</f>
        <v>1003.08</v>
      </c>
      <c r="Q356">
        <f>tblOrders[[#This Row],[TotalSales]]-tblOrders[[#This Row],[Calculated Sales]]</f>
        <v>0</v>
      </c>
    </row>
    <row r="357" spans="1:17" x14ac:dyDescent="0.25">
      <c r="A357">
        <v>605</v>
      </c>
      <c r="B357">
        <v>265</v>
      </c>
      <c r="C357" t="str">
        <f>_xlfn.XLOOKUP(tblOrders[[#This Row],[CustomerID]],tblCustomers[CustomerID],tblCustomers[CustomerName],"not found")</f>
        <v>Brandon Collins</v>
      </c>
      <c r="D357">
        <f>_xlfn.XLOOKUP(tblOrders[[#This Row],[CustomerID]],tblCustomers[CustomerID],tblCustomers[Age],"not found")</f>
        <v>21</v>
      </c>
      <c r="E357" t="str">
        <f>_xlfn.XLOOKUP(tblOrders[[#This Row],[CustomerID]],tblCustomers[CustomerID],tblCustomers[Gender],"not found")</f>
        <v>Male</v>
      </c>
      <c r="F357" t="str">
        <f>_xlfn.XLOOKUP(tblOrders[[#This Row],[CustomerID]],tblCustomers[CustomerID],tblCustomers[Region],"not found")</f>
        <v>North</v>
      </c>
      <c r="G357">
        <v>1024</v>
      </c>
      <c r="H357" t="str">
        <f>_xlfn.XLOOKUP(tblOrders[[#This Row],[ProductID]],tblProducts[ProductID],tblProducts[ProductName],"not found")</f>
        <v>Very</v>
      </c>
      <c r="I357" t="str">
        <f>_xlfn.XLOOKUP(tblOrders[[#This Row],[ProductID]],tblProducts[ProductID],tblProducts[Category],"not found")</f>
        <v>Beauty</v>
      </c>
      <c r="J357">
        <f>_xlfn.XLOOKUP(tblOrders[[#This Row],[ProductID]],tblProducts[ProductID],tblProducts[UnitPrice],"not found")</f>
        <v>250.77</v>
      </c>
      <c r="K357" t="str">
        <f>_xlfn.XLOOKUP(tblOrders[[#This Row],[ProductID]],tblProducts[ProductID],tblProducts[Supplier],"not found")</f>
        <v>Riley LLC</v>
      </c>
      <c r="L357" s="1" t="s">
        <v>2180</v>
      </c>
      <c r="M3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45500</v>
      </c>
      <c r="N357">
        <v>5</v>
      </c>
      <c r="O357">
        <v>1253.8499999999999</v>
      </c>
      <c r="P357">
        <f>tblOrders[[#This Row],[Quantity]]*tblOrders[[#This Row],[Unit Price]]</f>
        <v>1253.8500000000001</v>
      </c>
      <c r="Q357">
        <f>tblOrders[[#This Row],[TotalSales]]-tblOrders[[#This Row],[Calculated Sales]]</f>
        <v>0</v>
      </c>
    </row>
    <row r="358" spans="1:17" x14ac:dyDescent="0.25">
      <c r="A358">
        <v>653</v>
      </c>
      <c r="B358">
        <v>973</v>
      </c>
      <c r="C358" t="str">
        <f>_xlfn.XLOOKUP(tblOrders[[#This Row],[CustomerID]],tblCustomers[CustomerID],tblCustomers[CustomerName],"not found")</f>
        <v>Kathy Moore</v>
      </c>
      <c r="D358">
        <f>_xlfn.XLOOKUP(tblOrders[[#This Row],[CustomerID]],tblCustomers[CustomerID],tblCustomers[Age],"not found")</f>
        <v>31</v>
      </c>
      <c r="E358" t="str">
        <f>_xlfn.XLOOKUP(tblOrders[[#This Row],[CustomerID]],tblCustomers[CustomerID],tblCustomers[Gender],"not found")</f>
        <v>Female</v>
      </c>
      <c r="F358" t="str">
        <f>_xlfn.XLOOKUP(tblOrders[[#This Row],[CustomerID]],tblCustomers[CustomerID],tblCustomers[Region],"not found")</f>
        <v>North</v>
      </c>
      <c r="G358">
        <v>1024</v>
      </c>
      <c r="H358" t="str">
        <f>_xlfn.XLOOKUP(tblOrders[[#This Row],[ProductID]],tblProducts[ProductID],tblProducts[ProductName],"not found")</f>
        <v>Very</v>
      </c>
      <c r="I358" t="str">
        <f>_xlfn.XLOOKUP(tblOrders[[#This Row],[ProductID]],tblProducts[ProductID],tblProducts[Category],"not found")</f>
        <v>Beauty</v>
      </c>
      <c r="J358">
        <f>_xlfn.XLOOKUP(tblOrders[[#This Row],[ProductID]],tblProducts[ProductID],tblProducts[UnitPrice],"not found")</f>
        <v>250.77</v>
      </c>
      <c r="K358" t="str">
        <f>_xlfn.XLOOKUP(tblOrders[[#This Row],[ProductID]],tblProducts[ProductID],tblProducts[Supplier],"not found")</f>
        <v>Riley LLC</v>
      </c>
      <c r="L358" s="1" t="s">
        <v>2181</v>
      </c>
      <c r="M3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45399</v>
      </c>
      <c r="N358">
        <v>1</v>
      </c>
      <c r="O358">
        <v>250.77</v>
      </c>
      <c r="P358">
        <f>tblOrders[[#This Row],[Quantity]]*tblOrders[[#This Row],[Unit Price]]</f>
        <v>250.77</v>
      </c>
      <c r="Q358">
        <f>tblOrders[[#This Row],[TotalSales]]-tblOrders[[#This Row],[Calculated Sales]]</f>
        <v>0</v>
      </c>
    </row>
    <row r="359" spans="1:17" x14ac:dyDescent="0.25">
      <c r="A359">
        <v>745</v>
      </c>
      <c r="B359">
        <v>73</v>
      </c>
      <c r="C359" t="str">
        <f>_xlfn.XLOOKUP(tblOrders[[#This Row],[CustomerID]],tblCustomers[CustomerID],tblCustomers[CustomerName],"not found")</f>
        <v>Troy Hicks</v>
      </c>
      <c r="D359">
        <f>_xlfn.XLOOKUP(tblOrders[[#This Row],[CustomerID]],tblCustomers[CustomerID],tblCustomers[Age],"not found")</f>
        <v>20</v>
      </c>
      <c r="E359" t="str">
        <f>_xlfn.XLOOKUP(tblOrders[[#This Row],[CustomerID]],tblCustomers[CustomerID],tblCustomers[Gender],"not found")</f>
        <v>Male</v>
      </c>
      <c r="F359" t="str">
        <f>_xlfn.XLOOKUP(tblOrders[[#This Row],[CustomerID]],tblCustomers[CustomerID],tblCustomers[Region],"not found")</f>
        <v>North</v>
      </c>
      <c r="G359">
        <v>1024</v>
      </c>
      <c r="H359" t="str">
        <f>_xlfn.XLOOKUP(tblOrders[[#This Row],[ProductID]],tblProducts[ProductID],tblProducts[ProductName],"not found")</f>
        <v>Very</v>
      </c>
      <c r="I359" t="str">
        <f>_xlfn.XLOOKUP(tblOrders[[#This Row],[ProductID]],tblProducts[ProductID],tblProducts[Category],"not found")</f>
        <v>Beauty</v>
      </c>
      <c r="J359">
        <f>_xlfn.XLOOKUP(tblOrders[[#This Row],[ProductID]],tblProducts[ProductID],tblProducts[UnitPrice],"not found")</f>
        <v>250.77</v>
      </c>
      <c r="K359" t="str">
        <f>_xlfn.XLOOKUP(tblOrders[[#This Row],[ProductID]],tblProducts[ProductID],tblProducts[Supplier],"not found")</f>
        <v>Riley LLC</v>
      </c>
      <c r="L359" s="1" t="s">
        <v>2048</v>
      </c>
      <c r="M3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44981</v>
      </c>
      <c r="N359">
        <v>9</v>
      </c>
      <c r="O359">
        <v>2256.9299999999998</v>
      </c>
      <c r="P359">
        <f>tblOrders[[#This Row],[Quantity]]*tblOrders[[#This Row],[Unit Price]]</f>
        <v>2256.9300000000003</v>
      </c>
      <c r="Q359">
        <f>tblOrders[[#This Row],[TotalSales]]-tblOrders[[#This Row],[Calculated Sales]]</f>
        <v>0</v>
      </c>
    </row>
    <row r="360" spans="1:17" x14ac:dyDescent="0.25">
      <c r="A360">
        <v>945</v>
      </c>
      <c r="B360">
        <v>50</v>
      </c>
      <c r="C360" t="str">
        <f>_xlfn.XLOOKUP(tblOrders[[#This Row],[CustomerID]],tblCustomers[CustomerID],tblCustomers[CustomerName],"not found")</f>
        <v>Matthew Merritt</v>
      </c>
      <c r="D360">
        <f>_xlfn.XLOOKUP(tblOrders[[#This Row],[CustomerID]],tblCustomers[CustomerID],tblCustomers[Age],"not found")</f>
        <v>53</v>
      </c>
      <c r="E360" t="str">
        <f>_xlfn.XLOOKUP(tblOrders[[#This Row],[CustomerID]],tblCustomers[CustomerID],tblCustomers[Gender],"not found")</f>
        <v>Male</v>
      </c>
      <c r="F360" t="str">
        <f>_xlfn.XLOOKUP(tblOrders[[#This Row],[CustomerID]],tblCustomers[CustomerID],tblCustomers[Region],"not found")</f>
        <v>North</v>
      </c>
      <c r="G360">
        <v>1024</v>
      </c>
      <c r="H360" t="str">
        <f>_xlfn.XLOOKUP(tblOrders[[#This Row],[ProductID]],tblProducts[ProductID],tblProducts[ProductName],"not found")</f>
        <v>Very</v>
      </c>
      <c r="I360" t="str">
        <f>_xlfn.XLOOKUP(tblOrders[[#This Row],[ProductID]],tblProducts[ProductID],tblProducts[Category],"not found")</f>
        <v>Beauty</v>
      </c>
      <c r="J360">
        <f>_xlfn.XLOOKUP(tblOrders[[#This Row],[ProductID]],tblProducts[ProductID],tblProducts[UnitPrice],"not found")</f>
        <v>250.77</v>
      </c>
      <c r="K360" t="str">
        <f>_xlfn.XLOOKUP(tblOrders[[#This Row],[ProductID]],tblProducts[ProductID],tblProducts[Supplier],"not found")</f>
        <v>Riley LLC</v>
      </c>
      <c r="L360" s="1">
        <v>44994</v>
      </c>
      <c r="M3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44994</v>
      </c>
      <c r="N360">
        <v>5</v>
      </c>
      <c r="O360">
        <v>1253.8499999999999</v>
      </c>
      <c r="P360">
        <f>tblOrders[[#This Row],[Quantity]]*tblOrders[[#This Row],[Unit Price]]</f>
        <v>1253.8500000000001</v>
      </c>
      <c r="Q360">
        <f>tblOrders[[#This Row],[TotalSales]]-tblOrders[[#This Row],[Calculated Sales]]</f>
        <v>0</v>
      </c>
    </row>
    <row r="361" spans="1:17" x14ac:dyDescent="0.25">
      <c r="A361">
        <v>978</v>
      </c>
      <c r="B361">
        <v>13</v>
      </c>
      <c r="C361" t="str">
        <f>_xlfn.XLOOKUP(tblOrders[[#This Row],[CustomerID]],tblCustomers[CustomerID],tblCustomers[CustomerName],"not found")</f>
        <v>Chelsey Hunter</v>
      </c>
      <c r="D361">
        <f>_xlfn.XLOOKUP(tblOrders[[#This Row],[CustomerID]],tblCustomers[CustomerID],tblCustomers[Age],"not found")</f>
        <v>32</v>
      </c>
      <c r="E361" t="str">
        <f>_xlfn.XLOOKUP(tblOrders[[#This Row],[CustomerID]],tblCustomers[CustomerID],tblCustomers[Gender],"not found")</f>
        <v>Female</v>
      </c>
      <c r="F361" t="str">
        <f>_xlfn.XLOOKUP(tblOrders[[#This Row],[CustomerID]],tblCustomers[CustomerID],tblCustomers[Region],"not found")</f>
        <v>East</v>
      </c>
      <c r="G361">
        <v>1024</v>
      </c>
      <c r="H361" t="str">
        <f>_xlfn.XLOOKUP(tblOrders[[#This Row],[ProductID]],tblProducts[ProductID],tblProducts[ProductName],"not found")</f>
        <v>Very</v>
      </c>
      <c r="I361" t="str">
        <f>_xlfn.XLOOKUP(tblOrders[[#This Row],[ProductID]],tblProducts[ProductID],tblProducts[Category],"not found")</f>
        <v>Beauty</v>
      </c>
      <c r="J361">
        <f>_xlfn.XLOOKUP(tblOrders[[#This Row],[ProductID]],tblProducts[ProductID],tblProducts[UnitPrice],"not found")</f>
        <v>250.77</v>
      </c>
      <c r="K361" t="str">
        <f>_xlfn.XLOOKUP(tblOrders[[#This Row],[ProductID]],tblProducts[ProductID],tblProducts[Supplier],"not found")</f>
        <v>Riley LLC</v>
      </c>
      <c r="L361" s="1" t="s">
        <v>2182</v>
      </c>
      <c r="M3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45060</v>
      </c>
      <c r="N361">
        <v>6</v>
      </c>
      <c r="O361">
        <v>1504.62</v>
      </c>
      <c r="P361">
        <f>tblOrders[[#This Row],[Quantity]]*tblOrders[[#This Row],[Unit Price]]</f>
        <v>1504.6200000000001</v>
      </c>
      <c r="Q361">
        <f>tblOrders[[#This Row],[TotalSales]]-tblOrders[[#This Row],[Calculated Sales]]</f>
        <v>0</v>
      </c>
    </row>
    <row r="362" spans="1:17" x14ac:dyDescent="0.25">
      <c r="A362">
        <v>1108</v>
      </c>
      <c r="B362">
        <v>159</v>
      </c>
      <c r="C362" t="str">
        <f>_xlfn.XLOOKUP(tblOrders[[#This Row],[CustomerID]],tblCustomers[CustomerID],tblCustomers[CustomerName],"not found")</f>
        <v>Linda Miller</v>
      </c>
      <c r="D362">
        <f>_xlfn.XLOOKUP(tblOrders[[#This Row],[CustomerID]],tblCustomers[CustomerID],tblCustomers[Age],"not found")</f>
        <v>54</v>
      </c>
      <c r="E362" t="str">
        <f>_xlfn.XLOOKUP(tblOrders[[#This Row],[CustomerID]],tblCustomers[CustomerID],tblCustomers[Gender],"not found")</f>
        <v>Female</v>
      </c>
      <c r="F362" t="str">
        <f>_xlfn.XLOOKUP(tblOrders[[#This Row],[CustomerID]],tblCustomers[CustomerID],tblCustomers[Region],"not found")</f>
        <v>West</v>
      </c>
      <c r="G362">
        <v>1024</v>
      </c>
      <c r="H362" t="str">
        <f>_xlfn.XLOOKUP(tblOrders[[#This Row],[ProductID]],tblProducts[ProductID],tblProducts[ProductName],"not found")</f>
        <v>Very</v>
      </c>
      <c r="I362" t="str">
        <f>_xlfn.XLOOKUP(tblOrders[[#This Row],[ProductID]],tblProducts[ProductID],tblProducts[Category],"not found")</f>
        <v>Beauty</v>
      </c>
      <c r="J362">
        <f>_xlfn.XLOOKUP(tblOrders[[#This Row],[ProductID]],tblProducts[ProductID],tblProducts[UnitPrice],"not found")</f>
        <v>250.77</v>
      </c>
      <c r="K362" t="str">
        <f>_xlfn.XLOOKUP(tblOrders[[#This Row],[ProductID]],tblProducts[ProductID],tblProducts[Supplier],"not found")</f>
        <v>Riley LLC</v>
      </c>
      <c r="L362" s="1" t="s">
        <v>2183</v>
      </c>
      <c r="M3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45304</v>
      </c>
      <c r="N362">
        <v>4</v>
      </c>
      <c r="O362">
        <v>1003.08</v>
      </c>
      <c r="P362">
        <f>tblOrders[[#This Row],[Quantity]]*tblOrders[[#This Row],[Unit Price]]</f>
        <v>1003.08</v>
      </c>
      <c r="Q362">
        <f>tblOrders[[#This Row],[TotalSales]]-tblOrders[[#This Row],[Calculated Sales]]</f>
        <v>0</v>
      </c>
    </row>
    <row r="363" spans="1:17" x14ac:dyDescent="0.25">
      <c r="A363">
        <v>1185</v>
      </c>
      <c r="B363">
        <v>391</v>
      </c>
      <c r="C363" t="str">
        <f>_xlfn.XLOOKUP(tblOrders[[#This Row],[CustomerID]],tblCustomers[CustomerID],tblCustomers[CustomerName],"not found")</f>
        <v>Phyllis Bennett</v>
      </c>
      <c r="D363">
        <f>_xlfn.XLOOKUP(tblOrders[[#This Row],[CustomerID]],tblCustomers[CustomerID],tblCustomers[Age],"not found")</f>
        <v>61</v>
      </c>
      <c r="E363" t="str">
        <f>_xlfn.XLOOKUP(tblOrders[[#This Row],[CustomerID]],tblCustomers[CustomerID],tblCustomers[Gender],"not found")</f>
        <v>Female</v>
      </c>
      <c r="F363" t="str">
        <f>_xlfn.XLOOKUP(tblOrders[[#This Row],[CustomerID]],tblCustomers[CustomerID],tblCustomers[Region],"not found")</f>
        <v>South</v>
      </c>
      <c r="G363">
        <v>1024</v>
      </c>
      <c r="H363" t="str">
        <f>_xlfn.XLOOKUP(tblOrders[[#This Row],[ProductID]],tblProducts[ProductID],tblProducts[ProductName],"not found")</f>
        <v>Very</v>
      </c>
      <c r="I363" t="str">
        <f>_xlfn.XLOOKUP(tblOrders[[#This Row],[ProductID]],tblProducts[ProductID],tblProducts[Category],"not found")</f>
        <v>Beauty</v>
      </c>
      <c r="J363">
        <f>_xlfn.XLOOKUP(tblOrders[[#This Row],[ProductID]],tblProducts[ProductID],tblProducts[UnitPrice],"not found")</f>
        <v>250.77</v>
      </c>
      <c r="K363" t="str">
        <f>_xlfn.XLOOKUP(tblOrders[[#This Row],[ProductID]],tblProducts[ProductID],tblProducts[Supplier],"not found")</f>
        <v>Riley LLC</v>
      </c>
      <c r="L363" s="1" t="s">
        <v>2184</v>
      </c>
      <c r="M3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45469</v>
      </c>
      <c r="N363">
        <v>5</v>
      </c>
      <c r="O363">
        <v>1253.8499999999999</v>
      </c>
      <c r="P363">
        <f>tblOrders[[#This Row],[Quantity]]*tblOrders[[#This Row],[Unit Price]]</f>
        <v>1253.8500000000001</v>
      </c>
      <c r="Q363">
        <f>tblOrders[[#This Row],[TotalSales]]-tblOrders[[#This Row],[Calculated Sales]]</f>
        <v>0</v>
      </c>
    </row>
    <row r="364" spans="1:17" x14ac:dyDescent="0.25">
      <c r="A364">
        <v>1367</v>
      </c>
      <c r="B364">
        <v>795</v>
      </c>
      <c r="C364" t="str">
        <f>_xlfn.XLOOKUP(tblOrders[[#This Row],[CustomerID]],tblCustomers[CustomerID],tblCustomers[CustomerName],"not found")</f>
        <v>Elijah Howard</v>
      </c>
      <c r="D364">
        <f>_xlfn.XLOOKUP(tblOrders[[#This Row],[CustomerID]],tblCustomers[CustomerID],tblCustomers[Age],"not found")</f>
        <v>20</v>
      </c>
      <c r="E364" t="str">
        <f>_xlfn.XLOOKUP(tblOrders[[#This Row],[CustomerID]],tblCustomers[CustomerID],tblCustomers[Gender],"not found")</f>
        <v>Female</v>
      </c>
      <c r="F364" t="str">
        <f>_xlfn.XLOOKUP(tblOrders[[#This Row],[CustomerID]],tblCustomers[CustomerID],tblCustomers[Region],"not found")</f>
        <v>West</v>
      </c>
      <c r="G364">
        <v>1024</v>
      </c>
      <c r="H364" t="str">
        <f>_xlfn.XLOOKUP(tblOrders[[#This Row],[ProductID]],tblProducts[ProductID],tblProducts[ProductName],"not found")</f>
        <v>Very</v>
      </c>
      <c r="I364" t="str">
        <f>_xlfn.XLOOKUP(tblOrders[[#This Row],[ProductID]],tblProducts[ProductID],tblProducts[Category],"not found")</f>
        <v>Beauty</v>
      </c>
      <c r="J364">
        <f>_xlfn.XLOOKUP(tblOrders[[#This Row],[ProductID]],tblProducts[ProductID],tblProducts[UnitPrice],"not found")</f>
        <v>250.77</v>
      </c>
      <c r="K364" t="str">
        <f>_xlfn.XLOOKUP(tblOrders[[#This Row],[ProductID]],tblProducts[ProductID],tblProducts[Supplier],"not found")</f>
        <v>Riley LLC</v>
      </c>
      <c r="L364" s="1">
        <v>45513</v>
      </c>
      <c r="M3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45513</v>
      </c>
      <c r="N364">
        <v>3</v>
      </c>
      <c r="O364">
        <v>752.31</v>
      </c>
      <c r="P364">
        <f>tblOrders[[#This Row],[Quantity]]*tblOrders[[#This Row],[Unit Price]]</f>
        <v>752.31000000000006</v>
      </c>
      <c r="Q364">
        <f>tblOrders[[#This Row],[TotalSales]]-tblOrders[[#This Row],[Calculated Sales]]</f>
        <v>0</v>
      </c>
    </row>
    <row r="365" spans="1:17" x14ac:dyDescent="0.25">
      <c r="A365">
        <v>1526</v>
      </c>
      <c r="B365">
        <v>961</v>
      </c>
      <c r="C365" t="str">
        <f>_xlfn.XLOOKUP(tblOrders[[#This Row],[CustomerID]],tblCustomers[CustomerID],tblCustomers[CustomerName],"not found")</f>
        <v>Justin Howard</v>
      </c>
      <c r="D365">
        <f>_xlfn.XLOOKUP(tblOrders[[#This Row],[CustomerID]],tblCustomers[CustomerID],tblCustomers[Age],"not found")</f>
        <v>45</v>
      </c>
      <c r="E365" t="str">
        <f>_xlfn.XLOOKUP(tblOrders[[#This Row],[CustomerID]],tblCustomers[CustomerID],tblCustomers[Gender],"not found")</f>
        <v>Female</v>
      </c>
      <c r="F365" t="str">
        <f>_xlfn.XLOOKUP(tblOrders[[#This Row],[CustomerID]],tblCustomers[CustomerID],tblCustomers[Region],"not found")</f>
        <v>West</v>
      </c>
      <c r="G365">
        <v>1024</v>
      </c>
      <c r="H365" t="str">
        <f>_xlfn.XLOOKUP(tblOrders[[#This Row],[ProductID]],tblProducts[ProductID],tblProducts[ProductName],"not found")</f>
        <v>Very</v>
      </c>
      <c r="I365" t="str">
        <f>_xlfn.XLOOKUP(tblOrders[[#This Row],[ProductID]],tblProducts[ProductID],tblProducts[Category],"not found")</f>
        <v>Beauty</v>
      </c>
      <c r="J365">
        <f>_xlfn.XLOOKUP(tblOrders[[#This Row],[ProductID]],tblProducts[ProductID],tblProducts[UnitPrice],"not found")</f>
        <v>250.77</v>
      </c>
      <c r="K365" t="str">
        <f>_xlfn.XLOOKUP(tblOrders[[#This Row],[ProductID]],tblProducts[ProductID],tblProducts[Supplier],"not found")</f>
        <v>Riley LLC</v>
      </c>
      <c r="L365" s="1" t="s">
        <v>2035</v>
      </c>
      <c r="M3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44908</v>
      </c>
      <c r="N365">
        <v>4</v>
      </c>
      <c r="O365">
        <v>1003.08</v>
      </c>
      <c r="P365">
        <f>tblOrders[[#This Row],[Quantity]]*tblOrders[[#This Row],[Unit Price]]</f>
        <v>1003.08</v>
      </c>
      <c r="Q365">
        <f>tblOrders[[#This Row],[TotalSales]]-tblOrders[[#This Row],[Calculated Sales]]</f>
        <v>0</v>
      </c>
    </row>
    <row r="366" spans="1:17" x14ac:dyDescent="0.25">
      <c r="A366">
        <v>1585</v>
      </c>
      <c r="B366">
        <v>960</v>
      </c>
      <c r="C366" t="str">
        <f>_xlfn.XLOOKUP(tblOrders[[#This Row],[CustomerID]],tblCustomers[CustomerID],tblCustomers[CustomerName],"not found")</f>
        <v>Isabella Ross</v>
      </c>
      <c r="D366">
        <f>_xlfn.XLOOKUP(tblOrders[[#This Row],[CustomerID]],tblCustomers[CustomerID],tblCustomers[Age],"not found")</f>
        <v>63</v>
      </c>
      <c r="E366" t="str">
        <f>_xlfn.XLOOKUP(tblOrders[[#This Row],[CustomerID]],tblCustomers[CustomerID],tblCustomers[Gender],"not found")</f>
        <v>Female</v>
      </c>
      <c r="F366" t="str">
        <f>_xlfn.XLOOKUP(tblOrders[[#This Row],[CustomerID]],tblCustomers[CustomerID],tblCustomers[Region],"not found")</f>
        <v>North</v>
      </c>
      <c r="G366">
        <v>1024</v>
      </c>
      <c r="H366" t="str">
        <f>_xlfn.XLOOKUP(tblOrders[[#This Row],[ProductID]],tblProducts[ProductID],tblProducts[ProductName],"not found")</f>
        <v>Very</v>
      </c>
      <c r="I366" t="str">
        <f>_xlfn.XLOOKUP(tblOrders[[#This Row],[ProductID]],tblProducts[ProductID],tblProducts[Category],"not found")</f>
        <v>Beauty</v>
      </c>
      <c r="J366">
        <f>_xlfn.XLOOKUP(tblOrders[[#This Row],[ProductID]],tblProducts[ProductID],tblProducts[UnitPrice],"not found")</f>
        <v>250.77</v>
      </c>
      <c r="K366" t="str">
        <f>_xlfn.XLOOKUP(tblOrders[[#This Row],[ProductID]],tblProducts[ProductID],tblProducts[Supplier],"not found")</f>
        <v>Riley LLC</v>
      </c>
      <c r="L366" s="1">
        <v>45571</v>
      </c>
      <c r="M3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45571</v>
      </c>
      <c r="N366">
        <v>1</v>
      </c>
      <c r="O366">
        <v>250.77</v>
      </c>
      <c r="P366">
        <f>tblOrders[[#This Row],[Quantity]]*tblOrders[[#This Row],[Unit Price]]</f>
        <v>250.77</v>
      </c>
      <c r="Q366">
        <f>tblOrders[[#This Row],[TotalSales]]-tblOrders[[#This Row],[Calculated Sales]]</f>
        <v>0</v>
      </c>
    </row>
    <row r="367" spans="1:17" x14ac:dyDescent="0.25">
      <c r="A367">
        <v>1769</v>
      </c>
      <c r="B367">
        <v>770</v>
      </c>
      <c r="C367" t="str">
        <f>_xlfn.XLOOKUP(tblOrders[[#This Row],[CustomerID]],tblCustomers[CustomerID],tblCustomers[CustomerName],"not found")</f>
        <v>Laurie Jimenez</v>
      </c>
      <c r="D367">
        <f>_xlfn.XLOOKUP(tblOrders[[#This Row],[CustomerID]],tblCustomers[CustomerID],tblCustomers[Age],"not found")</f>
        <v>50</v>
      </c>
      <c r="E367" t="str">
        <f>_xlfn.XLOOKUP(tblOrders[[#This Row],[CustomerID]],tblCustomers[CustomerID],tblCustomers[Gender],"not found")</f>
        <v>Female</v>
      </c>
      <c r="F367" t="str">
        <f>_xlfn.XLOOKUP(tblOrders[[#This Row],[CustomerID]],tblCustomers[CustomerID],tblCustomers[Region],"not found")</f>
        <v>West</v>
      </c>
      <c r="G367">
        <v>1024</v>
      </c>
      <c r="H367" t="str">
        <f>_xlfn.XLOOKUP(tblOrders[[#This Row],[ProductID]],tblProducts[ProductID],tblProducts[ProductName],"not found")</f>
        <v>Very</v>
      </c>
      <c r="I367" t="str">
        <f>_xlfn.XLOOKUP(tblOrders[[#This Row],[ProductID]],tblProducts[ProductID],tblProducts[Category],"not found")</f>
        <v>Beauty</v>
      </c>
      <c r="J367">
        <f>_xlfn.XLOOKUP(tblOrders[[#This Row],[ProductID]],tblProducts[ProductID],tblProducts[UnitPrice],"not found")</f>
        <v>250.77</v>
      </c>
      <c r="K367" t="str">
        <f>_xlfn.XLOOKUP(tblOrders[[#This Row],[ProductID]],tblProducts[ProductID],tblProducts[Supplier],"not found")</f>
        <v>Riley LLC</v>
      </c>
      <c r="L367" s="1" t="s">
        <v>2036</v>
      </c>
      <c r="M3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44926</v>
      </c>
      <c r="N367">
        <v>7</v>
      </c>
      <c r="O367">
        <v>1755.39</v>
      </c>
      <c r="P367">
        <f>tblOrders[[#This Row],[Quantity]]*tblOrders[[#This Row],[Unit Price]]</f>
        <v>1755.39</v>
      </c>
      <c r="Q367">
        <f>tblOrders[[#This Row],[TotalSales]]-tblOrders[[#This Row],[Calculated Sales]]</f>
        <v>0</v>
      </c>
    </row>
    <row r="368" spans="1:17" x14ac:dyDescent="0.25">
      <c r="A368">
        <v>1817</v>
      </c>
      <c r="B368">
        <v>618</v>
      </c>
      <c r="C368" t="str">
        <f>_xlfn.XLOOKUP(tblOrders[[#This Row],[CustomerID]],tblCustomers[CustomerID],tblCustomers[CustomerName],"not found")</f>
        <v>Joseph Clark</v>
      </c>
      <c r="D368">
        <f>_xlfn.XLOOKUP(tblOrders[[#This Row],[CustomerID]],tblCustomers[CustomerID],tblCustomers[Age],"not found")</f>
        <v>35</v>
      </c>
      <c r="E368" t="str">
        <f>_xlfn.XLOOKUP(tblOrders[[#This Row],[CustomerID]],tblCustomers[CustomerID],tblCustomers[Gender],"not found")</f>
        <v>Female</v>
      </c>
      <c r="F368" t="str">
        <f>_xlfn.XLOOKUP(tblOrders[[#This Row],[CustomerID]],tblCustomers[CustomerID],tblCustomers[Region],"not found")</f>
        <v>West</v>
      </c>
      <c r="G368">
        <v>1024</v>
      </c>
      <c r="H368" t="str">
        <f>_xlfn.XLOOKUP(tblOrders[[#This Row],[ProductID]],tblProducts[ProductID],tblProducts[ProductName],"not found")</f>
        <v>Very</v>
      </c>
      <c r="I368" t="str">
        <f>_xlfn.XLOOKUP(tblOrders[[#This Row],[ProductID]],tblProducts[ProductID],tblProducts[Category],"not found")</f>
        <v>Beauty</v>
      </c>
      <c r="J368">
        <f>_xlfn.XLOOKUP(tblOrders[[#This Row],[ProductID]],tblProducts[ProductID],tblProducts[UnitPrice],"not found")</f>
        <v>250.77</v>
      </c>
      <c r="K368" t="str">
        <f>_xlfn.XLOOKUP(tblOrders[[#This Row],[ProductID]],tblProducts[ProductID],tblProducts[Supplier],"not found")</f>
        <v>Riley LLC</v>
      </c>
      <c r="L368" s="1" t="s">
        <v>2185</v>
      </c>
      <c r="M3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44890</v>
      </c>
      <c r="N368">
        <v>2</v>
      </c>
      <c r="O368">
        <v>501.54</v>
      </c>
      <c r="P368">
        <f>tblOrders[[#This Row],[Quantity]]*tblOrders[[#This Row],[Unit Price]]</f>
        <v>501.54</v>
      </c>
      <c r="Q368">
        <f>tblOrders[[#This Row],[TotalSales]]-tblOrders[[#This Row],[Calculated Sales]]</f>
        <v>0</v>
      </c>
    </row>
    <row r="369" spans="1:17" x14ac:dyDescent="0.25">
      <c r="A369">
        <v>1924</v>
      </c>
      <c r="B369">
        <v>345</v>
      </c>
      <c r="C369" t="str">
        <f>_xlfn.XLOOKUP(tblOrders[[#This Row],[CustomerID]],tblCustomers[CustomerID],tblCustomers[CustomerName],"not found")</f>
        <v>Sarah Cummings</v>
      </c>
      <c r="D369">
        <f>_xlfn.XLOOKUP(tblOrders[[#This Row],[CustomerID]],tblCustomers[CustomerID],tblCustomers[Age],"not found")</f>
        <v>27</v>
      </c>
      <c r="E369" t="str">
        <f>_xlfn.XLOOKUP(tblOrders[[#This Row],[CustomerID]],tblCustomers[CustomerID],tblCustomers[Gender],"not found")</f>
        <v>Male</v>
      </c>
      <c r="F369" t="str">
        <f>_xlfn.XLOOKUP(tblOrders[[#This Row],[CustomerID]],tblCustomers[CustomerID],tblCustomers[Region],"not found")</f>
        <v>North</v>
      </c>
      <c r="G369">
        <v>1024</v>
      </c>
      <c r="H369" t="str">
        <f>_xlfn.XLOOKUP(tblOrders[[#This Row],[ProductID]],tblProducts[ProductID],tblProducts[ProductName],"not found")</f>
        <v>Very</v>
      </c>
      <c r="I369" t="str">
        <f>_xlfn.XLOOKUP(tblOrders[[#This Row],[ProductID]],tblProducts[ProductID],tblProducts[Category],"not found")</f>
        <v>Beauty</v>
      </c>
      <c r="J369">
        <f>_xlfn.XLOOKUP(tblOrders[[#This Row],[ProductID]],tblProducts[ProductID],tblProducts[UnitPrice],"not found")</f>
        <v>250.77</v>
      </c>
      <c r="K369" t="str">
        <f>_xlfn.XLOOKUP(tblOrders[[#This Row],[ProductID]],tblProducts[ProductID],tblProducts[Supplier],"not found")</f>
        <v>Riley LLC</v>
      </c>
      <c r="L369" s="1">
        <v>45237</v>
      </c>
      <c r="M3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45237</v>
      </c>
      <c r="N369">
        <v>8</v>
      </c>
      <c r="O369">
        <v>2006.16</v>
      </c>
      <c r="P369">
        <f>tblOrders[[#This Row],[Quantity]]*tblOrders[[#This Row],[Unit Price]]</f>
        <v>2006.16</v>
      </c>
      <c r="Q369">
        <f>tblOrders[[#This Row],[TotalSales]]-tblOrders[[#This Row],[Calculated Sales]]</f>
        <v>0</v>
      </c>
    </row>
    <row r="370" spans="1:17" x14ac:dyDescent="0.25">
      <c r="A370">
        <v>19</v>
      </c>
      <c r="B370">
        <v>670</v>
      </c>
      <c r="C370" t="str">
        <f>_xlfn.XLOOKUP(tblOrders[[#This Row],[CustomerID]],tblCustomers[CustomerID],tblCustomers[CustomerName],"not found")</f>
        <v>Annette Flores</v>
      </c>
      <c r="D370">
        <f>_xlfn.XLOOKUP(tblOrders[[#This Row],[CustomerID]],tblCustomers[CustomerID],tblCustomers[Age],"not found")</f>
        <v>69</v>
      </c>
      <c r="E370" t="str">
        <f>_xlfn.XLOOKUP(tblOrders[[#This Row],[CustomerID]],tblCustomers[CustomerID],tblCustomers[Gender],"not found")</f>
        <v>Male</v>
      </c>
      <c r="F370" t="str">
        <f>_xlfn.XLOOKUP(tblOrders[[#This Row],[CustomerID]],tblCustomers[CustomerID],tblCustomers[Region],"not found")</f>
        <v>West</v>
      </c>
      <c r="G370">
        <v>1090</v>
      </c>
      <c r="H370" t="str">
        <f>_xlfn.XLOOKUP(tblOrders[[#This Row],[ProductID]],tblProducts[ProductID],tblProducts[ProductName],"not found")</f>
        <v>Food</v>
      </c>
      <c r="I370" t="str">
        <f>_xlfn.XLOOKUP(tblOrders[[#This Row],[ProductID]],tblProducts[ProductID],tblProducts[Category],"not found")</f>
        <v>Furniture</v>
      </c>
      <c r="J370">
        <f>_xlfn.XLOOKUP(tblOrders[[#This Row],[ProductID]],tblProducts[ProductID],tblProducts[UnitPrice],"not found")</f>
        <v>142.49</v>
      </c>
      <c r="K370" t="str">
        <f>_xlfn.XLOOKUP(tblOrders[[#This Row],[ProductID]],tblProducts[ProductID],tblProducts[Supplier],"not found")</f>
        <v>Gonzalez-Buchanan</v>
      </c>
      <c r="L370" s="1" t="s">
        <v>2186</v>
      </c>
      <c r="M3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45046</v>
      </c>
      <c r="N370">
        <v>2</v>
      </c>
      <c r="O370">
        <v>284.98</v>
      </c>
      <c r="P370">
        <f>tblOrders[[#This Row],[Quantity]]*tblOrders[[#This Row],[Unit Price]]</f>
        <v>284.98</v>
      </c>
      <c r="Q370">
        <f>tblOrders[[#This Row],[TotalSales]]-tblOrders[[#This Row],[Calculated Sales]]</f>
        <v>0</v>
      </c>
    </row>
    <row r="371" spans="1:17" x14ac:dyDescent="0.25">
      <c r="A371">
        <v>105</v>
      </c>
      <c r="B371">
        <v>522</v>
      </c>
      <c r="C371" t="str">
        <f>_xlfn.XLOOKUP(tblOrders[[#This Row],[CustomerID]],tblCustomers[CustomerID],tblCustomers[CustomerName],"not found")</f>
        <v>Gina Hood</v>
      </c>
      <c r="D371">
        <f>_xlfn.XLOOKUP(tblOrders[[#This Row],[CustomerID]],tblCustomers[CustomerID],tblCustomers[Age],"not found")</f>
        <v>36</v>
      </c>
      <c r="E371" t="str">
        <f>_xlfn.XLOOKUP(tblOrders[[#This Row],[CustomerID]],tblCustomers[CustomerID],tblCustomers[Gender],"not found")</f>
        <v>Male</v>
      </c>
      <c r="F371" t="str">
        <f>_xlfn.XLOOKUP(tblOrders[[#This Row],[CustomerID]],tblCustomers[CustomerID],tblCustomers[Region],"not found")</f>
        <v>East</v>
      </c>
      <c r="G371">
        <v>1090</v>
      </c>
      <c r="H371" t="str">
        <f>_xlfn.XLOOKUP(tblOrders[[#This Row],[ProductID]],tblProducts[ProductID],tblProducts[ProductName],"not found")</f>
        <v>Food</v>
      </c>
      <c r="I371" t="str">
        <f>_xlfn.XLOOKUP(tblOrders[[#This Row],[ProductID]],tblProducts[ProductID],tblProducts[Category],"not found")</f>
        <v>Furniture</v>
      </c>
      <c r="J371">
        <f>_xlfn.XLOOKUP(tblOrders[[#This Row],[ProductID]],tblProducts[ProductID],tblProducts[UnitPrice],"not found")</f>
        <v>142.49</v>
      </c>
      <c r="K371" t="str">
        <f>_xlfn.XLOOKUP(tblOrders[[#This Row],[ProductID]],tblProducts[ProductID],tblProducts[Supplier],"not found")</f>
        <v>Gonzalez-Buchanan</v>
      </c>
      <c r="L371" s="1" t="s">
        <v>2187</v>
      </c>
      <c r="M3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45553</v>
      </c>
      <c r="N371">
        <v>6</v>
      </c>
      <c r="O371">
        <v>854.94</v>
      </c>
      <c r="P371">
        <f>tblOrders[[#This Row],[Quantity]]*tblOrders[[#This Row],[Unit Price]]</f>
        <v>854.94</v>
      </c>
      <c r="Q371">
        <f>tblOrders[[#This Row],[TotalSales]]-tblOrders[[#This Row],[Calculated Sales]]</f>
        <v>0</v>
      </c>
    </row>
    <row r="372" spans="1:17" x14ac:dyDescent="0.25">
      <c r="A372">
        <v>158</v>
      </c>
      <c r="B372">
        <v>576</v>
      </c>
      <c r="C372" t="str">
        <f>_xlfn.XLOOKUP(tblOrders[[#This Row],[CustomerID]],tblCustomers[CustomerID],tblCustomers[CustomerName],"not found")</f>
        <v>Wayne Juarez</v>
      </c>
      <c r="D372">
        <f>_xlfn.XLOOKUP(tblOrders[[#This Row],[CustomerID]],tblCustomers[CustomerID],tblCustomers[Age],"not found")</f>
        <v>36</v>
      </c>
      <c r="E372" t="str">
        <f>_xlfn.XLOOKUP(tblOrders[[#This Row],[CustomerID]],tblCustomers[CustomerID],tblCustomers[Gender],"not found")</f>
        <v>Male</v>
      </c>
      <c r="F372" t="str">
        <f>_xlfn.XLOOKUP(tblOrders[[#This Row],[CustomerID]],tblCustomers[CustomerID],tblCustomers[Region],"not found")</f>
        <v>Central</v>
      </c>
      <c r="G372">
        <v>1090</v>
      </c>
      <c r="H372" t="str">
        <f>_xlfn.XLOOKUP(tblOrders[[#This Row],[ProductID]],tblProducts[ProductID],tblProducts[ProductName],"not found")</f>
        <v>Food</v>
      </c>
      <c r="I372" t="str">
        <f>_xlfn.XLOOKUP(tblOrders[[#This Row],[ProductID]],tblProducts[ProductID],tblProducts[Category],"not found")</f>
        <v>Furniture</v>
      </c>
      <c r="J372">
        <f>_xlfn.XLOOKUP(tblOrders[[#This Row],[ProductID]],tblProducts[ProductID],tblProducts[UnitPrice],"not found")</f>
        <v>142.49</v>
      </c>
      <c r="K372" t="str">
        <f>_xlfn.XLOOKUP(tblOrders[[#This Row],[ProductID]],tblProducts[ProductID],tblProducts[Supplier],"not found")</f>
        <v>Gonzalez-Buchanan</v>
      </c>
      <c r="L372" s="1" t="s">
        <v>2077</v>
      </c>
      <c r="M3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45502</v>
      </c>
      <c r="N372">
        <v>5</v>
      </c>
      <c r="O372">
        <v>712.45</v>
      </c>
      <c r="P372">
        <f>tblOrders[[#This Row],[Quantity]]*tblOrders[[#This Row],[Unit Price]]</f>
        <v>712.45</v>
      </c>
      <c r="Q372">
        <f>tblOrders[[#This Row],[TotalSales]]-tblOrders[[#This Row],[Calculated Sales]]</f>
        <v>0</v>
      </c>
    </row>
    <row r="373" spans="1:17" x14ac:dyDescent="0.25">
      <c r="A373">
        <v>223</v>
      </c>
      <c r="B373">
        <v>985</v>
      </c>
      <c r="C373" t="str">
        <f>_xlfn.XLOOKUP(tblOrders[[#This Row],[CustomerID]],tblCustomers[CustomerID],tblCustomers[CustomerName],"not found")</f>
        <v>Juan Miller</v>
      </c>
      <c r="D373">
        <f>_xlfn.XLOOKUP(tblOrders[[#This Row],[CustomerID]],tblCustomers[CustomerID],tblCustomers[Age],"not found")</f>
        <v>30</v>
      </c>
      <c r="E373" t="str">
        <f>_xlfn.XLOOKUP(tblOrders[[#This Row],[CustomerID]],tblCustomers[CustomerID],tblCustomers[Gender],"not found")</f>
        <v>Female</v>
      </c>
      <c r="F373" t="str">
        <f>_xlfn.XLOOKUP(tblOrders[[#This Row],[CustomerID]],tblCustomers[CustomerID],tblCustomers[Region],"not found")</f>
        <v>North</v>
      </c>
      <c r="G373">
        <v>1090</v>
      </c>
      <c r="H373" t="str">
        <f>_xlfn.XLOOKUP(tblOrders[[#This Row],[ProductID]],tblProducts[ProductID],tblProducts[ProductName],"not found")</f>
        <v>Food</v>
      </c>
      <c r="I373" t="str">
        <f>_xlfn.XLOOKUP(tblOrders[[#This Row],[ProductID]],tblProducts[ProductID],tblProducts[Category],"not found")</f>
        <v>Furniture</v>
      </c>
      <c r="J373">
        <f>_xlfn.XLOOKUP(tblOrders[[#This Row],[ProductID]],tblProducts[ProductID],tblProducts[UnitPrice],"not found")</f>
        <v>142.49</v>
      </c>
      <c r="K373" t="str">
        <f>_xlfn.XLOOKUP(tblOrders[[#This Row],[ProductID]],tblProducts[ProductID],tblProducts[Supplier],"not found")</f>
        <v>Gonzalez-Buchanan</v>
      </c>
      <c r="L373" s="1" t="s">
        <v>2032</v>
      </c>
      <c r="M3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45497</v>
      </c>
      <c r="N373">
        <v>9</v>
      </c>
      <c r="O373">
        <v>1282.4100000000001</v>
      </c>
      <c r="P373">
        <f>tblOrders[[#This Row],[Quantity]]*tblOrders[[#This Row],[Unit Price]]</f>
        <v>1282.4100000000001</v>
      </c>
      <c r="Q373">
        <f>tblOrders[[#This Row],[TotalSales]]-tblOrders[[#This Row],[Calculated Sales]]</f>
        <v>0</v>
      </c>
    </row>
    <row r="374" spans="1:17" x14ac:dyDescent="0.25">
      <c r="A374">
        <v>260</v>
      </c>
      <c r="B374">
        <v>904</v>
      </c>
      <c r="C374" t="str">
        <f>_xlfn.XLOOKUP(tblOrders[[#This Row],[CustomerID]],tblCustomers[CustomerID],tblCustomers[CustomerName],"not found")</f>
        <v>Hannah Costa</v>
      </c>
      <c r="D374">
        <f>_xlfn.XLOOKUP(tblOrders[[#This Row],[CustomerID]],tblCustomers[CustomerID],tblCustomers[Age],"not found")</f>
        <v>55</v>
      </c>
      <c r="E374" t="str">
        <f>_xlfn.XLOOKUP(tblOrders[[#This Row],[CustomerID]],tblCustomers[CustomerID],tblCustomers[Gender],"not found")</f>
        <v>Female</v>
      </c>
      <c r="F374" t="str">
        <f>_xlfn.XLOOKUP(tblOrders[[#This Row],[CustomerID]],tblCustomers[CustomerID],tblCustomers[Region],"not found")</f>
        <v>North</v>
      </c>
      <c r="G374">
        <v>1090</v>
      </c>
      <c r="H374" t="str">
        <f>_xlfn.XLOOKUP(tblOrders[[#This Row],[ProductID]],tblProducts[ProductID],tblProducts[ProductName],"not found")</f>
        <v>Food</v>
      </c>
      <c r="I374" t="str">
        <f>_xlfn.XLOOKUP(tblOrders[[#This Row],[ProductID]],tblProducts[ProductID],tblProducts[Category],"not found")</f>
        <v>Furniture</v>
      </c>
      <c r="J374">
        <f>_xlfn.XLOOKUP(tblOrders[[#This Row],[ProductID]],tblProducts[ProductID],tblProducts[UnitPrice],"not found")</f>
        <v>142.49</v>
      </c>
      <c r="K374" t="str">
        <f>_xlfn.XLOOKUP(tblOrders[[#This Row],[ProductID]],tblProducts[ProductID],tblProducts[Supplier],"not found")</f>
        <v>Gonzalez-Buchanan</v>
      </c>
      <c r="L374" s="1" t="s">
        <v>2188</v>
      </c>
      <c r="M3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374">
        <v>4</v>
      </c>
      <c r="O374">
        <v>569.96</v>
      </c>
      <c r="P374">
        <f>tblOrders[[#This Row],[Quantity]]*tblOrders[[#This Row],[Unit Price]]</f>
        <v>569.96</v>
      </c>
      <c r="Q374">
        <f>tblOrders[[#This Row],[TotalSales]]-tblOrders[[#This Row],[Calculated Sales]]</f>
        <v>0</v>
      </c>
    </row>
    <row r="375" spans="1:17" x14ac:dyDescent="0.25">
      <c r="A375">
        <v>344</v>
      </c>
      <c r="B375">
        <v>781</v>
      </c>
      <c r="C375" t="str">
        <f>_xlfn.XLOOKUP(tblOrders[[#This Row],[CustomerID]],tblCustomers[CustomerID],tblCustomers[CustomerName],"not found")</f>
        <v>Jennifer Allen</v>
      </c>
      <c r="D375">
        <f>_xlfn.XLOOKUP(tblOrders[[#This Row],[CustomerID]],tblCustomers[CustomerID],tblCustomers[Age],"not found")</f>
        <v>20</v>
      </c>
      <c r="E375" t="str">
        <f>_xlfn.XLOOKUP(tblOrders[[#This Row],[CustomerID]],tblCustomers[CustomerID],tblCustomers[Gender],"not found")</f>
        <v>Female</v>
      </c>
      <c r="F375" t="str">
        <f>_xlfn.XLOOKUP(tblOrders[[#This Row],[CustomerID]],tblCustomers[CustomerID],tblCustomers[Region],"not found")</f>
        <v>North</v>
      </c>
      <c r="G375">
        <v>1090</v>
      </c>
      <c r="H375" t="str">
        <f>_xlfn.XLOOKUP(tblOrders[[#This Row],[ProductID]],tblProducts[ProductID],tblProducts[ProductName],"not found")</f>
        <v>Food</v>
      </c>
      <c r="I375" t="str">
        <f>_xlfn.XLOOKUP(tblOrders[[#This Row],[ProductID]],tblProducts[ProductID],tblProducts[Category],"not found")</f>
        <v>Furniture</v>
      </c>
      <c r="J375">
        <f>_xlfn.XLOOKUP(tblOrders[[#This Row],[ProductID]],tblProducts[ProductID],tblProducts[UnitPrice],"not found")</f>
        <v>142.49</v>
      </c>
      <c r="K375" t="str">
        <f>_xlfn.XLOOKUP(tblOrders[[#This Row],[ProductID]],tblProducts[ProductID],tblProducts[Supplier],"not found")</f>
        <v>Gonzalez-Buchanan</v>
      </c>
      <c r="L375" s="1" t="s">
        <v>2189</v>
      </c>
      <c r="M3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44922</v>
      </c>
      <c r="N375">
        <v>5</v>
      </c>
      <c r="O375">
        <v>712.45</v>
      </c>
      <c r="P375">
        <f>tblOrders[[#This Row],[Quantity]]*tblOrders[[#This Row],[Unit Price]]</f>
        <v>712.45</v>
      </c>
      <c r="Q375">
        <f>tblOrders[[#This Row],[TotalSales]]-tblOrders[[#This Row],[Calculated Sales]]</f>
        <v>0</v>
      </c>
    </row>
    <row r="376" spans="1:17" x14ac:dyDescent="0.25">
      <c r="A376">
        <v>351</v>
      </c>
      <c r="B376">
        <v>942</v>
      </c>
      <c r="C376" t="str">
        <f>_xlfn.XLOOKUP(tblOrders[[#This Row],[CustomerID]],tblCustomers[CustomerID],tblCustomers[CustomerName],"not found")</f>
        <v>Heather Jackson</v>
      </c>
      <c r="D376">
        <f>_xlfn.XLOOKUP(tblOrders[[#This Row],[CustomerID]],tblCustomers[CustomerID],tblCustomers[Age],"not found")</f>
        <v>44</v>
      </c>
      <c r="E376" t="str">
        <f>_xlfn.XLOOKUP(tblOrders[[#This Row],[CustomerID]],tblCustomers[CustomerID],tblCustomers[Gender],"not found")</f>
        <v>Male</v>
      </c>
      <c r="F376" t="str">
        <f>_xlfn.XLOOKUP(tblOrders[[#This Row],[CustomerID]],tblCustomers[CustomerID],tblCustomers[Region],"not found")</f>
        <v>North</v>
      </c>
      <c r="G376">
        <v>1090</v>
      </c>
      <c r="H376" t="str">
        <f>_xlfn.XLOOKUP(tblOrders[[#This Row],[ProductID]],tblProducts[ProductID],tblProducts[ProductName],"not found")</f>
        <v>Food</v>
      </c>
      <c r="I376" t="str">
        <f>_xlfn.XLOOKUP(tblOrders[[#This Row],[ProductID]],tblProducts[ProductID],tblProducts[Category],"not found")</f>
        <v>Furniture</v>
      </c>
      <c r="J376">
        <f>_xlfn.XLOOKUP(tblOrders[[#This Row],[ProductID]],tblProducts[ProductID],tblProducts[UnitPrice],"not found")</f>
        <v>142.49</v>
      </c>
      <c r="K376" t="str">
        <f>_xlfn.XLOOKUP(tblOrders[[#This Row],[ProductID]],tblProducts[ProductID],tblProducts[Supplier],"not found")</f>
        <v>Gonzalez-Buchanan</v>
      </c>
      <c r="L376" s="1" t="s">
        <v>2013</v>
      </c>
      <c r="M3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45319</v>
      </c>
      <c r="N376">
        <v>6</v>
      </c>
      <c r="O376">
        <v>854.94</v>
      </c>
      <c r="P376">
        <f>tblOrders[[#This Row],[Quantity]]*tblOrders[[#This Row],[Unit Price]]</f>
        <v>854.94</v>
      </c>
      <c r="Q376">
        <f>tblOrders[[#This Row],[TotalSales]]-tblOrders[[#This Row],[Calculated Sales]]</f>
        <v>0</v>
      </c>
    </row>
    <row r="377" spans="1:17" x14ac:dyDescent="0.25">
      <c r="A377">
        <v>539</v>
      </c>
      <c r="B377">
        <v>58</v>
      </c>
      <c r="C377" t="str">
        <f>_xlfn.XLOOKUP(tblOrders[[#This Row],[CustomerID]],tblCustomers[CustomerID],tblCustomers[CustomerName],"not found")</f>
        <v>Melanie Patrick</v>
      </c>
      <c r="D377">
        <f>_xlfn.XLOOKUP(tblOrders[[#This Row],[CustomerID]],tblCustomers[CustomerID],tblCustomers[Age],"not found")</f>
        <v>66</v>
      </c>
      <c r="E377" t="str">
        <f>_xlfn.XLOOKUP(tblOrders[[#This Row],[CustomerID]],tblCustomers[CustomerID],tblCustomers[Gender],"not found")</f>
        <v>Female</v>
      </c>
      <c r="F377" t="str">
        <f>_xlfn.XLOOKUP(tblOrders[[#This Row],[CustomerID]],tblCustomers[CustomerID],tblCustomers[Region],"not found")</f>
        <v>North</v>
      </c>
      <c r="G377">
        <v>1090</v>
      </c>
      <c r="H377" t="str">
        <f>_xlfn.XLOOKUP(tblOrders[[#This Row],[ProductID]],tblProducts[ProductID],tblProducts[ProductName],"not found")</f>
        <v>Food</v>
      </c>
      <c r="I377" t="str">
        <f>_xlfn.XLOOKUP(tblOrders[[#This Row],[ProductID]],tblProducts[ProductID],tblProducts[Category],"not found")</f>
        <v>Furniture</v>
      </c>
      <c r="J377">
        <f>_xlfn.XLOOKUP(tblOrders[[#This Row],[ProductID]],tblProducts[ProductID],tblProducts[UnitPrice],"not found")</f>
        <v>142.49</v>
      </c>
      <c r="K377" t="str">
        <f>_xlfn.XLOOKUP(tblOrders[[#This Row],[ProductID]],tblProducts[ProductID],tblProducts[Supplier],"not found")</f>
        <v>Gonzalez-Buchanan</v>
      </c>
      <c r="L377" s="1">
        <v>44963</v>
      </c>
      <c r="M3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44963</v>
      </c>
      <c r="N377">
        <v>8</v>
      </c>
      <c r="O377">
        <v>1139.92</v>
      </c>
      <c r="P377">
        <f>tblOrders[[#This Row],[Quantity]]*tblOrders[[#This Row],[Unit Price]]</f>
        <v>1139.92</v>
      </c>
      <c r="Q377">
        <f>tblOrders[[#This Row],[TotalSales]]-tblOrders[[#This Row],[Calculated Sales]]</f>
        <v>0</v>
      </c>
    </row>
    <row r="378" spans="1:17" x14ac:dyDescent="0.25">
      <c r="A378">
        <v>692</v>
      </c>
      <c r="B378">
        <v>632</v>
      </c>
      <c r="C378" t="str">
        <f>_xlfn.XLOOKUP(tblOrders[[#This Row],[CustomerID]],tblCustomers[CustomerID],tblCustomers[CustomerName],"not found")</f>
        <v>Samantha Bartlett</v>
      </c>
      <c r="D378">
        <f>_xlfn.XLOOKUP(tblOrders[[#This Row],[CustomerID]],tblCustomers[CustomerID],tblCustomers[Age],"not found")</f>
        <v>18</v>
      </c>
      <c r="E378" t="str">
        <f>_xlfn.XLOOKUP(tblOrders[[#This Row],[CustomerID]],tblCustomers[CustomerID],tblCustomers[Gender],"not found")</f>
        <v>Male</v>
      </c>
      <c r="F378" t="str">
        <f>_xlfn.XLOOKUP(tblOrders[[#This Row],[CustomerID]],tblCustomers[CustomerID],tblCustomers[Region],"not found")</f>
        <v>North</v>
      </c>
      <c r="G378">
        <v>1090</v>
      </c>
      <c r="H378" t="str">
        <f>_xlfn.XLOOKUP(tblOrders[[#This Row],[ProductID]],tblProducts[ProductID],tblProducts[ProductName],"not found")</f>
        <v>Food</v>
      </c>
      <c r="I378" t="str">
        <f>_xlfn.XLOOKUP(tblOrders[[#This Row],[ProductID]],tblProducts[ProductID],tblProducts[Category],"not found")</f>
        <v>Furniture</v>
      </c>
      <c r="J378">
        <f>_xlfn.XLOOKUP(tblOrders[[#This Row],[ProductID]],tblProducts[ProductID],tblProducts[UnitPrice],"not found")</f>
        <v>142.49</v>
      </c>
      <c r="K378" t="str">
        <f>_xlfn.XLOOKUP(tblOrders[[#This Row],[ProductID]],tblProducts[ProductID],tblProducts[Supplier],"not found")</f>
        <v>Gonzalez-Buchanan</v>
      </c>
      <c r="L378" s="1">
        <v>45333</v>
      </c>
      <c r="M3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45333</v>
      </c>
      <c r="N378">
        <v>6</v>
      </c>
      <c r="O378">
        <v>854.94</v>
      </c>
      <c r="P378">
        <f>tblOrders[[#This Row],[Quantity]]*tblOrders[[#This Row],[Unit Price]]</f>
        <v>854.94</v>
      </c>
      <c r="Q378">
        <f>tblOrders[[#This Row],[TotalSales]]-tblOrders[[#This Row],[Calculated Sales]]</f>
        <v>0</v>
      </c>
    </row>
    <row r="379" spans="1:17" x14ac:dyDescent="0.25">
      <c r="A379">
        <v>827</v>
      </c>
      <c r="B379">
        <v>535</v>
      </c>
      <c r="C379" t="str">
        <f>_xlfn.XLOOKUP(tblOrders[[#This Row],[CustomerID]],tblCustomers[CustomerID],tblCustomers[CustomerName],"not found")</f>
        <v>Peter Potter</v>
      </c>
      <c r="D379">
        <f>_xlfn.XLOOKUP(tblOrders[[#This Row],[CustomerID]],tblCustomers[CustomerID],tblCustomers[Age],"not found")</f>
        <v>32</v>
      </c>
      <c r="E379" t="str">
        <f>_xlfn.XLOOKUP(tblOrders[[#This Row],[CustomerID]],tblCustomers[CustomerID],tblCustomers[Gender],"not found")</f>
        <v>Female</v>
      </c>
      <c r="F379" t="str">
        <f>_xlfn.XLOOKUP(tblOrders[[#This Row],[CustomerID]],tblCustomers[CustomerID],tblCustomers[Region],"not found")</f>
        <v>West</v>
      </c>
      <c r="G379">
        <v>1090</v>
      </c>
      <c r="H379" t="str">
        <f>_xlfn.XLOOKUP(tblOrders[[#This Row],[ProductID]],tblProducts[ProductID],tblProducts[ProductName],"not found")</f>
        <v>Food</v>
      </c>
      <c r="I379" t="str">
        <f>_xlfn.XLOOKUP(tblOrders[[#This Row],[ProductID]],tblProducts[ProductID],tblProducts[Category],"not found")</f>
        <v>Furniture</v>
      </c>
      <c r="J379">
        <f>_xlfn.XLOOKUP(tblOrders[[#This Row],[ProductID]],tblProducts[ProductID],tblProducts[UnitPrice],"not found")</f>
        <v>142.49</v>
      </c>
      <c r="K379" t="str">
        <f>_xlfn.XLOOKUP(tblOrders[[#This Row],[ProductID]],tblProducts[ProductID],tblProducts[Supplier],"not found")</f>
        <v>Gonzalez-Buchanan</v>
      </c>
      <c r="L379" s="1">
        <v>45627</v>
      </c>
      <c r="M3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45627</v>
      </c>
      <c r="N379">
        <v>6</v>
      </c>
      <c r="O379">
        <v>854.94</v>
      </c>
      <c r="P379">
        <f>tblOrders[[#This Row],[Quantity]]*tblOrders[[#This Row],[Unit Price]]</f>
        <v>854.94</v>
      </c>
      <c r="Q379">
        <f>tblOrders[[#This Row],[TotalSales]]-tblOrders[[#This Row],[Calculated Sales]]</f>
        <v>0</v>
      </c>
    </row>
    <row r="380" spans="1:17" x14ac:dyDescent="0.25">
      <c r="A380">
        <v>858</v>
      </c>
      <c r="B380">
        <v>509</v>
      </c>
      <c r="C380" t="str">
        <f>_xlfn.XLOOKUP(tblOrders[[#This Row],[CustomerID]],tblCustomers[CustomerID],tblCustomers[CustomerName],"not found")</f>
        <v>Kelsey Chapman</v>
      </c>
      <c r="D380">
        <f>_xlfn.XLOOKUP(tblOrders[[#This Row],[CustomerID]],tblCustomers[CustomerID],tblCustomers[Age],"not found")</f>
        <v>51</v>
      </c>
      <c r="E380" t="str">
        <f>_xlfn.XLOOKUP(tblOrders[[#This Row],[CustomerID]],tblCustomers[CustomerID],tblCustomers[Gender],"not found")</f>
        <v>Female</v>
      </c>
      <c r="F380" t="str">
        <f>_xlfn.XLOOKUP(tblOrders[[#This Row],[CustomerID]],tblCustomers[CustomerID],tblCustomers[Region],"not found")</f>
        <v>East</v>
      </c>
      <c r="G380">
        <v>1090</v>
      </c>
      <c r="H380" t="str">
        <f>_xlfn.XLOOKUP(tblOrders[[#This Row],[ProductID]],tblProducts[ProductID],tblProducts[ProductName],"not found")</f>
        <v>Food</v>
      </c>
      <c r="I380" t="str">
        <f>_xlfn.XLOOKUP(tblOrders[[#This Row],[ProductID]],tblProducts[ProductID],tblProducts[Category],"not found")</f>
        <v>Furniture</v>
      </c>
      <c r="J380">
        <f>_xlfn.XLOOKUP(tblOrders[[#This Row],[ProductID]],tblProducts[ProductID],tblProducts[UnitPrice],"not found")</f>
        <v>142.49</v>
      </c>
      <c r="K380" t="str">
        <f>_xlfn.XLOOKUP(tblOrders[[#This Row],[ProductID]],tblProducts[ProductID],tblProducts[Supplier],"not found")</f>
        <v>Gonzalez-Buchanan</v>
      </c>
      <c r="L380" s="1" t="s">
        <v>2075</v>
      </c>
      <c r="M3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45411</v>
      </c>
      <c r="N380">
        <v>9</v>
      </c>
      <c r="O380">
        <v>1282.4100000000001</v>
      </c>
      <c r="P380">
        <f>tblOrders[[#This Row],[Quantity]]*tblOrders[[#This Row],[Unit Price]]</f>
        <v>1282.4100000000001</v>
      </c>
      <c r="Q380">
        <f>tblOrders[[#This Row],[TotalSales]]-tblOrders[[#This Row],[Calculated Sales]]</f>
        <v>0</v>
      </c>
    </row>
    <row r="381" spans="1:17" x14ac:dyDescent="0.25">
      <c r="A381">
        <v>910</v>
      </c>
      <c r="B381">
        <v>441</v>
      </c>
      <c r="C381" t="str">
        <f>_xlfn.XLOOKUP(tblOrders[[#This Row],[CustomerID]],tblCustomers[CustomerID],tblCustomers[CustomerName],"not found")</f>
        <v>Jon Harris</v>
      </c>
      <c r="D381">
        <f>_xlfn.XLOOKUP(tblOrders[[#This Row],[CustomerID]],tblCustomers[CustomerID],tblCustomers[Age],"not found")</f>
        <v>29</v>
      </c>
      <c r="E381" t="str">
        <f>_xlfn.XLOOKUP(tblOrders[[#This Row],[CustomerID]],tblCustomers[CustomerID],tblCustomers[Gender],"not found")</f>
        <v>Female</v>
      </c>
      <c r="F381" t="str">
        <f>_xlfn.XLOOKUP(tblOrders[[#This Row],[CustomerID]],tblCustomers[CustomerID],tblCustomers[Region],"not found")</f>
        <v>South</v>
      </c>
      <c r="G381">
        <v>1090</v>
      </c>
      <c r="H381" t="str">
        <f>_xlfn.XLOOKUP(tblOrders[[#This Row],[ProductID]],tblProducts[ProductID],tblProducts[ProductName],"not found")</f>
        <v>Food</v>
      </c>
      <c r="I381" t="str">
        <f>_xlfn.XLOOKUP(tblOrders[[#This Row],[ProductID]],tblProducts[ProductID],tblProducts[Category],"not found")</f>
        <v>Furniture</v>
      </c>
      <c r="J381">
        <f>_xlfn.XLOOKUP(tblOrders[[#This Row],[ProductID]],tblProducts[ProductID],tblProducts[UnitPrice],"not found")</f>
        <v>142.49</v>
      </c>
      <c r="K381" t="str">
        <f>_xlfn.XLOOKUP(tblOrders[[#This Row],[ProductID]],tblProducts[ProductID],tblProducts[Supplier],"not found")</f>
        <v>Gonzalez-Buchanan</v>
      </c>
      <c r="L381" s="1" t="s">
        <v>2128</v>
      </c>
      <c r="M3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45044</v>
      </c>
      <c r="N381">
        <v>3</v>
      </c>
      <c r="O381">
        <v>427.47</v>
      </c>
      <c r="P381">
        <f>tblOrders[[#This Row],[Quantity]]*tblOrders[[#This Row],[Unit Price]]</f>
        <v>427.47</v>
      </c>
      <c r="Q381">
        <f>tblOrders[[#This Row],[TotalSales]]-tblOrders[[#This Row],[Calculated Sales]]</f>
        <v>0</v>
      </c>
    </row>
    <row r="382" spans="1:17" x14ac:dyDescent="0.25">
      <c r="A382">
        <v>1001</v>
      </c>
      <c r="B382">
        <v>164</v>
      </c>
      <c r="C382" t="str">
        <f>_xlfn.XLOOKUP(tblOrders[[#This Row],[CustomerID]],tblCustomers[CustomerID],tblCustomers[CustomerName],"not found")</f>
        <v>Kathryn Graves</v>
      </c>
      <c r="D382">
        <f>_xlfn.XLOOKUP(tblOrders[[#This Row],[CustomerID]],tblCustomers[CustomerID],tblCustomers[Age],"not found")</f>
        <v>51</v>
      </c>
      <c r="E382" t="str">
        <f>_xlfn.XLOOKUP(tblOrders[[#This Row],[CustomerID]],tblCustomers[CustomerID],tblCustomers[Gender],"not found")</f>
        <v>Male</v>
      </c>
      <c r="F382" t="str">
        <f>_xlfn.XLOOKUP(tblOrders[[#This Row],[CustomerID]],tblCustomers[CustomerID],tblCustomers[Region],"not found")</f>
        <v>West</v>
      </c>
      <c r="G382">
        <v>1090</v>
      </c>
      <c r="H382" t="str">
        <f>_xlfn.XLOOKUP(tblOrders[[#This Row],[ProductID]],tblProducts[ProductID],tblProducts[ProductName],"not found")</f>
        <v>Food</v>
      </c>
      <c r="I382" t="str">
        <f>_xlfn.XLOOKUP(tblOrders[[#This Row],[ProductID]],tblProducts[ProductID],tblProducts[Category],"not found")</f>
        <v>Furniture</v>
      </c>
      <c r="J382">
        <f>_xlfn.XLOOKUP(tblOrders[[#This Row],[ProductID]],tblProducts[ProductID],tblProducts[UnitPrice],"not found")</f>
        <v>142.49</v>
      </c>
      <c r="K382" t="str">
        <f>_xlfn.XLOOKUP(tblOrders[[#This Row],[ProductID]],tblProducts[ProductID],tblProducts[Supplier],"not found")</f>
        <v>Gonzalez-Buchanan</v>
      </c>
      <c r="L382" s="1" t="s">
        <v>2031</v>
      </c>
      <c r="M3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45280</v>
      </c>
      <c r="N382">
        <v>8</v>
      </c>
      <c r="O382">
        <v>1139.92</v>
      </c>
      <c r="P382">
        <f>tblOrders[[#This Row],[Quantity]]*tblOrders[[#This Row],[Unit Price]]</f>
        <v>1139.92</v>
      </c>
      <c r="Q382">
        <f>tblOrders[[#This Row],[TotalSales]]-tblOrders[[#This Row],[Calculated Sales]]</f>
        <v>0</v>
      </c>
    </row>
    <row r="383" spans="1:17" x14ac:dyDescent="0.25">
      <c r="A383">
        <v>1022</v>
      </c>
      <c r="B383">
        <v>761</v>
      </c>
      <c r="C383" t="str">
        <f>_xlfn.XLOOKUP(tblOrders[[#This Row],[CustomerID]],tblCustomers[CustomerID],tblCustomers[CustomerName],"not found")</f>
        <v>Michelle Becker</v>
      </c>
      <c r="D383">
        <f>_xlfn.XLOOKUP(tblOrders[[#This Row],[CustomerID]],tblCustomers[CustomerID],tblCustomers[Age],"not found")</f>
        <v>34</v>
      </c>
      <c r="E383" t="str">
        <f>_xlfn.XLOOKUP(tblOrders[[#This Row],[CustomerID]],tblCustomers[CustomerID],tblCustomers[Gender],"not found")</f>
        <v>Female</v>
      </c>
      <c r="F383" t="str">
        <f>_xlfn.XLOOKUP(tblOrders[[#This Row],[CustomerID]],tblCustomers[CustomerID],tblCustomers[Region],"not found")</f>
        <v>East</v>
      </c>
      <c r="G383">
        <v>1090</v>
      </c>
      <c r="H383" t="str">
        <f>_xlfn.XLOOKUP(tblOrders[[#This Row],[ProductID]],tblProducts[ProductID],tblProducts[ProductName],"not found")</f>
        <v>Food</v>
      </c>
      <c r="I383" t="str">
        <f>_xlfn.XLOOKUP(tblOrders[[#This Row],[ProductID]],tblProducts[ProductID],tblProducts[Category],"not found")</f>
        <v>Furniture</v>
      </c>
      <c r="J383">
        <f>_xlfn.XLOOKUP(tblOrders[[#This Row],[ProductID]],tblProducts[ProductID],tblProducts[UnitPrice],"not found")</f>
        <v>142.49</v>
      </c>
      <c r="K383" t="str">
        <f>_xlfn.XLOOKUP(tblOrders[[#This Row],[ProductID]],tblProducts[ProductID],tblProducts[Supplier],"not found")</f>
        <v>Gonzalez-Buchanan</v>
      </c>
      <c r="L383" s="1" t="s">
        <v>2158</v>
      </c>
      <c r="M3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45462</v>
      </c>
      <c r="N383">
        <v>6</v>
      </c>
      <c r="O383">
        <v>854.94</v>
      </c>
      <c r="P383">
        <f>tblOrders[[#This Row],[Quantity]]*tblOrders[[#This Row],[Unit Price]]</f>
        <v>854.94</v>
      </c>
      <c r="Q383">
        <f>tblOrders[[#This Row],[TotalSales]]-tblOrders[[#This Row],[Calculated Sales]]</f>
        <v>0</v>
      </c>
    </row>
    <row r="384" spans="1:17" x14ac:dyDescent="0.25">
      <c r="A384">
        <v>1100</v>
      </c>
      <c r="B384">
        <v>40</v>
      </c>
      <c r="C384" t="str">
        <f>_xlfn.XLOOKUP(tblOrders[[#This Row],[CustomerID]],tblCustomers[CustomerID],tblCustomers[CustomerName],"not found")</f>
        <v>Yvonne Simon</v>
      </c>
      <c r="D384">
        <f>_xlfn.XLOOKUP(tblOrders[[#This Row],[CustomerID]],tblCustomers[CustomerID],tblCustomers[Age],"not found")</f>
        <v>39</v>
      </c>
      <c r="E384" t="str">
        <f>_xlfn.XLOOKUP(tblOrders[[#This Row],[CustomerID]],tblCustomers[CustomerID],tblCustomers[Gender],"not found")</f>
        <v>Female</v>
      </c>
      <c r="F384" t="str">
        <f>_xlfn.XLOOKUP(tblOrders[[#This Row],[CustomerID]],tblCustomers[CustomerID],tblCustomers[Region],"not found")</f>
        <v>South</v>
      </c>
      <c r="G384">
        <v>1090</v>
      </c>
      <c r="H384" t="str">
        <f>_xlfn.XLOOKUP(tblOrders[[#This Row],[ProductID]],tblProducts[ProductID],tblProducts[ProductName],"not found")</f>
        <v>Food</v>
      </c>
      <c r="I384" t="str">
        <f>_xlfn.XLOOKUP(tblOrders[[#This Row],[ProductID]],tblProducts[ProductID],tblProducts[Category],"not found")</f>
        <v>Furniture</v>
      </c>
      <c r="J384">
        <f>_xlfn.XLOOKUP(tblOrders[[#This Row],[ProductID]],tblProducts[ProductID],tblProducts[UnitPrice],"not found")</f>
        <v>142.49</v>
      </c>
      <c r="K384" t="str">
        <f>_xlfn.XLOOKUP(tblOrders[[#This Row],[ProductID]],tblProducts[ProductID],tblProducts[Supplier],"not found")</f>
        <v>Gonzalez-Buchanan</v>
      </c>
      <c r="L384" s="1" t="s">
        <v>2163</v>
      </c>
      <c r="M3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45308</v>
      </c>
      <c r="N384">
        <v>8</v>
      </c>
      <c r="O384">
        <v>1139.92</v>
      </c>
      <c r="P384">
        <f>tblOrders[[#This Row],[Quantity]]*tblOrders[[#This Row],[Unit Price]]</f>
        <v>1139.92</v>
      </c>
      <c r="Q384">
        <f>tblOrders[[#This Row],[TotalSales]]-tblOrders[[#This Row],[Calculated Sales]]</f>
        <v>0</v>
      </c>
    </row>
    <row r="385" spans="1:17" x14ac:dyDescent="0.25">
      <c r="A385">
        <v>1129</v>
      </c>
      <c r="B385">
        <v>850</v>
      </c>
      <c r="C385" t="str">
        <f>_xlfn.XLOOKUP(tblOrders[[#This Row],[CustomerID]],tblCustomers[CustomerID],tblCustomers[CustomerName],"not found")</f>
        <v>Shannon Hurst</v>
      </c>
      <c r="D385">
        <f>_xlfn.XLOOKUP(tblOrders[[#This Row],[CustomerID]],tblCustomers[CustomerID],tblCustomers[Age],"not found")</f>
        <v>22</v>
      </c>
      <c r="E385" t="str">
        <f>_xlfn.XLOOKUP(tblOrders[[#This Row],[CustomerID]],tblCustomers[CustomerID],tblCustomers[Gender],"not found")</f>
        <v>Female</v>
      </c>
      <c r="F385" t="str">
        <f>_xlfn.XLOOKUP(tblOrders[[#This Row],[CustomerID]],tblCustomers[CustomerID],tblCustomers[Region],"not found")</f>
        <v>Central</v>
      </c>
      <c r="G385">
        <v>1090</v>
      </c>
      <c r="H385" t="str">
        <f>_xlfn.XLOOKUP(tblOrders[[#This Row],[ProductID]],tblProducts[ProductID],tblProducts[ProductName],"not found")</f>
        <v>Food</v>
      </c>
      <c r="I385" t="str">
        <f>_xlfn.XLOOKUP(tblOrders[[#This Row],[ProductID]],tblProducts[ProductID],tblProducts[Category],"not found")</f>
        <v>Furniture</v>
      </c>
      <c r="J385">
        <f>_xlfn.XLOOKUP(tblOrders[[#This Row],[ProductID]],tblProducts[ProductID],tblProducts[UnitPrice],"not found")</f>
        <v>142.49</v>
      </c>
      <c r="K385" t="str">
        <f>_xlfn.XLOOKUP(tblOrders[[#This Row],[ProductID]],tblProducts[ProductID],tblProducts[Supplier],"not found")</f>
        <v>Gonzalez-Buchanan</v>
      </c>
      <c r="L385" s="1" t="s">
        <v>2069</v>
      </c>
      <c r="M3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45488</v>
      </c>
      <c r="N385">
        <v>9</v>
      </c>
      <c r="O385">
        <v>1282.4100000000001</v>
      </c>
      <c r="P385">
        <f>tblOrders[[#This Row],[Quantity]]*tblOrders[[#This Row],[Unit Price]]</f>
        <v>1282.4100000000001</v>
      </c>
      <c r="Q385">
        <f>tblOrders[[#This Row],[TotalSales]]-tblOrders[[#This Row],[Calculated Sales]]</f>
        <v>0</v>
      </c>
    </row>
    <row r="386" spans="1:17" x14ac:dyDescent="0.25">
      <c r="A386">
        <v>1272</v>
      </c>
      <c r="B386">
        <v>149</v>
      </c>
      <c r="C386" t="str">
        <f>_xlfn.XLOOKUP(tblOrders[[#This Row],[CustomerID]],tblCustomers[CustomerID],tblCustomers[CustomerName],"not found")</f>
        <v>Sandra Lane</v>
      </c>
      <c r="D386">
        <f>_xlfn.XLOOKUP(tblOrders[[#This Row],[CustomerID]],tblCustomers[CustomerID],tblCustomers[Age],"not found")</f>
        <v>28</v>
      </c>
      <c r="E386" t="str">
        <f>_xlfn.XLOOKUP(tblOrders[[#This Row],[CustomerID]],tblCustomers[CustomerID],tblCustomers[Gender],"not found")</f>
        <v>Female</v>
      </c>
      <c r="F386" t="str">
        <f>_xlfn.XLOOKUP(tblOrders[[#This Row],[CustomerID]],tblCustomers[CustomerID],tblCustomers[Region],"not found")</f>
        <v>East</v>
      </c>
      <c r="G386">
        <v>1090</v>
      </c>
      <c r="H386" t="str">
        <f>_xlfn.XLOOKUP(tblOrders[[#This Row],[ProductID]],tblProducts[ProductID],tblProducts[ProductName],"not found")</f>
        <v>Food</v>
      </c>
      <c r="I386" t="str">
        <f>_xlfn.XLOOKUP(tblOrders[[#This Row],[ProductID]],tblProducts[ProductID],tblProducts[Category],"not found")</f>
        <v>Furniture</v>
      </c>
      <c r="J386">
        <f>_xlfn.XLOOKUP(tblOrders[[#This Row],[ProductID]],tblProducts[ProductID],tblProducts[UnitPrice],"not found")</f>
        <v>142.49</v>
      </c>
      <c r="K386" t="str">
        <f>_xlfn.XLOOKUP(tblOrders[[#This Row],[ProductID]],tblProducts[ProductID],tblProducts[Supplier],"not found")</f>
        <v>Gonzalez-Buchanan</v>
      </c>
      <c r="L386" s="1" t="s">
        <v>2190</v>
      </c>
      <c r="M3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45123</v>
      </c>
      <c r="N386">
        <v>9</v>
      </c>
      <c r="O386">
        <v>1282.4100000000001</v>
      </c>
      <c r="P386">
        <f>tblOrders[[#This Row],[Quantity]]*tblOrders[[#This Row],[Unit Price]]</f>
        <v>1282.4100000000001</v>
      </c>
      <c r="Q386">
        <f>tblOrders[[#This Row],[TotalSales]]-tblOrders[[#This Row],[Calculated Sales]]</f>
        <v>0</v>
      </c>
    </row>
    <row r="387" spans="1:17" x14ac:dyDescent="0.25">
      <c r="A387">
        <v>1437</v>
      </c>
      <c r="B387">
        <v>440</v>
      </c>
      <c r="C387" t="str">
        <f>_xlfn.XLOOKUP(tblOrders[[#This Row],[CustomerID]],tblCustomers[CustomerID],tblCustomers[CustomerName],"not found")</f>
        <v>Michael Fisher</v>
      </c>
      <c r="D387">
        <f>_xlfn.XLOOKUP(tblOrders[[#This Row],[CustomerID]],tblCustomers[CustomerID],tblCustomers[Age],"not found")</f>
        <v>47</v>
      </c>
      <c r="E387" t="str">
        <f>_xlfn.XLOOKUP(tblOrders[[#This Row],[CustomerID]],tblCustomers[CustomerID],tblCustomers[Gender],"not found")</f>
        <v>Female</v>
      </c>
      <c r="F387" t="str">
        <f>_xlfn.XLOOKUP(tblOrders[[#This Row],[CustomerID]],tblCustomers[CustomerID],tblCustomers[Region],"not found")</f>
        <v>West</v>
      </c>
      <c r="G387">
        <v>1090</v>
      </c>
      <c r="H387" t="str">
        <f>_xlfn.XLOOKUP(tblOrders[[#This Row],[ProductID]],tblProducts[ProductID],tblProducts[ProductName],"not found")</f>
        <v>Food</v>
      </c>
      <c r="I387" t="str">
        <f>_xlfn.XLOOKUP(tblOrders[[#This Row],[ProductID]],tblProducts[ProductID],tblProducts[Category],"not found")</f>
        <v>Furniture</v>
      </c>
      <c r="J387">
        <f>_xlfn.XLOOKUP(tblOrders[[#This Row],[ProductID]],tblProducts[ProductID],tblProducts[UnitPrice],"not found")</f>
        <v>142.49</v>
      </c>
      <c r="K387" t="str">
        <f>_xlfn.XLOOKUP(tblOrders[[#This Row],[ProductID]],tblProducts[ProductID],tblProducts[Supplier],"not found")</f>
        <v>Gonzalez-Buchanan</v>
      </c>
      <c r="L387" s="1" t="s">
        <v>2107</v>
      </c>
      <c r="M3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387">
        <v>1</v>
      </c>
      <c r="O387">
        <v>142.49</v>
      </c>
      <c r="P387">
        <f>tblOrders[[#This Row],[Quantity]]*tblOrders[[#This Row],[Unit Price]]</f>
        <v>142.49</v>
      </c>
      <c r="Q387">
        <f>tblOrders[[#This Row],[TotalSales]]-tblOrders[[#This Row],[Calculated Sales]]</f>
        <v>0</v>
      </c>
    </row>
    <row r="388" spans="1:17" x14ac:dyDescent="0.25">
      <c r="A388">
        <v>1472</v>
      </c>
      <c r="B388">
        <v>342</v>
      </c>
      <c r="C388" t="str">
        <f>_xlfn.XLOOKUP(tblOrders[[#This Row],[CustomerID]],tblCustomers[CustomerID],tblCustomers[CustomerName],"not found")</f>
        <v>Raymond Rodriguez</v>
      </c>
      <c r="D388">
        <f>_xlfn.XLOOKUP(tblOrders[[#This Row],[CustomerID]],tblCustomers[CustomerID],tblCustomers[Age],"not found")</f>
        <v>64</v>
      </c>
      <c r="E388" t="str">
        <f>_xlfn.XLOOKUP(tblOrders[[#This Row],[CustomerID]],tblCustomers[CustomerID],tblCustomers[Gender],"not found")</f>
        <v>Female</v>
      </c>
      <c r="F388" t="str">
        <f>_xlfn.XLOOKUP(tblOrders[[#This Row],[CustomerID]],tblCustomers[CustomerID],tblCustomers[Region],"not found")</f>
        <v>West</v>
      </c>
      <c r="G388">
        <v>1090</v>
      </c>
      <c r="H388" t="str">
        <f>_xlfn.XLOOKUP(tblOrders[[#This Row],[ProductID]],tblProducts[ProductID],tblProducts[ProductName],"not found")</f>
        <v>Food</v>
      </c>
      <c r="I388" t="str">
        <f>_xlfn.XLOOKUP(tblOrders[[#This Row],[ProductID]],tblProducts[ProductID],tblProducts[Category],"not found")</f>
        <v>Furniture</v>
      </c>
      <c r="J388">
        <f>_xlfn.XLOOKUP(tblOrders[[#This Row],[ProductID]],tblProducts[ProductID],tblProducts[UnitPrice],"not found")</f>
        <v>142.49</v>
      </c>
      <c r="K388" t="str">
        <f>_xlfn.XLOOKUP(tblOrders[[#This Row],[ProductID]],tblProducts[ProductID],tblProducts[Supplier],"not found")</f>
        <v>Gonzalez-Buchanan</v>
      </c>
      <c r="L388" s="1" t="s">
        <v>2191</v>
      </c>
      <c r="M3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45154</v>
      </c>
      <c r="N388">
        <v>8</v>
      </c>
      <c r="O388">
        <v>1139.92</v>
      </c>
      <c r="P388">
        <f>tblOrders[[#This Row],[Quantity]]*tblOrders[[#This Row],[Unit Price]]</f>
        <v>1139.92</v>
      </c>
      <c r="Q388">
        <f>tblOrders[[#This Row],[TotalSales]]-tblOrders[[#This Row],[Calculated Sales]]</f>
        <v>0</v>
      </c>
    </row>
    <row r="389" spans="1:17" x14ac:dyDescent="0.25">
      <c r="A389">
        <v>1550</v>
      </c>
      <c r="B389">
        <v>104</v>
      </c>
      <c r="C389" t="str">
        <f>_xlfn.XLOOKUP(tblOrders[[#This Row],[CustomerID]],tblCustomers[CustomerID],tblCustomers[CustomerName],"not found")</f>
        <v>Amy Roach</v>
      </c>
      <c r="D389">
        <f>_xlfn.XLOOKUP(tblOrders[[#This Row],[CustomerID]],tblCustomers[CustomerID],tblCustomers[Age],"not found")</f>
        <v>32</v>
      </c>
      <c r="E389" t="str">
        <f>_xlfn.XLOOKUP(tblOrders[[#This Row],[CustomerID]],tblCustomers[CustomerID],tblCustomers[Gender],"not found")</f>
        <v>Male</v>
      </c>
      <c r="F389" t="str">
        <f>_xlfn.XLOOKUP(tblOrders[[#This Row],[CustomerID]],tblCustomers[CustomerID],tblCustomers[Region],"not found")</f>
        <v>South</v>
      </c>
      <c r="G389">
        <v>1090</v>
      </c>
      <c r="H389" t="str">
        <f>_xlfn.XLOOKUP(tblOrders[[#This Row],[ProductID]],tblProducts[ProductID],tblProducts[ProductName],"not found")</f>
        <v>Food</v>
      </c>
      <c r="I389" t="str">
        <f>_xlfn.XLOOKUP(tblOrders[[#This Row],[ProductID]],tblProducts[ProductID],tblProducts[Category],"not found")</f>
        <v>Furniture</v>
      </c>
      <c r="J389">
        <f>_xlfn.XLOOKUP(tblOrders[[#This Row],[ProductID]],tblProducts[ProductID],tblProducts[UnitPrice],"not found")</f>
        <v>142.49</v>
      </c>
      <c r="K389" t="str">
        <f>_xlfn.XLOOKUP(tblOrders[[#This Row],[ProductID]],tblProducts[ProductID],tblProducts[Supplier],"not found")</f>
        <v>Gonzalez-Buchanan</v>
      </c>
      <c r="L389" s="1">
        <v>45544</v>
      </c>
      <c r="M3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45544</v>
      </c>
      <c r="N389">
        <v>5</v>
      </c>
      <c r="O389">
        <v>712.45</v>
      </c>
      <c r="P389">
        <f>tblOrders[[#This Row],[Quantity]]*tblOrders[[#This Row],[Unit Price]]</f>
        <v>712.45</v>
      </c>
      <c r="Q389">
        <f>tblOrders[[#This Row],[TotalSales]]-tblOrders[[#This Row],[Calculated Sales]]</f>
        <v>0</v>
      </c>
    </row>
    <row r="390" spans="1:17" x14ac:dyDescent="0.25">
      <c r="A390">
        <v>1748</v>
      </c>
      <c r="B390">
        <v>994</v>
      </c>
      <c r="C390" t="str">
        <f>_xlfn.XLOOKUP(tblOrders[[#This Row],[CustomerID]],tblCustomers[CustomerID],tblCustomers[CustomerName],"not found")</f>
        <v>Brandon Willis</v>
      </c>
      <c r="D390">
        <f>_xlfn.XLOOKUP(tblOrders[[#This Row],[CustomerID]],tblCustomers[CustomerID],tblCustomers[Age],"not found")</f>
        <v>41</v>
      </c>
      <c r="E390" t="str">
        <f>_xlfn.XLOOKUP(tblOrders[[#This Row],[CustomerID]],tblCustomers[CustomerID],tblCustomers[Gender],"not found")</f>
        <v>Male</v>
      </c>
      <c r="F390" t="str">
        <f>_xlfn.XLOOKUP(tblOrders[[#This Row],[CustomerID]],tblCustomers[CustomerID],tblCustomers[Region],"not found")</f>
        <v>Central</v>
      </c>
      <c r="G390">
        <v>1090</v>
      </c>
      <c r="H390" t="str">
        <f>_xlfn.XLOOKUP(tblOrders[[#This Row],[ProductID]],tblProducts[ProductID],tblProducts[ProductName],"not found")</f>
        <v>Food</v>
      </c>
      <c r="I390" t="str">
        <f>_xlfn.XLOOKUP(tblOrders[[#This Row],[ProductID]],tblProducts[ProductID],tblProducts[Category],"not found")</f>
        <v>Furniture</v>
      </c>
      <c r="J390">
        <f>_xlfn.XLOOKUP(tblOrders[[#This Row],[ProductID]],tblProducts[ProductID],tblProducts[UnitPrice],"not found")</f>
        <v>142.49</v>
      </c>
      <c r="K390" t="str">
        <f>_xlfn.XLOOKUP(tblOrders[[#This Row],[ProductID]],tblProducts[ProductID],tblProducts[Supplier],"not found")</f>
        <v>Gonzalez-Buchanan</v>
      </c>
      <c r="L390" s="1">
        <v>45420</v>
      </c>
      <c r="M3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45420</v>
      </c>
      <c r="N390">
        <v>9</v>
      </c>
      <c r="O390">
        <v>1282.4100000000001</v>
      </c>
      <c r="P390">
        <f>tblOrders[[#This Row],[Quantity]]*tblOrders[[#This Row],[Unit Price]]</f>
        <v>1282.4100000000001</v>
      </c>
      <c r="Q390">
        <f>tblOrders[[#This Row],[TotalSales]]-tblOrders[[#This Row],[Calculated Sales]]</f>
        <v>0</v>
      </c>
    </row>
    <row r="391" spans="1:17" x14ac:dyDescent="0.25">
      <c r="A391">
        <v>1846</v>
      </c>
      <c r="B391">
        <v>127</v>
      </c>
      <c r="C391" t="str">
        <f>_xlfn.XLOOKUP(tblOrders[[#This Row],[CustomerID]],tblCustomers[CustomerID],tblCustomers[CustomerName],"not found")</f>
        <v>Joshua Cortez</v>
      </c>
      <c r="D391">
        <f>_xlfn.XLOOKUP(tblOrders[[#This Row],[CustomerID]],tblCustomers[CustomerID],tblCustomers[Age],"not found")</f>
        <v>42</v>
      </c>
      <c r="E391" t="str">
        <f>_xlfn.XLOOKUP(tblOrders[[#This Row],[CustomerID]],tblCustomers[CustomerID],tblCustomers[Gender],"not found")</f>
        <v>Male</v>
      </c>
      <c r="F391" t="str">
        <f>_xlfn.XLOOKUP(tblOrders[[#This Row],[CustomerID]],tblCustomers[CustomerID],tblCustomers[Region],"not found")</f>
        <v>South</v>
      </c>
      <c r="G391">
        <v>1090</v>
      </c>
      <c r="H391" t="str">
        <f>_xlfn.XLOOKUP(tblOrders[[#This Row],[ProductID]],tblProducts[ProductID],tblProducts[ProductName],"not found")</f>
        <v>Food</v>
      </c>
      <c r="I391" t="str">
        <f>_xlfn.XLOOKUP(tblOrders[[#This Row],[ProductID]],tblProducts[ProductID],tblProducts[Category],"not found")</f>
        <v>Furniture</v>
      </c>
      <c r="J391">
        <f>_xlfn.XLOOKUP(tblOrders[[#This Row],[ProductID]],tblProducts[ProductID],tblProducts[UnitPrice],"not found")</f>
        <v>142.49</v>
      </c>
      <c r="K391" t="str">
        <f>_xlfn.XLOOKUP(tblOrders[[#This Row],[ProductID]],tblProducts[ProductID],tblProducts[Supplier],"not found")</f>
        <v>Gonzalez-Buchanan</v>
      </c>
      <c r="L391" s="1" t="s">
        <v>2192</v>
      </c>
      <c r="M3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45193</v>
      </c>
      <c r="N391">
        <v>7</v>
      </c>
      <c r="O391">
        <v>997.43</v>
      </c>
      <c r="P391">
        <f>tblOrders[[#This Row],[Quantity]]*tblOrders[[#This Row],[Unit Price]]</f>
        <v>997.43000000000006</v>
      </c>
      <c r="Q391">
        <f>tblOrders[[#This Row],[TotalSales]]-tblOrders[[#This Row],[Calculated Sales]]</f>
        <v>0</v>
      </c>
    </row>
    <row r="392" spans="1:17" x14ac:dyDescent="0.25">
      <c r="A392">
        <v>1873</v>
      </c>
      <c r="B392">
        <v>185</v>
      </c>
      <c r="C392" t="str">
        <f>_xlfn.XLOOKUP(tblOrders[[#This Row],[CustomerID]],tblCustomers[CustomerID],tblCustomers[CustomerName],"not found")</f>
        <v>Angela Gregory</v>
      </c>
      <c r="D392">
        <f>_xlfn.XLOOKUP(tblOrders[[#This Row],[CustomerID]],tblCustomers[CustomerID],tblCustomers[Age],"not found")</f>
        <v>40</v>
      </c>
      <c r="E392" t="str">
        <f>_xlfn.XLOOKUP(tblOrders[[#This Row],[CustomerID]],tblCustomers[CustomerID],tblCustomers[Gender],"not found")</f>
        <v>Male</v>
      </c>
      <c r="F392" t="str">
        <f>_xlfn.XLOOKUP(tblOrders[[#This Row],[CustomerID]],tblCustomers[CustomerID],tblCustomers[Region],"not found")</f>
        <v>North</v>
      </c>
      <c r="G392">
        <v>1090</v>
      </c>
      <c r="H392" t="str">
        <f>_xlfn.XLOOKUP(tblOrders[[#This Row],[ProductID]],tblProducts[ProductID],tblProducts[ProductName],"not found")</f>
        <v>Food</v>
      </c>
      <c r="I392" t="str">
        <f>_xlfn.XLOOKUP(tblOrders[[#This Row],[ProductID]],tblProducts[ProductID],tblProducts[Category],"not found")</f>
        <v>Furniture</v>
      </c>
      <c r="J392">
        <f>_xlfn.XLOOKUP(tblOrders[[#This Row],[ProductID]],tblProducts[ProductID],tblProducts[UnitPrice],"not found")</f>
        <v>142.49</v>
      </c>
      <c r="K392" t="str">
        <f>_xlfn.XLOOKUP(tblOrders[[#This Row],[ProductID]],tblProducts[ProductID],tblProducts[Supplier],"not found")</f>
        <v>Gonzalez-Buchanan</v>
      </c>
      <c r="L392" s="1">
        <v>45170</v>
      </c>
      <c r="M3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45170</v>
      </c>
      <c r="N392">
        <v>1</v>
      </c>
      <c r="O392">
        <v>142.49</v>
      </c>
      <c r="P392">
        <f>tblOrders[[#This Row],[Quantity]]*tblOrders[[#This Row],[Unit Price]]</f>
        <v>142.49</v>
      </c>
      <c r="Q392">
        <f>tblOrders[[#This Row],[TotalSales]]-tblOrders[[#This Row],[Calculated Sales]]</f>
        <v>0</v>
      </c>
    </row>
    <row r="393" spans="1:17" x14ac:dyDescent="0.25">
      <c r="A393">
        <v>1917</v>
      </c>
      <c r="B393">
        <v>31</v>
      </c>
      <c r="C393" t="str">
        <f>_xlfn.XLOOKUP(tblOrders[[#This Row],[CustomerID]],tblCustomers[CustomerID],tblCustomers[CustomerName],"not found")</f>
        <v>Anthony Perez</v>
      </c>
      <c r="D393">
        <f>_xlfn.XLOOKUP(tblOrders[[#This Row],[CustomerID]],tblCustomers[CustomerID],tblCustomers[Age],"not found")</f>
        <v>19</v>
      </c>
      <c r="E393" t="str">
        <f>_xlfn.XLOOKUP(tblOrders[[#This Row],[CustomerID]],tblCustomers[CustomerID],tblCustomers[Gender],"not found")</f>
        <v>Male</v>
      </c>
      <c r="F393" t="str">
        <f>_xlfn.XLOOKUP(tblOrders[[#This Row],[CustomerID]],tblCustomers[CustomerID],tblCustomers[Region],"not found")</f>
        <v>South</v>
      </c>
      <c r="G393">
        <v>1090</v>
      </c>
      <c r="H393" t="str">
        <f>_xlfn.XLOOKUP(tblOrders[[#This Row],[ProductID]],tblProducts[ProductID],tblProducts[ProductName],"not found")</f>
        <v>Food</v>
      </c>
      <c r="I393" t="str">
        <f>_xlfn.XLOOKUP(tblOrders[[#This Row],[ProductID]],tblProducts[ProductID],tblProducts[Category],"not found")</f>
        <v>Furniture</v>
      </c>
      <c r="J393">
        <f>_xlfn.XLOOKUP(tblOrders[[#This Row],[ProductID]],tblProducts[ProductID],tblProducts[UnitPrice],"not found")</f>
        <v>142.49</v>
      </c>
      <c r="K393" t="str">
        <f>_xlfn.XLOOKUP(tblOrders[[#This Row],[ProductID]],tblProducts[ProductID],tblProducts[Supplier],"not found")</f>
        <v>Gonzalez-Buchanan</v>
      </c>
      <c r="L393" s="1" t="s">
        <v>2193</v>
      </c>
      <c r="M3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45002</v>
      </c>
      <c r="N393">
        <v>7</v>
      </c>
      <c r="O393">
        <v>997.43</v>
      </c>
      <c r="P393">
        <f>tblOrders[[#This Row],[Quantity]]*tblOrders[[#This Row],[Unit Price]]</f>
        <v>997.43000000000006</v>
      </c>
      <c r="Q393">
        <f>tblOrders[[#This Row],[TotalSales]]-tblOrders[[#This Row],[Calculated Sales]]</f>
        <v>0</v>
      </c>
    </row>
    <row r="394" spans="1:17" x14ac:dyDescent="0.25">
      <c r="A394">
        <v>20</v>
      </c>
      <c r="B394">
        <v>926</v>
      </c>
      <c r="C394" t="str">
        <f>_xlfn.XLOOKUP(tblOrders[[#This Row],[CustomerID]],tblCustomers[CustomerID],tblCustomers[CustomerName],"not found")</f>
        <v>Nicole Hernandez</v>
      </c>
      <c r="D394">
        <f>_xlfn.XLOOKUP(tblOrders[[#This Row],[CustomerID]],tblCustomers[CustomerID],tblCustomers[Age],"not found")</f>
        <v>23</v>
      </c>
      <c r="E394" t="str">
        <f>_xlfn.XLOOKUP(tblOrders[[#This Row],[CustomerID]],tblCustomers[CustomerID],tblCustomers[Gender],"not found")</f>
        <v>Female</v>
      </c>
      <c r="F394" t="str">
        <f>_xlfn.XLOOKUP(tblOrders[[#This Row],[CustomerID]],tblCustomers[CustomerID],tblCustomers[Region],"not found")</f>
        <v>North</v>
      </c>
      <c r="G394">
        <v>1004</v>
      </c>
      <c r="H394" t="str">
        <f>_xlfn.XLOOKUP(tblOrders[[#This Row],[ProductID]],tblProducts[ProductID],tblProducts[ProductName],"not found")</f>
        <v>Month</v>
      </c>
      <c r="I394" t="str">
        <f>_xlfn.XLOOKUP(tblOrders[[#This Row],[ProductID]],tblProducts[ProductID],tblProducts[Category],"not found")</f>
        <v>Beauty</v>
      </c>
      <c r="J394">
        <f>_xlfn.XLOOKUP(tblOrders[[#This Row],[ProductID]],tblProducts[ProductID],tblProducts[UnitPrice],"not found")</f>
        <v>75.319999999999993</v>
      </c>
      <c r="K394" t="str">
        <f>_xlfn.XLOOKUP(tblOrders[[#This Row],[ProductID]],tblProducts[ProductID],tblProducts[Supplier],"not found")</f>
        <v>Williams-Stephens</v>
      </c>
      <c r="L394" s="1" t="s">
        <v>2013</v>
      </c>
      <c r="M3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45319</v>
      </c>
      <c r="N394">
        <v>3</v>
      </c>
      <c r="O394">
        <v>225.96</v>
      </c>
      <c r="P394">
        <f>tblOrders[[#This Row],[Quantity]]*tblOrders[[#This Row],[Unit Price]]</f>
        <v>225.95999999999998</v>
      </c>
      <c r="Q394">
        <f>tblOrders[[#This Row],[TotalSales]]-tblOrders[[#This Row],[Calculated Sales]]</f>
        <v>0</v>
      </c>
    </row>
    <row r="395" spans="1:17" x14ac:dyDescent="0.25">
      <c r="A395">
        <v>251</v>
      </c>
      <c r="B395">
        <v>535</v>
      </c>
      <c r="C395" t="str">
        <f>_xlfn.XLOOKUP(tblOrders[[#This Row],[CustomerID]],tblCustomers[CustomerID],tblCustomers[CustomerName],"not found")</f>
        <v>Peter Potter</v>
      </c>
      <c r="D395">
        <f>_xlfn.XLOOKUP(tblOrders[[#This Row],[CustomerID]],tblCustomers[CustomerID],tblCustomers[Age],"not found")</f>
        <v>32</v>
      </c>
      <c r="E395" t="str">
        <f>_xlfn.XLOOKUP(tblOrders[[#This Row],[CustomerID]],tblCustomers[CustomerID],tblCustomers[Gender],"not found")</f>
        <v>Female</v>
      </c>
      <c r="F395" t="str">
        <f>_xlfn.XLOOKUP(tblOrders[[#This Row],[CustomerID]],tblCustomers[CustomerID],tblCustomers[Region],"not found")</f>
        <v>West</v>
      </c>
      <c r="G395">
        <v>1004</v>
      </c>
      <c r="H395" t="str">
        <f>_xlfn.XLOOKUP(tblOrders[[#This Row],[ProductID]],tblProducts[ProductID],tblProducts[ProductName],"not found")</f>
        <v>Month</v>
      </c>
      <c r="I395" t="str">
        <f>_xlfn.XLOOKUP(tblOrders[[#This Row],[ProductID]],tblProducts[ProductID],tblProducts[Category],"not found")</f>
        <v>Beauty</v>
      </c>
      <c r="J395">
        <f>_xlfn.XLOOKUP(tblOrders[[#This Row],[ProductID]],tblProducts[ProductID],tblProducts[UnitPrice],"not found")</f>
        <v>75.319999999999993</v>
      </c>
      <c r="K395" t="str">
        <f>_xlfn.XLOOKUP(tblOrders[[#This Row],[ProductID]],tblProducts[ProductID],tblProducts[Supplier],"not found")</f>
        <v>Williams-Stephens</v>
      </c>
      <c r="L395" s="1">
        <v>45633</v>
      </c>
      <c r="M3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45633</v>
      </c>
      <c r="N395">
        <v>4</v>
      </c>
      <c r="O395">
        <v>301.27999999999997</v>
      </c>
      <c r="P395">
        <f>tblOrders[[#This Row],[Quantity]]*tblOrders[[#This Row],[Unit Price]]</f>
        <v>301.27999999999997</v>
      </c>
      <c r="Q395">
        <f>tblOrders[[#This Row],[TotalSales]]-tblOrders[[#This Row],[Calculated Sales]]</f>
        <v>0</v>
      </c>
    </row>
    <row r="396" spans="1:17" x14ac:dyDescent="0.25">
      <c r="A396">
        <v>414</v>
      </c>
      <c r="B396">
        <v>625</v>
      </c>
      <c r="C396" t="str">
        <f>_xlfn.XLOOKUP(tblOrders[[#This Row],[CustomerID]],tblCustomers[CustomerID],tblCustomers[CustomerName],"not found")</f>
        <v>Michael Whitehead</v>
      </c>
      <c r="D396">
        <f>_xlfn.XLOOKUP(tblOrders[[#This Row],[CustomerID]],tblCustomers[CustomerID],tblCustomers[Age],"not found")</f>
        <v>22</v>
      </c>
      <c r="E396" t="str">
        <f>_xlfn.XLOOKUP(tblOrders[[#This Row],[CustomerID]],tblCustomers[CustomerID],tblCustomers[Gender],"not found")</f>
        <v>Male</v>
      </c>
      <c r="F396" t="str">
        <f>_xlfn.XLOOKUP(tblOrders[[#This Row],[CustomerID]],tblCustomers[CustomerID],tblCustomers[Region],"not found")</f>
        <v>North</v>
      </c>
      <c r="G396">
        <v>1004</v>
      </c>
      <c r="H396" t="str">
        <f>_xlfn.XLOOKUP(tblOrders[[#This Row],[ProductID]],tblProducts[ProductID],tblProducts[ProductName],"not found")</f>
        <v>Month</v>
      </c>
      <c r="I396" t="str">
        <f>_xlfn.XLOOKUP(tblOrders[[#This Row],[ProductID]],tblProducts[ProductID],tblProducts[Category],"not found")</f>
        <v>Beauty</v>
      </c>
      <c r="J396">
        <f>_xlfn.XLOOKUP(tblOrders[[#This Row],[ProductID]],tblProducts[ProductID],tblProducts[UnitPrice],"not found")</f>
        <v>75.319999999999993</v>
      </c>
      <c r="K396" t="str">
        <f>_xlfn.XLOOKUP(tblOrders[[#This Row],[ProductID]],tblProducts[ProductID],tblProducts[Supplier],"not found")</f>
        <v>Williams-Stephens</v>
      </c>
      <c r="L396" s="1" t="s">
        <v>2194</v>
      </c>
      <c r="M3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45531</v>
      </c>
      <c r="N396">
        <v>3</v>
      </c>
      <c r="O396">
        <v>225.96</v>
      </c>
      <c r="P396">
        <f>tblOrders[[#This Row],[Quantity]]*tblOrders[[#This Row],[Unit Price]]</f>
        <v>225.95999999999998</v>
      </c>
      <c r="Q396">
        <f>tblOrders[[#This Row],[TotalSales]]-tblOrders[[#This Row],[Calculated Sales]]</f>
        <v>0</v>
      </c>
    </row>
    <row r="397" spans="1:17" x14ac:dyDescent="0.25">
      <c r="A397">
        <v>418</v>
      </c>
      <c r="B397">
        <v>377</v>
      </c>
      <c r="C397" t="str">
        <f>_xlfn.XLOOKUP(tblOrders[[#This Row],[CustomerID]],tblCustomers[CustomerID],tblCustomers[CustomerName],"not found")</f>
        <v>Dr. Colton Schneider DDS</v>
      </c>
      <c r="D397">
        <f>_xlfn.XLOOKUP(tblOrders[[#This Row],[CustomerID]],tblCustomers[CustomerID],tblCustomers[Age],"not found")</f>
        <v>66</v>
      </c>
      <c r="E397" t="str">
        <f>_xlfn.XLOOKUP(tblOrders[[#This Row],[CustomerID]],tblCustomers[CustomerID],tblCustomers[Gender],"not found")</f>
        <v>Female</v>
      </c>
      <c r="F397" t="str">
        <f>_xlfn.XLOOKUP(tblOrders[[#This Row],[CustomerID]],tblCustomers[CustomerID],tblCustomers[Region],"not found")</f>
        <v>North</v>
      </c>
      <c r="G397">
        <v>1004</v>
      </c>
      <c r="H397" t="str">
        <f>_xlfn.XLOOKUP(tblOrders[[#This Row],[ProductID]],tblProducts[ProductID],tblProducts[ProductName],"not found")</f>
        <v>Month</v>
      </c>
      <c r="I397" t="str">
        <f>_xlfn.XLOOKUP(tblOrders[[#This Row],[ProductID]],tblProducts[ProductID],tblProducts[Category],"not found")</f>
        <v>Beauty</v>
      </c>
      <c r="J397">
        <f>_xlfn.XLOOKUP(tblOrders[[#This Row],[ProductID]],tblProducts[ProductID],tblProducts[UnitPrice],"not found")</f>
        <v>75.319999999999993</v>
      </c>
      <c r="K397" t="str">
        <f>_xlfn.XLOOKUP(tblOrders[[#This Row],[ProductID]],tblProducts[ProductID],tblProducts[Supplier],"not found")</f>
        <v>Williams-Stephens</v>
      </c>
      <c r="L397" s="1" t="s">
        <v>2195</v>
      </c>
      <c r="M3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45401</v>
      </c>
      <c r="N397">
        <v>2</v>
      </c>
      <c r="O397">
        <v>150.63999999999999</v>
      </c>
      <c r="P397">
        <f>tblOrders[[#This Row],[Quantity]]*tblOrders[[#This Row],[Unit Price]]</f>
        <v>150.63999999999999</v>
      </c>
      <c r="Q397">
        <f>tblOrders[[#This Row],[TotalSales]]-tblOrders[[#This Row],[Calculated Sales]]</f>
        <v>0</v>
      </c>
    </row>
    <row r="398" spans="1:17" x14ac:dyDescent="0.25">
      <c r="A398">
        <v>425</v>
      </c>
      <c r="B398">
        <v>731</v>
      </c>
      <c r="C398" t="str">
        <f>_xlfn.XLOOKUP(tblOrders[[#This Row],[CustomerID]],tblCustomers[CustomerID],tblCustomers[CustomerName],"not found")</f>
        <v>Kelly Roberts</v>
      </c>
      <c r="D398">
        <f>_xlfn.XLOOKUP(tblOrders[[#This Row],[CustomerID]],tblCustomers[CustomerID],tblCustomers[Age],"not found")</f>
        <v>29</v>
      </c>
      <c r="E398" t="str">
        <f>_xlfn.XLOOKUP(tblOrders[[#This Row],[CustomerID]],tblCustomers[CustomerID],tblCustomers[Gender],"not found")</f>
        <v>Female</v>
      </c>
      <c r="F398" t="str">
        <f>_xlfn.XLOOKUP(tblOrders[[#This Row],[CustomerID]],tblCustomers[CustomerID],tblCustomers[Region],"not found")</f>
        <v>East</v>
      </c>
      <c r="G398">
        <v>1004</v>
      </c>
      <c r="H398" t="str">
        <f>_xlfn.XLOOKUP(tblOrders[[#This Row],[ProductID]],tblProducts[ProductID],tblProducts[ProductName],"not found")</f>
        <v>Month</v>
      </c>
      <c r="I398" t="str">
        <f>_xlfn.XLOOKUP(tblOrders[[#This Row],[ProductID]],tblProducts[ProductID],tblProducts[Category],"not found")</f>
        <v>Beauty</v>
      </c>
      <c r="J398">
        <f>_xlfn.XLOOKUP(tblOrders[[#This Row],[ProductID]],tblProducts[ProductID],tblProducts[UnitPrice],"not found")</f>
        <v>75.319999999999993</v>
      </c>
      <c r="K398" t="str">
        <f>_xlfn.XLOOKUP(tblOrders[[#This Row],[ProductID]],tblProducts[ProductID],tblProducts[Supplier],"not found")</f>
        <v>Williams-Stephens</v>
      </c>
      <c r="L398" s="1" t="s">
        <v>2196</v>
      </c>
      <c r="M3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45252</v>
      </c>
      <c r="N398">
        <v>6</v>
      </c>
      <c r="O398">
        <v>451.92</v>
      </c>
      <c r="P398">
        <f>tblOrders[[#This Row],[Quantity]]*tblOrders[[#This Row],[Unit Price]]</f>
        <v>451.91999999999996</v>
      </c>
      <c r="Q398">
        <f>tblOrders[[#This Row],[TotalSales]]-tblOrders[[#This Row],[Calculated Sales]]</f>
        <v>0</v>
      </c>
    </row>
    <row r="399" spans="1:17" x14ac:dyDescent="0.25">
      <c r="A399">
        <v>431</v>
      </c>
      <c r="B399">
        <v>287</v>
      </c>
      <c r="C399" t="str">
        <f>_xlfn.XLOOKUP(tblOrders[[#This Row],[CustomerID]],tblCustomers[CustomerID],tblCustomers[CustomerName],"not found")</f>
        <v>Steven Allen</v>
      </c>
      <c r="D399">
        <f>_xlfn.XLOOKUP(tblOrders[[#This Row],[CustomerID]],tblCustomers[CustomerID],tblCustomers[Age],"not found")</f>
        <v>53</v>
      </c>
      <c r="E399" t="str">
        <f>_xlfn.XLOOKUP(tblOrders[[#This Row],[CustomerID]],tblCustomers[CustomerID],tblCustomers[Gender],"not found")</f>
        <v>Male</v>
      </c>
      <c r="F399" t="str">
        <f>_xlfn.XLOOKUP(tblOrders[[#This Row],[CustomerID]],tblCustomers[CustomerID],tblCustomers[Region],"not found")</f>
        <v>West</v>
      </c>
      <c r="G399">
        <v>1004</v>
      </c>
      <c r="H399" t="str">
        <f>_xlfn.XLOOKUP(tblOrders[[#This Row],[ProductID]],tblProducts[ProductID],tblProducts[ProductName],"not found")</f>
        <v>Month</v>
      </c>
      <c r="I399" t="str">
        <f>_xlfn.XLOOKUP(tblOrders[[#This Row],[ProductID]],tblProducts[ProductID],tblProducts[Category],"not found")</f>
        <v>Beauty</v>
      </c>
      <c r="J399">
        <f>_xlfn.XLOOKUP(tblOrders[[#This Row],[ProductID]],tblProducts[ProductID],tblProducts[UnitPrice],"not found")</f>
        <v>75.319999999999993</v>
      </c>
      <c r="K399" t="str">
        <f>_xlfn.XLOOKUP(tblOrders[[#This Row],[ProductID]],tblProducts[ProductID],tblProducts[Supplier],"not found")</f>
        <v>Williams-Stephens</v>
      </c>
      <c r="L399" s="1">
        <v>45357</v>
      </c>
      <c r="M3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45357</v>
      </c>
      <c r="N399">
        <v>3</v>
      </c>
      <c r="O399">
        <v>225.96</v>
      </c>
      <c r="P399">
        <f>tblOrders[[#This Row],[Quantity]]*tblOrders[[#This Row],[Unit Price]]</f>
        <v>225.95999999999998</v>
      </c>
      <c r="Q399">
        <f>tblOrders[[#This Row],[TotalSales]]-tblOrders[[#This Row],[Calculated Sales]]</f>
        <v>0</v>
      </c>
    </row>
    <row r="400" spans="1:17" x14ac:dyDescent="0.25">
      <c r="A400">
        <v>727</v>
      </c>
      <c r="B400">
        <v>181</v>
      </c>
      <c r="C400" t="str">
        <f>_xlfn.XLOOKUP(tblOrders[[#This Row],[CustomerID]],tblCustomers[CustomerID],tblCustomers[CustomerName],"not found")</f>
        <v>Robert Mason</v>
      </c>
      <c r="D400">
        <f>_xlfn.XLOOKUP(tblOrders[[#This Row],[CustomerID]],tblCustomers[CustomerID],tblCustomers[Age],"not found")</f>
        <v>22</v>
      </c>
      <c r="E400" t="str">
        <f>_xlfn.XLOOKUP(tblOrders[[#This Row],[CustomerID]],tblCustomers[CustomerID],tblCustomers[Gender],"not found")</f>
        <v>Male</v>
      </c>
      <c r="F400" t="str">
        <f>_xlfn.XLOOKUP(tblOrders[[#This Row],[CustomerID]],tblCustomers[CustomerID],tblCustomers[Region],"not found")</f>
        <v>East</v>
      </c>
      <c r="G400">
        <v>1004</v>
      </c>
      <c r="H400" t="str">
        <f>_xlfn.XLOOKUP(tblOrders[[#This Row],[ProductID]],tblProducts[ProductID],tblProducts[ProductName],"not found")</f>
        <v>Month</v>
      </c>
      <c r="I400" t="str">
        <f>_xlfn.XLOOKUP(tblOrders[[#This Row],[ProductID]],tblProducts[ProductID],tblProducts[Category],"not found")</f>
        <v>Beauty</v>
      </c>
      <c r="J400">
        <f>_xlfn.XLOOKUP(tblOrders[[#This Row],[ProductID]],tblProducts[ProductID],tblProducts[UnitPrice],"not found")</f>
        <v>75.319999999999993</v>
      </c>
      <c r="K400" t="str">
        <f>_xlfn.XLOOKUP(tblOrders[[#This Row],[ProductID]],tblProducts[ProductID],tblProducts[Supplier],"not found")</f>
        <v>Williams-Stephens</v>
      </c>
      <c r="L400" s="1">
        <v>45117</v>
      </c>
      <c r="M4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45117</v>
      </c>
      <c r="N400">
        <v>2</v>
      </c>
      <c r="O400">
        <v>150.63999999999999</v>
      </c>
      <c r="P400">
        <f>tblOrders[[#This Row],[Quantity]]*tblOrders[[#This Row],[Unit Price]]</f>
        <v>150.63999999999999</v>
      </c>
      <c r="Q400">
        <f>tblOrders[[#This Row],[TotalSales]]-tblOrders[[#This Row],[Calculated Sales]]</f>
        <v>0</v>
      </c>
    </row>
    <row r="401" spans="1:17" x14ac:dyDescent="0.25">
      <c r="A401">
        <v>826</v>
      </c>
      <c r="B401">
        <v>371</v>
      </c>
      <c r="C401" t="str">
        <f>_xlfn.XLOOKUP(tblOrders[[#This Row],[CustomerID]],tblCustomers[CustomerID],tblCustomers[CustomerName],"not found")</f>
        <v>Jennifer Cole</v>
      </c>
      <c r="D401">
        <f>_xlfn.XLOOKUP(tblOrders[[#This Row],[CustomerID]],tblCustomers[CustomerID],tblCustomers[Age],"not found")</f>
        <v>49</v>
      </c>
      <c r="E401" t="str">
        <f>_xlfn.XLOOKUP(tblOrders[[#This Row],[CustomerID]],tblCustomers[CustomerID],tblCustomers[Gender],"not found")</f>
        <v>Male</v>
      </c>
      <c r="F401" t="str">
        <f>_xlfn.XLOOKUP(tblOrders[[#This Row],[CustomerID]],tblCustomers[CustomerID],tblCustomers[Region],"not found")</f>
        <v>North</v>
      </c>
      <c r="G401">
        <v>1004</v>
      </c>
      <c r="H401" t="str">
        <f>_xlfn.XLOOKUP(tblOrders[[#This Row],[ProductID]],tblProducts[ProductID],tblProducts[ProductName],"not found")</f>
        <v>Month</v>
      </c>
      <c r="I401" t="str">
        <f>_xlfn.XLOOKUP(tblOrders[[#This Row],[ProductID]],tblProducts[ProductID],tblProducts[Category],"not found")</f>
        <v>Beauty</v>
      </c>
      <c r="J401">
        <f>_xlfn.XLOOKUP(tblOrders[[#This Row],[ProductID]],tblProducts[ProductID],tblProducts[UnitPrice],"not found")</f>
        <v>75.319999999999993</v>
      </c>
      <c r="K401" t="str">
        <f>_xlfn.XLOOKUP(tblOrders[[#This Row],[ProductID]],tblProducts[ProductID],tblProducts[Supplier],"not found")</f>
        <v>Williams-Stephens</v>
      </c>
      <c r="L401" s="1">
        <v>45174</v>
      </c>
      <c r="M4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45174</v>
      </c>
      <c r="N401">
        <v>2</v>
      </c>
      <c r="O401">
        <v>150.63999999999999</v>
      </c>
      <c r="P401">
        <f>tblOrders[[#This Row],[Quantity]]*tblOrders[[#This Row],[Unit Price]]</f>
        <v>150.63999999999999</v>
      </c>
      <c r="Q401">
        <f>tblOrders[[#This Row],[TotalSales]]-tblOrders[[#This Row],[Calculated Sales]]</f>
        <v>0</v>
      </c>
    </row>
    <row r="402" spans="1:17" x14ac:dyDescent="0.25">
      <c r="A402">
        <v>875</v>
      </c>
      <c r="B402">
        <v>259</v>
      </c>
      <c r="C402" t="str">
        <f>_xlfn.XLOOKUP(tblOrders[[#This Row],[CustomerID]],tblCustomers[CustomerID],tblCustomers[CustomerName],"not found")</f>
        <v>Nicholas Nichols</v>
      </c>
      <c r="D402">
        <f>_xlfn.XLOOKUP(tblOrders[[#This Row],[CustomerID]],tblCustomers[CustomerID],tblCustomers[Age],"not found")</f>
        <v>67</v>
      </c>
      <c r="E402" t="str">
        <f>_xlfn.XLOOKUP(tblOrders[[#This Row],[CustomerID]],tblCustomers[CustomerID],tblCustomers[Gender],"not found")</f>
        <v>Female</v>
      </c>
      <c r="F402" t="str">
        <f>_xlfn.XLOOKUP(tblOrders[[#This Row],[CustomerID]],tblCustomers[CustomerID],tblCustomers[Region],"not found")</f>
        <v>South</v>
      </c>
      <c r="G402">
        <v>1004</v>
      </c>
      <c r="H402" t="str">
        <f>_xlfn.XLOOKUP(tblOrders[[#This Row],[ProductID]],tblProducts[ProductID],tblProducts[ProductName],"not found")</f>
        <v>Month</v>
      </c>
      <c r="I402" t="str">
        <f>_xlfn.XLOOKUP(tblOrders[[#This Row],[ProductID]],tblProducts[ProductID],tblProducts[Category],"not found")</f>
        <v>Beauty</v>
      </c>
      <c r="J402">
        <f>_xlfn.XLOOKUP(tblOrders[[#This Row],[ProductID]],tblProducts[ProductID],tblProducts[UnitPrice],"not found")</f>
        <v>75.319999999999993</v>
      </c>
      <c r="K402" t="str">
        <f>_xlfn.XLOOKUP(tblOrders[[#This Row],[ProductID]],tblProducts[ProductID],tblProducts[Supplier],"not found")</f>
        <v>Williams-Stephens</v>
      </c>
      <c r="L402" s="1" t="s">
        <v>2037</v>
      </c>
      <c r="M4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45184</v>
      </c>
      <c r="N402">
        <v>8</v>
      </c>
      <c r="O402">
        <v>602.55999999999995</v>
      </c>
      <c r="P402">
        <f>tblOrders[[#This Row],[Quantity]]*tblOrders[[#This Row],[Unit Price]]</f>
        <v>602.55999999999995</v>
      </c>
      <c r="Q402">
        <f>tblOrders[[#This Row],[TotalSales]]-tblOrders[[#This Row],[Calculated Sales]]</f>
        <v>0</v>
      </c>
    </row>
    <row r="403" spans="1:17" x14ac:dyDescent="0.25">
      <c r="A403">
        <v>949</v>
      </c>
      <c r="B403">
        <v>726</v>
      </c>
      <c r="C403" t="str">
        <f>_xlfn.XLOOKUP(tblOrders[[#This Row],[CustomerID]],tblCustomers[CustomerID],tblCustomers[CustomerName],"not found")</f>
        <v>Carly Jackson</v>
      </c>
      <c r="D403">
        <f>_xlfn.XLOOKUP(tblOrders[[#This Row],[CustomerID]],tblCustomers[CustomerID],tblCustomers[Age],"not found")</f>
        <v>51</v>
      </c>
      <c r="E403" t="str">
        <f>_xlfn.XLOOKUP(tblOrders[[#This Row],[CustomerID]],tblCustomers[CustomerID],tblCustomers[Gender],"not found")</f>
        <v>Female</v>
      </c>
      <c r="F403" t="str">
        <f>_xlfn.XLOOKUP(tblOrders[[#This Row],[CustomerID]],tblCustomers[CustomerID],tblCustomers[Region],"not found")</f>
        <v>South</v>
      </c>
      <c r="G403">
        <v>1004</v>
      </c>
      <c r="H403" t="str">
        <f>_xlfn.XLOOKUP(tblOrders[[#This Row],[ProductID]],tblProducts[ProductID],tblProducts[ProductName],"not found")</f>
        <v>Month</v>
      </c>
      <c r="I403" t="str">
        <f>_xlfn.XLOOKUP(tblOrders[[#This Row],[ProductID]],tblProducts[ProductID],tblProducts[Category],"not found")</f>
        <v>Beauty</v>
      </c>
      <c r="J403">
        <f>_xlfn.XLOOKUP(tblOrders[[#This Row],[ProductID]],tblProducts[ProductID],tblProducts[UnitPrice],"not found")</f>
        <v>75.319999999999993</v>
      </c>
      <c r="K403" t="str">
        <f>_xlfn.XLOOKUP(tblOrders[[#This Row],[ProductID]],tblProducts[ProductID],tblProducts[Supplier],"not found")</f>
        <v>Williams-Stephens</v>
      </c>
      <c r="L403" s="1" t="s">
        <v>2197</v>
      </c>
      <c r="M4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45277</v>
      </c>
      <c r="N403">
        <v>3</v>
      </c>
      <c r="O403">
        <v>225.96</v>
      </c>
      <c r="P403">
        <f>tblOrders[[#This Row],[Quantity]]*tblOrders[[#This Row],[Unit Price]]</f>
        <v>225.95999999999998</v>
      </c>
      <c r="Q403">
        <f>tblOrders[[#This Row],[TotalSales]]-tblOrders[[#This Row],[Calculated Sales]]</f>
        <v>0</v>
      </c>
    </row>
    <row r="404" spans="1:17" x14ac:dyDescent="0.25">
      <c r="A404">
        <v>994</v>
      </c>
      <c r="B404">
        <v>455</v>
      </c>
      <c r="C404" t="str">
        <f>_xlfn.XLOOKUP(tblOrders[[#This Row],[CustomerID]],tblCustomers[CustomerID],tblCustomers[CustomerName],"not found")</f>
        <v>Melvin Glover</v>
      </c>
      <c r="D404">
        <f>_xlfn.XLOOKUP(tblOrders[[#This Row],[CustomerID]],tblCustomers[CustomerID],tblCustomers[Age],"not found")</f>
        <v>31</v>
      </c>
      <c r="E404" t="str">
        <f>_xlfn.XLOOKUP(tblOrders[[#This Row],[CustomerID]],tblCustomers[CustomerID],tblCustomers[Gender],"not found")</f>
        <v>Male</v>
      </c>
      <c r="F404" t="str">
        <f>_xlfn.XLOOKUP(tblOrders[[#This Row],[CustomerID]],tblCustomers[CustomerID],tblCustomers[Region],"not found")</f>
        <v>Central</v>
      </c>
      <c r="G404">
        <v>1004</v>
      </c>
      <c r="H404" t="str">
        <f>_xlfn.XLOOKUP(tblOrders[[#This Row],[ProductID]],tblProducts[ProductID],tblProducts[ProductName],"not found")</f>
        <v>Month</v>
      </c>
      <c r="I404" t="str">
        <f>_xlfn.XLOOKUP(tblOrders[[#This Row],[ProductID]],tblProducts[ProductID],tblProducts[Category],"not found")</f>
        <v>Beauty</v>
      </c>
      <c r="J404">
        <f>_xlfn.XLOOKUP(tblOrders[[#This Row],[ProductID]],tblProducts[ProductID],tblProducts[UnitPrice],"not found")</f>
        <v>75.319999999999993</v>
      </c>
      <c r="K404" t="str">
        <f>_xlfn.XLOOKUP(tblOrders[[#This Row],[ProductID]],tblProducts[ProductID],tblProducts[Supplier],"not found")</f>
        <v>Williams-Stephens</v>
      </c>
      <c r="L404" s="1">
        <v>45209</v>
      </c>
      <c r="M4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45209</v>
      </c>
      <c r="N404">
        <v>9</v>
      </c>
      <c r="O404">
        <v>677.88</v>
      </c>
      <c r="P404">
        <f>tblOrders[[#This Row],[Quantity]]*tblOrders[[#This Row],[Unit Price]]</f>
        <v>677.87999999999988</v>
      </c>
      <c r="Q404">
        <f>tblOrders[[#This Row],[TotalSales]]-tblOrders[[#This Row],[Calculated Sales]]</f>
        <v>0</v>
      </c>
    </row>
    <row r="405" spans="1:17" x14ac:dyDescent="0.25">
      <c r="A405">
        <v>1125</v>
      </c>
      <c r="B405">
        <v>601</v>
      </c>
      <c r="C405" t="str">
        <f>_xlfn.XLOOKUP(tblOrders[[#This Row],[CustomerID]],tblCustomers[CustomerID],tblCustomers[CustomerName],"not found")</f>
        <v>Jenna Lane</v>
      </c>
      <c r="D405">
        <f>_xlfn.XLOOKUP(tblOrders[[#This Row],[CustomerID]],tblCustomers[CustomerID],tblCustomers[Age],"not found")</f>
        <v>21</v>
      </c>
      <c r="E405" t="str">
        <f>_xlfn.XLOOKUP(tblOrders[[#This Row],[CustomerID]],tblCustomers[CustomerID],tblCustomers[Gender],"not found")</f>
        <v>Female</v>
      </c>
      <c r="F405" t="str">
        <f>_xlfn.XLOOKUP(tblOrders[[#This Row],[CustomerID]],tblCustomers[CustomerID],tblCustomers[Region],"not found")</f>
        <v>East</v>
      </c>
      <c r="G405">
        <v>1004</v>
      </c>
      <c r="H405" t="str">
        <f>_xlfn.XLOOKUP(tblOrders[[#This Row],[ProductID]],tblProducts[ProductID],tblProducts[ProductName],"not found")</f>
        <v>Month</v>
      </c>
      <c r="I405" t="str">
        <f>_xlfn.XLOOKUP(tblOrders[[#This Row],[ProductID]],tblProducts[ProductID],tblProducts[Category],"not found")</f>
        <v>Beauty</v>
      </c>
      <c r="J405">
        <f>_xlfn.XLOOKUP(tblOrders[[#This Row],[ProductID]],tblProducts[ProductID],tblProducts[UnitPrice],"not found")</f>
        <v>75.319999999999993</v>
      </c>
      <c r="K405" t="str">
        <f>_xlfn.XLOOKUP(tblOrders[[#This Row],[ProductID]],tblProducts[ProductID],tblProducts[Supplier],"not found")</f>
        <v>Williams-Stephens</v>
      </c>
      <c r="L405" s="1" t="s">
        <v>2198</v>
      </c>
      <c r="M4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45430</v>
      </c>
      <c r="N405">
        <v>4</v>
      </c>
      <c r="O405">
        <v>301.27999999999997</v>
      </c>
      <c r="P405">
        <f>tblOrders[[#This Row],[Quantity]]*tblOrders[[#This Row],[Unit Price]]</f>
        <v>301.27999999999997</v>
      </c>
      <c r="Q405">
        <f>tblOrders[[#This Row],[TotalSales]]-tblOrders[[#This Row],[Calculated Sales]]</f>
        <v>0</v>
      </c>
    </row>
    <row r="406" spans="1:17" x14ac:dyDescent="0.25">
      <c r="A406">
        <v>1161</v>
      </c>
      <c r="B406">
        <v>177</v>
      </c>
      <c r="C406" t="str">
        <f>_xlfn.XLOOKUP(tblOrders[[#This Row],[CustomerID]],tblCustomers[CustomerID],tblCustomers[CustomerName],"not found")</f>
        <v>Cassandra Wright</v>
      </c>
      <c r="D406">
        <f>_xlfn.XLOOKUP(tblOrders[[#This Row],[CustomerID]],tblCustomers[CustomerID],tblCustomers[Age],"not found")</f>
        <v>45</v>
      </c>
      <c r="E406" t="str">
        <f>_xlfn.XLOOKUP(tblOrders[[#This Row],[CustomerID]],tblCustomers[CustomerID],tblCustomers[Gender],"not found")</f>
        <v>Male</v>
      </c>
      <c r="F406" t="str">
        <f>_xlfn.XLOOKUP(tblOrders[[#This Row],[CustomerID]],tblCustomers[CustomerID],tblCustomers[Region],"not found")</f>
        <v>East</v>
      </c>
      <c r="G406">
        <v>1004</v>
      </c>
      <c r="H406" t="str">
        <f>_xlfn.XLOOKUP(tblOrders[[#This Row],[ProductID]],tblProducts[ProductID],tblProducts[ProductName],"not found")</f>
        <v>Month</v>
      </c>
      <c r="I406" t="str">
        <f>_xlfn.XLOOKUP(tblOrders[[#This Row],[ProductID]],tblProducts[ProductID],tblProducts[Category],"not found")</f>
        <v>Beauty</v>
      </c>
      <c r="J406">
        <f>_xlfn.XLOOKUP(tblOrders[[#This Row],[ProductID]],tblProducts[ProductID],tblProducts[UnitPrice],"not found")</f>
        <v>75.319999999999993</v>
      </c>
      <c r="K406" t="str">
        <f>_xlfn.XLOOKUP(tblOrders[[#This Row],[ProductID]],tblProducts[ProductID],tblProducts[Supplier],"not found")</f>
        <v>Williams-Stephens</v>
      </c>
      <c r="L406" s="1" t="s">
        <v>2199</v>
      </c>
      <c r="M4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44973</v>
      </c>
      <c r="N406">
        <v>9</v>
      </c>
      <c r="O406">
        <v>677.88</v>
      </c>
      <c r="P406">
        <f>tblOrders[[#This Row],[Quantity]]*tblOrders[[#This Row],[Unit Price]]</f>
        <v>677.87999999999988</v>
      </c>
      <c r="Q406">
        <f>tblOrders[[#This Row],[TotalSales]]-tblOrders[[#This Row],[Calculated Sales]]</f>
        <v>0</v>
      </c>
    </row>
    <row r="407" spans="1:17" x14ac:dyDescent="0.25">
      <c r="A407">
        <v>1455</v>
      </c>
      <c r="B407">
        <v>518</v>
      </c>
      <c r="C407" t="str">
        <f>_xlfn.XLOOKUP(tblOrders[[#This Row],[CustomerID]],tblCustomers[CustomerID],tblCustomers[CustomerName],"not found")</f>
        <v>Crystal Moon</v>
      </c>
      <c r="D407">
        <f>_xlfn.XLOOKUP(tblOrders[[#This Row],[CustomerID]],tblCustomers[CustomerID],tblCustomers[Age],"not found")</f>
        <v>30</v>
      </c>
      <c r="E407" t="str">
        <f>_xlfn.XLOOKUP(tblOrders[[#This Row],[CustomerID]],tblCustomers[CustomerID],tblCustomers[Gender],"not found")</f>
        <v>Male</v>
      </c>
      <c r="F407" t="str">
        <f>_xlfn.XLOOKUP(tblOrders[[#This Row],[CustomerID]],tblCustomers[CustomerID],tblCustomers[Region],"not found")</f>
        <v>East</v>
      </c>
      <c r="G407">
        <v>1004</v>
      </c>
      <c r="H407" t="str">
        <f>_xlfn.XLOOKUP(tblOrders[[#This Row],[ProductID]],tblProducts[ProductID],tblProducts[ProductName],"not found")</f>
        <v>Month</v>
      </c>
      <c r="I407" t="str">
        <f>_xlfn.XLOOKUP(tblOrders[[#This Row],[ProductID]],tblProducts[ProductID],tblProducts[Category],"not found")</f>
        <v>Beauty</v>
      </c>
      <c r="J407">
        <f>_xlfn.XLOOKUP(tblOrders[[#This Row],[ProductID]],tblProducts[ProductID],tblProducts[UnitPrice],"not found")</f>
        <v>75.319999999999993</v>
      </c>
      <c r="K407" t="str">
        <f>_xlfn.XLOOKUP(tblOrders[[#This Row],[ProductID]],tblProducts[ProductID],tblProducts[Supplier],"not found")</f>
        <v>Williams-Stephens</v>
      </c>
      <c r="L407" s="1">
        <v>45568</v>
      </c>
      <c r="M4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45568</v>
      </c>
      <c r="N407">
        <v>3</v>
      </c>
      <c r="O407">
        <v>225.96</v>
      </c>
      <c r="P407">
        <f>tblOrders[[#This Row],[Quantity]]*tblOrders[[#This Row],[Unit Price]]</f>
        <v>225.95999999999998</v>
      </c>
      <c r="Q407">
        <f>tblOrders[[#This Row],[TotalSales]]-tblOrders[[#This Row],[Calculated Sales]]</f>
        <v>0</v>
      </c>
    </row>
    <row r="408" spans="1:17" x14ac:dyDescent="0.25">
      <c r="A408">
        <v>1578</v>
      </c>
      <c r="B408">
        <v>948</v>
      </c>
      <c r="C408" t="str">
        <f>_xlfn.XLOOKUP(tblOrders[[#This Row],[CustomerID]],tblCustomers[CustomerID],tblCustomers[CustomerName],"not found")</f>
        <v>Ernest Young</v>
      </c>
      <c r="D408">
        <f>_xlfn.XLOOKUP(tblOrders[[#This Row],[CustomerID]],tblCustomers[CustomerID],tblCustomers[Age],"not found")</f>
        <v>59</v>
      </c>
      <c r="E408" t="str">
        <f>_xlfn.XLOOKUP(tblOrders[[#This Row],[CustomerID]],tblCustomers[CustomerID],tblCustomers[Gender],"not found")</f>
        <v>Female</v>
      </c>
      <c r="F408" t="str">
        <f>_xlfn.XLOOKUP(tblOrders[[#This Row],[CustomerID]],tblCustomers[CustomerID],tblCustomers[Region],"not found")</f>
        <v>North</v>
      </c>
      <c r="G408">
        <v>1004</v>
      </c>
      <c r="H408" t="str">
        <f>_xlfn.XLOOKUP(tblOrders[[#This Row],[ProductID]],tblProducts[ProductID],tblProducts[ProductName],"not found")</f>
        <v>Month</v>
      </c>
      <c r="I408" t="str">
        <f>_xlfn.XLOOKUP(tblOrders[[#This Row],[ProductID]],tblProducts[ProductID],tblProducts[Category],"not found")</f>
        <v>Beauty</v>
      </c>
      <c r="J408">
        <f>_xlfn.XLOOKUP(tblOrders[[#This Row],[ProductID]],tblProducts[ProductID],tblProducts[UnitPrice],"not found")</f>
        <v>75.319999999999993</v>
      </c>
      <c r="K408" t="str">
        <f>_xlfn.XLOOKUP(tblOrders[[#This Row],[ProductID]],tblProducts[ProductID],tblProducts[Supplier],"not found")</f>
        <v>Williams-Stephens</v>
      </c>
      <c r="L408" s="1" t="s">
        <v>2158</v>
      </c>
      <c r="M4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45462</v>
      </c>
      <c r="N408">
        <v>9</v>
      </c>
      <c r="O408">
        <v>677.88</v>
      </c>
      <c r="P408">
        <f>tblOrders[[#This Row],[Quantity]]*tblOrders[[#This Row],[Unit Price]]</f>
        <v>677.87999999999988</v>
      </c>
      <c r="Q408">
        <f>tblOrders[[#This Row],[TotalSales]]-tblOrders[[#This Row],[Calculated Sales]]</f>
        <v>0</v>
      </c>
    </row>
    <row r="409" spans="1:17" x14ac:dyDescent="0.25">
      <c r="A409">
        <v>1629</v>
      </c>
      <c r="B409">
        <v>896</v>
      </c>
      <c r="C409" t="str">
        <f>_xlfn.XLOOKUP(tblOrders[[#This Row],[CustomerID]],tblCustomers[CustomerID],tblCustomers[CustomerName],"not found")</f>
        <v>Barbara Hall</v>
      </c>
      <c r="D409">
        <f>_xlfn.XLOOKUP(tblOrders[[#This Row],[CustomerID]],tblCustomers[CustomerID],tblCustomers[Age],"not found")</f>
        <v>60</v>
      </c>
      <c r="E409" t="str">
        <f>_xlfn.XLOOKUP(tblOrders[[#This Row],[CustomerID]],tblCustomers[CustomerID],tblCustomers[Gender],"not found")</f>
        <v>Male</v>
      </c>
      <c r="F409" t="str">
        <f>_xlfn.XLOOKUP(tblOrders[[#This Row],[CustomerID]],tblCustomers[CustomerID],tblCustomers[Region],"not found")</f>
        <v>West</v>
      </c>
      <c r="G409">
        <v>1004</v>
      </c>
      <c r="H409" t="str">
        <f>_xlfn.XLOOKUP(tblOrders[[#This Row],[ProductID]],tblProducts[ProductID],tblProducts[ProductName],"not found")</f>
        <v>Month</v>
      </c>
      <c r="I409" t="str">
        <f>_xlfn.XLOOKUP(tblOrders[[#This Row],[ProductID]],tblProducts[ProductID],tblProducts[Category],"not found")</f>
        <v>Beauty</v>
      </c>
      <c r="J409">
        <f>_xlfn.XLOOKUP(tblOrders[[#This Row],[ProductID]],tblProducts[ProductID],tblProducts[UnitPrice],"not found")</f>
        <v>75.319999999999993</v>
      </c>
      <c r="K409" t="str">
        <f>_xlfn.XLOOKUP(tblOrders[[#This Row],[ProductID]],tblProducts[ProductID],tblProducts[Supplier],"not found")</f>
        <v>Williams-Stephens</v>
      </c>
      <c r="L409" s="1" t="s">
        <v>2200</v>
      </c>
      <c r="M4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45185</v>
      </c>
      <c r="N409">
        <v>5</v>
      </c>
      <c r="O409">
        <v>376.6</v>
      </c>
      <c r="P409">
        <f>tblOrders[[#This Row],[Quantity]]*tblOrders[[#This Row],[Unit Price]]</f>
        <v>376.59999999999997</v>
      </c>
      <c r="Q409">
        <f>tblOrders[[#This Row],[TotalSales]]-tblOrders[[#This Row],[Calculated Sales]]</f>
        <v>0</v>
      </c>
    </row>
    <row r="410" spans="1:17" x14ac:dyDescent="0.25">
      <c r="A410">
        <v>1683</v>
      </c>
      <c r="B410">
        <v>18</v>
      </c>
      <c r="C410" t="str">
        <f>_xlfn.XLOOKUP(tblOrders[[#This Row],[CustomerID]],tblCustomers[CustomerID],tblCustomers[CustomerName],"not found")</f>
        <v>Mr. Jeffrey Griffin PhD</v>
      </c>
      <c r="D410">
        <f>_xlfn.XLOOKUP(tblOrders[[#This Row],[CustomerID]],tblCustomers[CustomerID],tblCustomers[Age],"not found")</f>
        <v>25</v>
      </c>
      <c r="E410" t="str">
        <f>_xlfn.XLOOKUP(tblOrders[[#This Row],[CustomerID]],tblCustomers[CustomerID],tblCustomers[Gender],"not found")</f>
        <v>Male</v>
      </c>
      <c r="F410" t="str">
        <f>_xlfn.XLOOKUP(tblOrders[[#This Row],[CustomerID]],tblCustomers[CustomerID],tblCustomers[Region],"not found")</f>
        <v>West</v>
      </c>
      <c r="G410">
        <v>1004</v>
      </c>
      <c r="H410" t="str">
        <f>_xlfn.XLOOKUP(tblOrders[[#This Row],[ProductID]],tblProducts[ProductID],tblProducts[ProductName],"not found")</f>
        <v>Month</v>
      </c>
      <c r="I410" t="str">
        <f>_xlfn.XLOOKUP(tblOrders[[#This Row],[ProductID]],tblProducts[ProductID],tblProducts[Category],"not found")</f>
        <v>Beauty</v>
      </c>
      <c r="J410">
        <f>_xlfn.XLOOKUP(tblOrders[[#This Row],[ProductID]],tblProducts[ProductID],tblProducts[UnitPrice],"not found")</f>
        <v>75.319999999999993</v>
      </c>
      <c r="K410" t="str">
        <f>_xlfn.XLOOKUP(tblOrders[[#This Row],[ProductID]],tblProducts[ProductID],tblProducts[Supplier],"not found")</f>
        <v>Williams-Stephens</v>
      </c>
      <c r="L410" s="1">
        <v>45080</v>
      </c>
      <c r="M4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45080</v>
      </c>
      <c r="N410">
        <v>2</v>
      </c>
      <c r="O410">
        <v>150.63999999999999</v>
      </c>
      <c r="P410">
        <f>tblOrders[[#This Row],[Quantity]]*tblOrders[[#This Row],[Unit Price]]</f>
        <v>150.63999999999999</v>
      </c>
      <c r="Q410">
        <f>tblOrders[[#This Row],[TotalSales]]-tblOrders[[#This Row],[Calculated Sales]]</f>
        <v>0</v>
      </c>
    </row>
    <row r="411" spans="1:17" x14ac:dyDescent="0.25">
      <c r="A411">
        <v>1979</v>
      </c>
      <c r="B411">
        <v>630</v>
      </c>
      <c r="C411" t="str">
        <f>_xlfn.XLOOKUP(tblOrders[[#This Row],[CustomerID]],tblCustomers[CustomerID],tblCustomers[CustomerName],"not found")</f>
        <v>Mark Schneider</v>
      </c>
      <c r="D411">
        <f>_xlfn.XLOOKUP(tblOrders[[#This Row],[CustomerID]],tblCustomers[CustomerID],tblCustomers[Age],"not found")</f>
        <v>39</v>
      </c>
      <c r="E411" t="str">
        <f>_xlfn.XLOOKUP(tblOrders[[#This Row],[CustomerID]],tblCustomers[CustomerID],tblCustomers[Gender],"not found")</f>
        <v>Female</v>
      </c>
      <c r="F411" t="str">
        <f>_xlfn.XLOOKUP(tblOrders[[#This Row],[CustomerID]],tblCustomers[CustomerID],tblCustomers[Region],"not found")</f>
        <v>West</v>
      </c>
      <c r="G411">
        <v>1004</v>
      </c>
      <c r="H411" t="str">
        <f>_xlfn.XLOOKUP(tblOrders[[#This Row],[ProductID]],tblProducts[ProductID],tblProducts[ProductName],"not found")</f>
        <v>Month</v>
      </c>
      <c r="I411" t="str">
        <f>_xlfn.XLOOKUP(tblOrders[[#This Row],[ProductID]],tblProducts[ProductID],tblProducts[Category],"not found")</f>
        <v>Beauty</v>
      </c>
      <c r="J411">
        <f>_xlfn.XLOOKUP(tblOrders[[#This Row],[ProductID]],tblProducts[ProductID],tblProducts[UnitPrice],"not found")</f>
        <v>75.319999999999993</v>
      </c>
      <c r="K411" t="str">
        <f>_xlfn.XLOOKUP(tblOrders[[#This Row],[ProductID]],tblProducts[ProductID],tblProducts[Supplier],"not found")</f>
        <v>Williams-Stephens</v>
      </c>
      <c r="L411" s="1" t="s">
        <v>2201</v>
      </c>
      <c r="M4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44892</v>
      </c>
      <c r="N411">
        <v>4</v>
      </c>
      <c r="O411">
        <v>301.27999999999997</v>
      </c>
      <c r="P411">
        <f>tblOrders[[#This Row],[Quantity]]*tblOrders[[#This Row],[Unit Price]]</f>
        <v>301.27999999999997</v>
      </c>
      <c r="Q411">
        <f>tblOrders[[#This Row],[TotalSales]]-tblOrders[[#This Row],[Calculated Sales]]</f>
        <v>0</v>
      </c>
    </row>
    <row r="412" spans="1:17" x14ac:dyDescent="0.25">
      <c r="A412">
        <v>21</v>
      </c>
      <c r="B412">
        <v>821</v>
      </c>
      <c r="C412" t="str">
        <f>_xlfn.XLOOKUP(tblOrders[[#This Row],[CustomerID]],tblCustomers[CustomerID],tblCustomers[CustomerName],"not found")</f>
        <v>Ebony Mendez</v>
      </c>
      <c r="D412">
        <f>_xlfn.XLOOKUP(tblOrders[[#This Row],[CustomerID]],tblCustomers[CustomerID],tblCustomers[Age],"not found")</f>
        <v>59</v>
      </c>
      <c r="E412" t="str">
        <f>_xlfn.XLOOKUP(tblOrders[[#This Row],[CustomerID]],tblCustomers[CustomerID],tblCustomers[Gender],"not found")</f>
        <v>Male</v>
      </c>
      <c r="F412" t="str">
        <f>_xlfn.XLOOKUP(tblOrders[[#This Row],[CustomerID]],tblCustomers[CustomerID],tblCustomers[Region],"not found")</f>
        <v>Central</v>
      </c>
      <c r="G412">
        <v>1064</v>
      </c>
      <c r="H412" t="str">
        <f>_xlfn.XLOOKUP(tblOrders[[#This Row],[ProductID]],tblProducts[ProductID],tblProducts[ProductName],"not found")</f>
        <v>Almost</v>
      </c>
      <c r="I412" t="str">
        <f>_xlfn.XLOOKUP(tblOrders[[#This Row],[ProductID]],tblProducts[ProductID],tblProducts[Category],"not found")</f>
        <v>Furniture</v>
      </c>
      <c r="J412">
        <f>_xlfn.XLOOKUP(tblOrders[[#This Row],[ProductID]],tblProducts[ProductID],tblProducts[UnitPrice],"not found")</f>
        <v>411.31</v>
      </c>
      <c r="K412" t="str">
        <f>_xlfn.XLOOKUP(tblOrders[[#This Row],[ProductID]],tblProducts[ProductID],tblProducts[Supplier],"not found")</f>
        <v>Harrison, Carroll and Maldonado</v>
      </c>
      <c r="L412" s="1" t="s">
        <v>2202</v>
      </c>
      <c r="M4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45157</v>
      </c>
      <c r="N412">
        <v>7</v>
      </c>
      <c r="O412">
        <v>2879.17</v>
      </c>
      <c r="P412">
        <f>tblOrders[[#This Row],[Quantity]]*tblOrders[[#This Row],[Unit Price]]</f>
        <v>2879.17</v>
      </c>
      <c r="Q412">
        <f>tblOrders[[#This Row],[TotalSales]]-tblOrders[[#This Row],[Calculated Sales]]</f>
        <v>0</v>
      </c>
    </row>
    <row r="413" spans="1:17" x14ac:dyDescent="0.25">
      <c r="A413">
        <v>115</v>
      </c>
      <c r="B413">
        <v>648</v>
      </c>
      <c r="C413" t="str">
        <f>_xlfn.XLOOKUP(tblOrders[[#This Row],[CustomerID]],tblCustomers[CustomerID],tblCustomers[CustomerName],"not found")</f>
        <v>William Whitaker</v>
      </c>
      <c r="D413">
        <f>_xlfn.XLOOKUP(tblOrders[[#This Row],[CustomerID]],tblCustomers[CustomerID],tblCustomers[Age],"not found")</f>
        <v>55</v>
      </c>
      <c r="E413" t="str">
        <f>_xlfn.XLOOKUP(tblOrders[[#This Row],[CustomerID]],tblCustomers[CustomerID],tblCustomers[Gender],"not found")</f>
        <v>Male</v>
      </c>
      <c r="F413" t="str">
        <f>_xlfn.XLOOKUP(tblOrders[[#This Row],[CustomerID]],tblCustomers[CustomerID],tblCustomers[Region],"not found")</f>
        <v>South</v>
      </c>
      <c r="G413">
        <v>1064</v>
      </c>
      <c r="H413" t="str">
        <f>_xlfn.XLOOKUP(tblOrders[[#This Row],[ProductID]],tblProducts[ProductID],tblProducts[ProductName],"not found")</f>
        <v>Almost</v>
      </c>
      <c r="I413" t="str">
        <f>_xlfn.XLOOKUP(tblOrders[[#This Row],[ProductID]],tblProducts[ProductID],tblProducts[Category],"not found")</f>
        <v>Furniture</v>
      </c>
      <c r="J413">
        <f>_xlfn.XLOOKUP(tblOrders[[#This Row],[ProductID]],tblProducts[ProductID],tblProducts[UnitPrice],"not found")</f>
        <v>411.31</v>
      </c>
      <c r="K413" t="str">
        <f>_xlfn.XLOOKUP(tblOrders[[#This Row],[ProductID]],tblProducts[ProductID],tblProducts[Supplier],"not found")</f>
        <v>Harrison, Carroll and Maldonado</v>
      </c>
      <c r="L413" s="1">
        <v>45200</v>
      </c>
      <c r="M4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45200</v>
      </c>
      <c r="N413">
        <v>4</v>
      </c>
      <c r="O413">
        <v>1645.24</v>
      </c>
      <c r="P413">
        <f>tblOrders[[#This Row],[Quantity]]*tblOrders[[#This Row],[Unit Price]]</f>
        <v>1645.24</v>
      </c>
      <c r="Q413">
        <f>tblOrders[[#This Row],[TotalSales]]-tblOrders[[#This Row],[Calculated Sales]]</f>
        <v>0</v>
      </c>
    </row>
    <row r="414" spans="1:17" x14ac:dyDescent="0.25">
      <c r="A414">
        <v>380</v>
      </c>
      <c r="B414">
        <v>396</v>
      </c>
      <c r="C414" t="str">
        <f>_xlfn.XLOOKUP(tblOrders[[#This Row],[CustomerID]],tblCustomers[CustomerID],tblCustomers[CustomerName],"not found")</f>
        <v>Austin Montes</v>
      </c>
      <c r="D414">
        <f>_xlfn.XLOOKUP(tblOrders[[#This Row],[CustomerID]],tblCustomers[CustomerID],tblCustomers[Age],"not found")</f>
        <v>20</v>
      </c>
      <c r="E414" t="str">
        <f>_xlfn.XLOOKUP(tblOrders[[#This Row],[CustomerID]],tblCustomers[CustomerID],tblCustomers[Gender],"not found")</f>
        <v>Female</v>
      </c>
      <c r="F414" t="str">
        <f>_xlfn.XLOOKUP(tblOrders[[#This Row],[CustomerID]],tblCustomers[CustomerID],tblCustomers[Region],"not found")</f>
        <v>Central</v>
      </c>
      <c r="G414">
        <v>1064</v>
      </c>
      <c r="H414" t="str">
        <f>_xlfn.XLOOKUP(tblOrders[[#This Row],[ProductID]],tblProducts[ProductID],tblProducts[ProductName],"not found")</f>
        <v>Almost</v>
      </c>
      <c r="I414" t="str">
        <f>_xlfn.XLOOKUP(tblOrders[[#This Row],[ProductID]],tblProducts[ProductID],tblProducts[Category],"not found")</f>
        <v>Furniture</v>
      </c>
      <c r="J414">
        <f>_xlfn.XLOOKUP(tblOrders[[#This Row],[ProductID]],tblProducts[ProductID],tblProducts[UnitPrice],"not found")</f>
        <v>411.31</v>
      </c>
      <c r="K414" t="str">
        <f>_xlfn.XLOOKUP(tblOrders[[#This Row],[ProductID]],tblProducts[ProductID],tblProducts[Supplier],"not found")</f>
        <v>Harrison, Carroll and Maldonado</v>
      </c>
      <c r="L414" s="1" t="s">
        <v>2203</v>
      </c>
      <c r="M4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45015</v>
      </c>
      <c r="N414">
        <v>6</v>
      </c>
      <c r="O414">
        <v>2467.86</v>
      </c>
      <c r="P414">
        <f>tblOrders[[#This Row],[Quantity]]*tblOrders[[#This Row],[Unit Price]]</f>
        <v>2467.86</v>
      </c>
      <c r="Q414">
        <f>tblOrders[[#This Row],[TotalSales]]-tblOrders[[#This Row],[Calculated Sales]]</f>
        <v>0</v>
      </c>
    </row>
    <row r="415" spans="1:17" x14ac:dyDescent="0.25">
      <c r="A415">
        <v>387</v>
      </c>
      <c r="B415">
        <v>664</v>
      </c>
      <c r="C415" t="str">
        <f>_xlfn.XLOOKUP(tblOrders[[#This Row],[CustomerID]],tblCustomers[CustomerID],tblCustomers[CustomerName],"not found")</f>
        <v>Debra Beck</v>
      </c>
      <c r="D415">
        <f>_xlfn.XLOOKUP(tblOrders[[#This Row],[CustomerID]],tblCustomers[CustomerID],tblCustomers[Age],"not found")</f>
        <v>58</v>
      </c>
      <c r="E415" t="str">
        <f>_xlfn.XLOOKUP(tblOrders[[#This Row],[CustomerID]],tblCustomers[CustomerID],tblCustomers[Gender],"not found")</f>
        <v>Female</v>
      </c>
      <c r="F415" t="str">
        <f>_xlfn.XLOOKUP(tblOrders[[#This Row],[CustomerID]],tblCustomers[CustomerID],tblCustomers[Region],"not found")</f>
        <v>Central</v>
      </c>
      <c r="G415">
        <v>1064</v>
      </c>
      <c r="H415" t="str">
        <f>_xlfn.XLOOKUP(tblOrders[[#This Row],[ProductID]],tblProducts[ProductID],tblProducts[ProductName],"not found")</f>
        <v>Almost</v>
      </c>
      <c r="I415" t="str">
        <f>_xlfn.XLOOKUP(tblOrders[[#This Row],[ProductID]],tblProducts[ProductID],tblProducts[Category],"not found")</f>
        <v>Furniture</v>
      </c>
      <c r="J415">
        <f>_xlfn.XLOOKUP(tblOrders[[#This Row],[ProductID]],tblProducts[ProductID],tblProducts[UnitPrice],"not found")</f>
        <v>411.31</v>
      </c>
      <c r="K415" t="str">
        <f>_xlfn.XLOOKUP(tblOrders[[#This Row],[ProductID]],tblProducts[ProductID],tblProducts[Supplier],"not found")</f>
        <v>Harrison, Carroll and Maldonado</v>
      </c>
      <c r="L415" s="1" t="s">
        <v>2039</v>
      </c>
      <c r="M4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45215</v>
      </c>
      <c r="N415">
        <v>9</v>
      </c>
      <c r="O415">
        <v>3701.79</v>
      </c>
      <c r="P415">
        <f>tblOrders[[#This Row],[Quantity]]*tblOrders[[#This Row],[Unit Price]]</f>
        <v>3701.79</v>
      </c>
      <c r="Q415">
        <f>tblOrders[[#This Row],[TotalSales]]-tblOrders[[#This Row],[Calculated Sales]]</f>
        <v>0</v>
      </c>
    </row>
    <row r="416" spans="1:17" x14ac:dyDescent="0.25">
      <c r="A416">
        <v>393</v>
      </c>
      <c r="B416">
        <v>771</v>
      </c>
      <c r="C416" t="str">
        <f>_xlfn.XLOOKUP(tblOrders[[#This Row],[CustomerID]],tblCustomers[CustomerID],tblCustomers[CustomerName],"not found")</f>
        <v>Heather Cannon</v>
      </c>
      <c r="D416">
        <f>_xlfn.XLOOKUP(tblOrders[[#This Row],[CustomerID]],tblCustomers[CustomerID],tblCustomers[Age],"not found")</f>
        <v>50</v>
      </c>
      <c r="E416" t="str">
        <f>_xlfn.XLOOKUP(tblOrders[[#This Row],[CustomerID]],tblCustomers[CustomerID],tblCustomers[Gender],"not found")</f>
        <v>Female</v>
      </c>
      <c r="F416" t="str">
        <f>_xlfn.XLOOKUP(tblOrders[[#This Row],[CustomerID]],tblCustomers[CustomerID],tblCustomers[Region],"not found")</f>
        <v>Central</v>
      </c>
      <c r="G416">
        <v>1064</v>
      </c>
      <c r="H416" t="str">
        <f>_xlfn.XLOOKUP(tblOrders[[#This Row],[ProductID]],tblProducts[ProductID],tblProducts[ProductName],"not found")</f>
        <v>Almost</v>
      </c>
      <c r="I416" t="str">
        <f>_xlfn.XLOOKUP(tblOrders[[#This Row],[ProductID]],tblProducts[ProductID],tblProducts[Category],"not found")</f>
        <v>Furniture</v>
      </c>
      <c r="J416">
        <f>_xlfn.XLOOKUP(tblOrders[[#This Row],[ProductID]],tblProducts[ProductID],tblProducts[UnitPrice],"not found")</f>
        <v>411.31</v>
      </c>
      <c r="K416" t="str">
        <f>_xlfn.XLOOKUP(tblOrders[[#This Row],[ProductID]],tblProducts[ProductID],tblProducts[Supplier],"not found")</f>
        <v>Harrison, Carroll and Maldonado</v>
      </c>
      <c r="L416" s="1">
        <v>45084</v>
      </c>
      <c r="M4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45084</v>
      </c>
      <c r="N416">
        <v>5</v>
      </c>
      <c r="O416">
        <v>2056.5500000000002</v>
      </c>
      <c r="P416">
        <f>tblOrders[[#This Row],[Quantity]]*tblOrders[[#This Row],[Unit Price]]</f>
        <v>2056.5500000000002</v>
      </c>
      <c r="Q416">
        <f>tblOrders[[#This Row],[TotalSales]]-tblOrders[[#This Row],[Calculated Sales]]</f>
        <v>0</v>
      </c>
    </row>
    <row r="417" spans="1:17" x14ac:dyDescent="0.25">
      <c r="A417">
        <v>454</v>
      </c>
      <c r="B417">
        <v>704</v>
      </c>
      <c r="C417" t="str">
        <f>_xlfn.XLOOKUP(tblOrders[[#This Row],[CustomerID]],tblCustomers[CustomerID],tblCustomers[CustomerName],"not found")</f>
        <v>Bruce Rogers</v>
      </c>
      <c r="D417">
        <f>_xlfn.XLOOKUP(tblOrders[[#This Row],[CustomerID]],tblCustomers[CustomerID],tblCustomers[Age],"not found")</f>
        <v>19</v>
      </c>
      <c r="E417" t="str">
        <f>_xlfn.XLOOKUP(tblOrders[[#This Row],[CustomerID]],tblCustomers[CustomerID],tblCustomers[Gender],"not found")</f>
        <v>Female</v>
      </c>
      <c r="F417" t="str">
        <f>_xlfn.XLOOKUP(tblOrders[[#This Row],[CustomerID]],tblCustomers[CustomerID],tblCustomers[Region],"not found")</f>
        <v>West</v>
      </c>
      <c r="G417">
        <v>1064</v>
      </c>
      <c r="H417" t="str">
        <f>_xlfn.XLOOKUP(tblOrders[[#This Row],[ProductID]],tblProducts[ProductID],tblProducts[ProductName],"not found")</f>
        <v>Almost</v>
      </c>
      <c r="I417" t="str">
        <f>_xlfn.XLOOKUP(tblOrders[[#This Row],[ProductID]],tblProducts[ProductID],tblProducts[Category],"not found")</f>
        <v>Furniture</v>
      </c>
      <c r="J417">
        <f>_xlfn.XLOOKUP(tblOrders[[#This Row],[ProductID]],tblProducts[ProductID],tblProducts[UnitPrice],"not found")</f>
        <v>411.31</v>
      </c>
      <c r="K417" t="str">
        <f>_xlfn.XLOOKUP(tblOrders[[#This Row],[ProductID]],tblProducts[ProductID],tblProducts[Supplier],"not found")</f>
        <v>Harrison, Carroll and Maldonado</v>
      </c>
      <c r="L417" s="1" t="s">
        <v>2093</v>
      </c>
      <c r="M4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45256</v>
      </c>
      <c r="N417">
        <v>3</v>
      </c>
      <c r="O417">
        <v>1233.93</v>
      </c>
      <c r="P417">
        <f>tblOrders[[#This Row],[Quantity]]*tblOrders[[#This Row],[Unit Price]]</f>
        <v>1233.93</v>
      </c>
      <c r="Q417">
        <f>tblOrders[[#This Row],[TotalSales]]-tblOrders[[#This Row],[Calculated Sales]]</f>
        <v>0</v>
      </c>
    </row>
    <row r="418" spans="1:17" x14ac:dyDescent="0.25">
      <c r="A418">
        <v>519</v>
      </c>
      <c r="B418">
        <v>92</v>
      </c>
      <c r="C418" t="str">
        <f>_xlfn.XLOOKUP(tblOrders[[#This Row],[CustomerID]],tblCustomers[CustomerID],tblCustomers[CustomerName],"not found")</f>
        <v>Pamela Gordon</v>
      </c>
      <c r="D418">
        <f>_xlfn.XLOOKUP(tblOrders[[#This Row],[CustomerID]],tblCustomers[CustomerID],tblCustomers[Age],"not found")</f>
        <v>51</v>
      </c>
      <c r="E418" t="str">
        <f>_xlfn.XLOOKUP(tblOrders[[#This Row],[CustomerID]],tblCustomers[CustomerID],tblCustomers[Gender],"not found")</f>
        <v>Male</v>
      </c>
      <c r="F418" t="str">
        <f>_xlfn.XLOOKUP(tblOrders[[#This Row],[CustomerID]],tblCustomers[CustomerID],tblCustomers[Region],"not found")</f>
        <v>North</v>
      </c>
      <c r="G418">
        <v>1064</v>
      </c>
      <c r="H418" t="str">
        <f>_xlfn.XLOOKUP(tblOrders[[#This Row],[ProductID]],tblProducts[ProductID],tblProducts[ProductName],"not found")</f>
        <v>Almost</v>
      </c>
      <c r="I418" t="str">
        <f>_xlfn.XLOOKUP(tblOrders[[#This Row],[ProductID]],tblProducts[ProductID],tblProducts[Category],"not found")</f>
        <v>Furniture</v>
      </c>
      <c r="J418">
        <f>_xlfn.XLOOKUP(tblOrders[[#This Row],[ProductID]],tblProducts[ProductID],tblProducts[UnitPrice],"not found")</f>
        <v>411.31</v>
      </c>
      <c r="K418" t="str">
        <f>_xlfn.XLOOKUP(tblOrders[[#This Row],[ProductID]],tblProducts[ProductID],tblProducts[Supplier],"not found")</f>
        <v>Harrison, Carroll and Maldonado</v>
      </c>
      <c r="L418" s="1">
        <v>45203</v>
      </c>
      <c r="M4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45203</v>
      </c>
      <c r="N418">
        <v>5</v>
      </c>
      <c r="O418">
        <v>2056.5500000000002</v>
      </c>
      <c r="P418">
        <f>tblOrders[[#This Row],[Quantity]]*tblOrders[[#This Row],[Unit Price]]</f>
        <v>2056.5500000000002</v>
      </c>
      <c r="Q418">
        <f>tblOrders[[#This Row],[TotalSales]]-tblOrders[[#This Row],[Calculated Sales]]</f>
        <v>0</v>
      </c>
    </row>
    <row r="419" spans="1:17" x14ac:dyDescent="0.25">
      <c r="A419">
        <v>564</v>
      </c>
      <c r="B419">
        <v>171</v>
      </c>
      <c r="C419" t="str">
        <f>_xlfn.XLOOKUP(tblOrders[[#This Row],[CustomerID]],tblCustomers[CustomerID],tblCustomers[CustomerName],"not found")</f>
        <v>Donald Smith</v>
      </c>
      <c r="D419">
        <f>_xlfn.XLOOKUP(tblOrders[[#This Row],[CustomerID]],tblCustomers[CustomerID],tblCustomers[Age],"not found")</f>
        <v>29</v>
      </c>
      <c r="E419" t="str">
        <f>_xlfn.XLOOKUP(tblOrders[[#This Row],[CustomerID]],tblCustomers[CustomerID],tblCustomers[Gender],"not found")</f>
        <v>Female</v>
      </c>
      <c r="F419" t="str">
        <f>_xlfn.XLOOKUP(tblOrders[[#This Row],[CustomerID]],tblCustomers[CustomerID],tblCustomers[Region],"not found")</f>
        <v>South</v>
      </c>
      <c r="G419">
        <v>1064</v>
      </c>
      <c r="H419" t="str">
        <f>_xlfn.XLOOKUP(tblOrders[[#This Row],[ProductID]],tblProducts[ProductID],tblProducts[ProductName],"not found")</f>
        <v>Almost</v>
      </c>
      <c r="I419" t="str">
        <f>_xlfn.XLOOKUP(tblOrders[[#This Row],[ProductID]],tblProducts[ProductID],tblProducts[Category],"not found")</f>
        <v>Furniture</v>
      </c>
      <c r="J419">
        <f>_xlfn.XLOOKUP(tblOrders[[#This Row],[ProductID]],tblProducts[ProductID],tblProducts[UnitPrice],"not found")</f>
        <v>411.31</v>
      </c>
      <c r="K419" t="str">
        <f>_xlfn.XLOOKUP(tblOrders[[#This Row],[ProductID]],tblProducts[ProductID],tblProducts[Supplier],"not found")</f>
        <v>Harrison, Carroll and Maldonado</v>
      </c>
      <c r="L419" s="1">
        <v>45331</v>
      </c>
      <c r="M4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45331</v>
      </c>
      <c r="N419">
        <v>3</v>
      </c>
      <c r="O419">
        <v>1233.93</v>
      </c>
      <c r="P419">
        <f>tblOrders[[#This Row],[Quantity]]*tblOrders[[#This Row],[Unit Price]]</f>
        <v>1233.93</v>
      </c>
      <c r="Q419">
        <f>tblOrders[[#This Row],[TotalSales]]-tblOrders[[#This Row],[Calculated Sales]]</f>
        <v>0</v>
      </c>
    </row>
    <row r="420" spans="1:17" x14ac:dyDescent="0.25">
      <c r="A420">
        <v>717</v>
      </c>
      <c r="B420">
        <v>895</v>
      </c>
      <c r="C420" t="str">
        <f>_xlfn.XLOOKUP(tblOrders[[#This Row],[CustomerID]],tblCustomers[CustomerID],tblCustomers[CustomerName],"not found")</f>
        <v>Tommy Lambert</v>
      </c>
      <c r="D420">
        <f>_xlfn.XLOOKUP(tblOrders[[#This Row],[CustomerID]],tblCustomers[CustomerID],tblCustomers[Age],"not found")</f>
        <v>56</v>
      </c>
      <c r="E420" t="str">
        <f>_xlfn.XLOOKUP(tblOrders[[#This Row],[CustomerID]],tblCustomers[CustomerID],tblCustomers[Gender],"not found")</f>
        <v>Female</v>
      </c>
      <c r="F420" t="str">
        <f>_xlfn.XLOOKUP(tblOrders[[#This Row],[CustomerID]],tblCustomers[CustomerID],tblCustomers[Region],"not found")</f>
        <v>West</v>
      </c>
      <c r="G420">
        <v>1064</v>
      </c>
      <c r="H420" t="str">
        <f>_xlfn.XLOOKUP(tblOrders[[#This Row],[ProductID]],tblProducts[ProductID],tblProducts[ProductName],"not found")</f>
        <v>Almost</v>
      </c>
      <c r="I420" t="str">
        <f>_xlfn.XLOOKUP(tblOrders[[#This Row],[ProductID]],tblProducts[ProductID],tblProducts[Category],"not found")</f>
        <v>Furniture</v>
      </c>
      <c r="J420">
        <f>_xlfn.XLOOKUP(tblOrders[[#This Row],[ProductID]],tblProducts[ProductID],tblProducts[UnitPrice],"not found")</f>
        <v>411.31</v>
      </c>
      <c r="K420" t="str">
        <f>_xlfn.XLOOKUP(tblOrders[[#This Row],[ProductID]],tblProducts[ProductID],tblProducts[Supplier],"not found")</f>
        <v>Harrison, Carroll and Maldonado</v>
      </c>
      <c r="L420" s="1" t="s">
        <v>2204</v>
      </c>
      <c r="M4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45366</v>
      </c>
      <c r="N420">
        <v>2</v>
      </c>
      <c r="O420">
        <v>822.62</v>
      </c>
      <c r="P420">
        <f>tblOrders[[#This Row],[Quantity]]*tblOrders[[#This Row],[Unit Price]]</f>
        <v>822.62</v>
      </c>
      <c r="Q420">
        <f>tblOrders[[#This Row],[TotalSales]]-tblOrders[[#This Row],[Calculated Sales]]</f>
        <v>0</v>
      </c>
    </row>
    <row r="421" spans="1:17" x14ac:dyDescent="0.25">
      <c r="A421">
        <v>718</v>
      </c>
      <c r="B421">
        <v>79</v>
      </c>
      <c r="C421" t="str">
        <f>_xlfn.XLOOKUP(tblOrders[[#This Row],[CustomerID]],tblCustomers[CustomerID],tblCustomers[CustomerName],"not found")</f>
        <v>Karen Myers</v>
      </c>
      <c r="D421">
        <f>_xlfn.XLOOKUP(tblOrders[[#This Row],[CustomerID]],tblCustomers[CustomerID],tblCustomers[Age],"not found")</f>
        <v>63</v>
      </c>
      <c r="E421" t="str">
        <f>_xlfn.XLOOKUP(tblOrders[[#This Row],[CustomerID]],tblCustomers[CustomerID],tblCustomers[Gender],"not found")</f>
        <v>Male</v>
      </c>
      <c r="F421" t="str">
        <f>_xlfn.XLOOKUP(tblOrders[[#This Row],[CustomerID]],tblCustomers[CustomerID],tblCustomers[Region],"not found")</f>
        <v>Central</v>
      </c>
      <c r="G421">
        <v>1064</v>
      </c>
      <c r="H421" t="str">
        <f>_xlfn.XLOOKUP(tblOrders[[#This Row],[ProductID]],tblProducts[ProductID],tblProducts[ProductName],"not found")</f>
        <v>Almost</v>
      </c>
      <c r="I421" t="str">
        <f>_xlfn.XLOOKUP(tblOrders[[#This Row],[ProductID]],tblProducts[ProductID],tblProducts[Category],"not found")</f>
        <v>Furniture</v>
      </c>
      <c r="J421">
        <f>_xlfn.XLOOKUP(tblOrders[[#This Row],[ProductID]],tblProducts[ProductID],tblProducts[UnitPrice],"not found")</f>
        <v>411.31</v>
      </c>
      <c r="K421" t="str">
        <f>_xlfn.XLOOKUP(tblOrders[[#This Row],[ProductID]],tblProducts[ProductID],tblProducts[Supplier],"not found")</f>
        <v>Harrison, Carroll and Maldonado</v>
      </c>
      <c r="L421" s="1" t="s">
        <v>2205</v>
      </c>
      <c r="M4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44894</v>
      </c>
      <c r="N421">
        <v>9</v>
      </c>
      <c r="O421">
        <v>3701.79</v>
      </c>
      <c r="P421">
        <f>tblOrders[[#This Row],[Quantity]]*tblOrders[[#This Row],[Unit Price]]</f>
        <v>3701.79</v>
      </c>
      <c r="Q421">
        <f>tblOrders[[#This Row],[TotalSales]]-tblOrders[[#This Row],[Calculated Sales]]</f>
        <v>0</v>
      </c>
    </row>
    <row r="422" spans="1:17" x14ac:dyDescent="0.25">
      <c r="A422">
        <v>856</v>
      </c>
      <c r="B422">
        <v>135</v>
      </c>
      <c r="C422" t="str">
        <f>_xlfn.XLOOKUP(tblOrders[[#This Row],[CustomerID]],tblCustomers[CustomerID],tblCustomers[CustomerName],"not found")</f>
        <v>Rita King</v>
      </c>
      <c r="D422">
        <f>_xlfn.XLOOKUP(tblOrders[[#This Row],[CustomerID]],tblCustomers[CustomerID],tblCustomers[Age],"not found")</f>
        <v>56</v>
      </c>
      <c r="E422" t="str">
        <f>_xlfn.XLOOKUP(tblOrders[[#This Row],[CustomerID]],tblCustomers[CustomerID],tblCustomers[Gender],"not found")</f>
        <v>Male</v>
      </c>
      <c r="F422" t="str">
        <f>_xlfn.XLOOKUP(tblOrders[[#This Row],[CustomerID]],tblCustomers[CustomerID],tblCustomers[Region],"not found")</f>
        <v>South</v>
      </c>
      <c r="G422">
        <v>1064</v>
      </c>
      <c r="H422" t="str">
        <f>_xlfn.XLOOKUP(tblOrders[[#This Row],[ProductID]],tblProducts[ProductID],tblProducts[ProductName],"not found")</f>
        <v>Almost</v>
      </c>
      <c r="I422" t="str">
        <f>_xlfn.XLOOKUP(tblOrders[[#This Row],[ProductID]],tblProducts[ProductID],tblProducts[Category],"not found")</f>
        <v>Furniture</v>
      </c>
      <c r="J422">
        <f>_xlfn.XLOOKUP(tblOrders[[#This Row],[ProductID]],tblProducts[ProductID],tblProducts[UnitPrice],"not found")</f>
        <v>411.31</v>
      </c>
      <c r="K422" t="str">
        <f>_xlfn.XLOOKUP(tblOrders[[#This Row],[ProductID]],tblProducts[ProductID],tblProducts[Supplier],"not found")</f>
        <v>Harrison, Carroll and Maldonado</v>
      </c>
      <c r="L422" s="1" t="s">
        <v>2206</v>
      </c>
      <c r="M4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45412</v>
      </c>
      <c r="N422">
        <v>2</v>
      </c>
      <c r="O422">
        <v>822.62</v>
      </c>
      <c r="P422">
        <f>tblOrders[[#This Row],[Quantity]]*tblOrders[[#This Row],[Unit Price]]</f>
        <v>822.62</v>
      </c>
      <c r="Q422">
        <f>tblOrders[[#This Row],[TotalSales]]-tblOrders[[#This Row],[Calculated Sales]]</f>
        <v>0</v>
      </c>
    </row>
    <row r="423" spans="1:17" x14ac:dyDescent="0.25">
      <c r="A423">
        <v>909</v>
      </c>
      <c r="B423">
        <v>361</v>
      </c>
      <c r="C423" t="str">
        <f>_xlfn.XLOOKUP(tblOrders[[#This Row],[CustomerID]],tblCustomers[CustomerID],tblCustomers[CustomerName],"not found")</f>
        <v>Heather Martinez</v>
      </c>
      <c r="D423">
        <f>_xlfn.XLOOKUP(tblOrders[[#This Row],[CustomerID]],tblCustomers[CustomerID],tblCustomers[Age],"not found")</f>
        <v>52</v>
      </c>
      <c r="E423" t="str">
        <f>_xlfn.XLOOKUP(tblOrders[[#This Row],[CustomerID]],tblCustomers[CustomerID],tblCustomers[Gender],"not found")</f>
        <v>Female</v>
      </c>
      <c r="F423" t="str">
        <f>_xlfn.XLOOKUP(tblOrders[[#This Row],[CustomerID]],tblCustomers[CustomerID],tblCustomers[Region],"not found")</f>
        <v>East</v>
      </c>
      <c r="G423">
        <v>1064</v>
      </c>
      <c r="H423" t="str">
        <f>_xlfn.XLOOKUP(tblOrders[[#This Row],[ProductID]],tblProducts[ProductID],tblProducts[ProductName],"not found")</f>
        <v>Almost</v>
      </c>
      <c r="I423" t="str">
        <f>_xlfn.XLOOKUP(tblOrders[[#This Row],[ProductID]],tblProducts[ProductID],tblProducts[Category],"not found")</f>
        <v>Furniture</v>
      </c>
      <c r="J423">
        <f>_xlfn.XLOOKUP(tblOrders[[#This Row],[ProductID]],tblProducts[ProductID],tblProducts[UnitPrice],"not found")</f>
        <v>411.31</v>
      </c>
      <c r="K423" t="str">
        <f>_xlfn.XLOOKUP(tblOrders[[#This Row],[ProductID]],tblProducts[ProductID],tblProducts[Supplier],"not found")</f>
        <v>Harrison, Carroll and Maldonado</v>
      </c>
      <c r="L423" s="1">
        <v>44753</v>
      </c>
      <c r="M4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44753</v>
      </c>
      <c r="N423">
        <v>6</v>
      </c>
      <c r="O423">
        <v>2467.86</v>
      </c>
      <c r="P423">
        <f>tblOrders[[#This Row],[Quantity]]*tblOrders[[#This Row],[Unit Price]]</f>
        <v>2467.86</v>
      </c>
      <c r="Q423">
        <f>tblOrders[[#This Row],[TotalSales]]-tblOrders[[#This Row],[Calculated Sales]]</f>
        <v>0</v>
      </c>
    </row>
    <row r="424" spans="1:17" x14ac:dyDescent="0.25">
      <c r="A424">
        <v>1212</v>
      </c>
      <c r="B424">
        <v>894</v>
      </c>
      <c r="C424" t="str">
        <f>_xlfn.XLOOKUP(tblOrders[[#This Row],[CustomerID]],tblCustomers[CustomerID],tblCustomers[CustomerName],"not found")</f>
        <v>James Moreno</v>
      </c>
      <c r="D424">
        <f>_xlfn.XLOOKUP(tblOrders[[#This Row],[CustomerID]],tblCustomers[CustomerID],tblCustomers[Age],"not found")</f>
        <v>53</v>
      </c>
      <c r="E424" t="str">
        <f>_xlfn.XLOOKUP(tblOrders[[#This Row],[CustomerID]],tblCustomers[CustomerID],tblCustomers[Gender],"not found")</f>
        <v>Male</v>
      </c>
      <c r="F424" t="str">
        <f>_xlfn.XLOOKUP(tblOrders[[#This Row],[CustomerID]],tblCustomers[CustomerID],tblCustomers[Region],"not found")</f>
        <v>Central</v>
      </c>
      <c r="G424">
        <v>1064</v>
      </c>
      <c r="H424" t="str">
        <f>_xlfn.XLOOKUP(tblOrders[[#This Row],[ProductID]],tblProducts[ProductID],tblProducts[ProductName],"not found")</f>
        <v>Almost</v>
      </c>
      <c r="I424" t="str">
        <f>_xlfn.XLOOKUP(tblOrders[[#This Row],[ProductID]],tblProducts[ProductID],tblProducts[Category],"not found")</f>
        <v>Furniture</v>
      </c>
      <c r="J424">
        <f>_xlfn.XLOOKUP(tblOrders[[#This Row],[ProductID]],tblProducts[ProductID],tblProducts[UnitPrice],"not found")</f>
        <v>411.31</v>
      </c>
      <c r="K424" t="str">
        <f>_xlfn.XLOOKUP(tblOrders[[#This Row],[ProductID]],tblProducts[ProductID],tblProducts[Supplier],"not found")</f>
        <v>Harrison, Carroll and Maldonado</v>
      </c>
      <c r="L424" s="1" t="s">
        <v>2116</v>
      </c>
      <c r="M4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45404</v>
      </c>
      <c r="N424">
        <v>5</v>
      </c>
      <c r="O424">
        <v>2056.5500000000002</v>
      </c>
      <c r="P424">
        <f>tblOrders[[#This Row],[Quantity]]*tblOrders[[#This Row],[Unit Price]]</f>
        <v>2056.5500000000002</v>
      </c>
      <c r="Q424">
        <f>tblOrders[[#This Row],[TotalSales]]-tblOrders[[#This Row],[Calculated Sales]]</f>
        <v>0</v>
      </c>
    </row>
    <row r="425" spans="1:17" x14ac:dyDescent="0.25">
      <c r="A425">
        <v>1361</v>
      </c>
      <c r="B425">
        <v>346</v>
      </c>
      <c r="C425" t="str">
        <f>_xlfn.XLOOKUP(tblOrders[[#This Row],[CustomerID]],tblCustomers[CustomerID],tblCustomers[CustomerName],"not found")</f>
        <v>Austin Bell</v>
      </c>
      <c r="D425">
        <f>_xlfn.XLOOKUP(tblOrders[[#This Row],[CustomerID]],tblCustomers[CustomerID],tblCustomers[Age],"not found")</f>
        <v>58</v>
      </c>
      <c r="E425" t="str">
        <f>_xlfn.XLOOKUP(tblOrders[[#This Row],[CustomerID]],tblCustomers[CustomerID],tblCustomers[Gender],"not found")</f>
        <v>Female</v>
      </c>
      <c r="F425" t="str">
        <f>_xlfn.XLOOKUP(tblOrders[[#This Row],[CustomerID]],tblCustomers[CustomerID],tblCustomers[Region],"not found")</f>
        <v>Central</v>
      </c>
      <c r="G425">
        <v>1064</v>
      </c>
      <c r="H425" t="str">
        <f>_xlfn.XLOOKUP(tblOrders[[#This Row],[ProductID]],tblProducts[ProductID],tblProducts[ProductName],"not found")</f>
        <v>Almost</v>
      </c>
      <c r="I425" t="str">
        <f>_xlfn.XLOOKUP(tblOrders[[#This Row],[ProductID]],tblProducts[ProductID],tblProducts[Category],"not found")</f>
        <v>Furniture</v>
      </c>
      <c r="J425">
        <f>_xlfn.XLOOKUP(tblOrders[[#This Row],[ProductID]],tblProducts[ProductID],tblProducts[UnitPrice],"not found")</f>
        <v>411.31</v>
      </c>
      <c r="K425" t="str">
        <f>_xlfn.XLOOKUP(tblOrders[[#This Row],[ProductID]],tblProducts[ProductID],tblProducts[Supplier],"not found")</f>
        <v>Harrison, Carroll and Maldonado</v>
      </c>
      <c r="L425" s="1" t="s">
        <v>2043</v>
      </c>
      <c r="M4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45349</v>
      </c>
      <c r="N425">
        <v>3</v>
      </c>
      <c r="O425">
        <v>1233.93</v>
      </c>
      <c r="P425">
        <f>tblOrders[[#This Row],[Quantity]]*tblOrders[[#This Row],[Unit Price]]</f>
        <v>1233.93</v>
      </c>
      <c r="Q425">
        <f>tblOrders[[#This Row],[TotalSales]]-tblOrders[[#This Row],[Calculated Sales]]</f>
        <v>0</v>
      </c>
    </row>
    <row r="426" spans="1:17" x14ac:dyDescent="0.25">
      <c r="A426">
        <v>1548</v>
      </c>
      <c r="B426">
        <v>177</v>
      </c>
      <c r="C426" t="str">
        <f>_xlfn.XLOOKUP(tblOrders[[#This Row],[CustomerID]],tblCustomers[CustomerID],tblCustomers[CustomerName],"not found")</f>
        <v>Cassandra Wright</v>
      </c>
      <c r="D426">
        <f>_xlfn.XLOOKUP(tblOrders[[#This Row],[CustomerID]],tblCustomers[CustomerID],tblCustomers[Age],"not found")</f>
        <v>45</v>
      </c>
      <c r="E426" t="str">
        <f>_xlfn.XLOOKUP(tblOrders[[#This Row],[CustomerID]],tblCustomers[CustomerID],tblCustomers[Gender],"not found")</f>
        <v>Male</v>
      </c>
      <c r="F426" t="str">
        <f>_xlfn.XLOOKUP(tblOrders[[#This Row],[CustomerID]],tblCustomers[CustomerID],tblCustomers[Region],"not found")</f>
        <v>East</v>
      </c>
      <c r="G426">
        <v>1064</v>
      </c>
      <c r="H426" t="str">
        <f>_xlfn.XLOOKUP(tblOrders[[#This Row],[ProductID]],tblProducts[ProductID],tblProducts[ProductName],"not found")</f>
        <v>Almost</v>
      </c>
      <c r="I426" t="str">
        <f>_xlfn.XLOOKUP(tblOrders[[#This Row],[ProductID]],tblProducts[ProductID],tblProducts[Category],"not found")</f>
        <v>Furniture</v>
      </c>
      <c r="J426">
        <f>_xlfn.XLOOKUP(tblOrders[[#This Row],[ProductID]],tblProducts[ProductID],tblProducts[UnitPrice],"not found")</f>
        <v>411.31</v>
      </c>
      <c r="K426" t="str">
        <f>_xlfn.XLOOKUP(tblOrders[[#This Row],[ProductID]],tblProducts[ProductID],tblProducts[Supplier],"not found")</f>
        <v>Harrison, Carroll and Maldonado</v>
      </c>
      <c r="L426" s="1">
        <v>44933</v>
      </c>
      <c r="M4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44933</v>
      </c>
      <c r="N426">
        <v>9</v>
      </c>
      <c r="O426">
        <v>3701.79</v>
      </c>
      <c r="P426">
        <f>tblOrders[[#This Row],[Quantity]]*tblOrders[[#This Row],[Unit Price]]</f>
        <v>3701.79</v>
      </c>
      <c r="Q426">
        <f>tblOrders[[#This Row],[TotalSales]]-tblOrders[[#This Row],[Calculated Sales]]</f>
        <v>0</v>
      </c>
    </row>
    <row r="427" spans="1:17" x14ac:dyDescent="0.25">
      <c r="A427">
        <v>1587</v>
      </c>
      <c r="B427">
        <v>877</v>
      </c>
      <c r="C427" t="str">
        <f>_xlfn.XLOOKUP(tblOrders[[#This Row],[CustomerID]],tblCustomers[CustomerID],tblCustomers[CustomerName],"not found")</f>
        <v>Melissa Smith</v>
      </c>
      <c r="D427">
        <f>_xlfn.XLOOKUP(tblOrders[[#This Row],[CustomerID]],tblCustomers[CustomerID],tblCustomers[Age],"not found")</f>
        <v>50</v>
      </c>
      <c r="E427" t="str">
        <f>_xlfn.XLOOKUP(tblOrders[[#This Row],[CustomerID]],tblCustomers[CustomerID],tblCustomers[Gender],"not found")</f>
        <v>Female</v>
      </c>
      <c r="F427" t="str">
        <f>_xlfn.XLOOKUP(tblOrders[[#This Row],[CustomerID]],tblCustomers[CustomerID],tblCustomers[Region],"not found")</f>
        <v>West</v>
      </c>
      <c r="G427">
        <v>1064</v>
      </c>
      <c r="H427" t="str">
        <f>_xlfn.XLOOKUP(tblOrders[[#This Row],[ProductID]],tblProducts[ProductID],tblProducts[ProductName],"not found")</f>
        <v>Almost</v>
      </c>
      <c r="I427" t="str">
        <f>_xlfn.XLOOKUP(tblOrders[[#This Row],[ProductID]],tblProducts[ProductID],tblProducts[Category],"not found")</f>
        <v>Furniture</v>
      </c>
      <c r="J427">
        <f>_xlfn.XLOOKUP(tblOrders[[#This Row],[ProductID]],tblProducts[ProductID],tblProducts[UnitPrice],"not found")</f>
        <v>411.31</v>
      </c>
      <c r="K427" t="str">
        <f>_xlfn.XLOOKUP(tblOrders[[#This Row],[ProductID]],tblProducts[ProductID],tblProducts[Supplier],"not found")</f>
        <v>Harrison, Carroll and Maldonado</v>
      </c>
      <c r="L427" s="1">
        <v>44693</v>
      </c>
      <c r="M4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44693</v>
      </c>
      <c r="N427">
        <v>9</v>
      </c>
      <c r="O427">
        <v>3701.79</v>
      </c>
      <c r="P427">
        <f>tblOrders[[#This Row],[Quantity]]*tblOrders[[#This Row],[Unit Price]]</f>
        <v>3701.79</v>
      </c>
      <c r="Q427">
        <f>tblOrders[[#This Row],[TotalSales]]-tblOrders[[#This Row],[Calculated Sales]]</f>
        <v>0</v>
      </c>
    </row>
    <row r="428" spans="1:17" x14ac:dyDescent="0.25">
      <c r="A428">
        <v>1645</v>
      </c>
      <c r="B428">
        <v>311</v>
      </c>
      <c r="C428" t="str">
        <f>_xlfn.XLOOKUP(tblOrders[[#This Row],[CustomerID]],tblCustomers[CustomerID],tblCustomers[CustomerName],"not found")</f>
        <v>Sarah Ryan</v>
      </c>
      <c r="D428">
        <f>_xlfn.XLOOKUP(tblOrders[[#This Row],[CustomerID]],tblCustomers[CustomerID],tblCustomers[Age],"not found")</f>
        <v>36</v>
      </c>
      <c r="E428" t="str">
        <f>_xlfn.XLOOKUP(tblOrders[[#This Row],[CustomerID]],tblCustomers[CustomerID],tblCustomers[Gender],"not found")</f>
        <v>Female</v>
      </c>
      <c r="F428" t="str">
        <f>_xlfn.XLOOKUP(tblOrders[[#This Row],[CustomerID]],tblCustomers[CustomerID],tblCustomers[Region],"not found")</f>
        <v>East</v>
      </c>
      <c r="G428">
        <v>1064</v>
      </c>
      <c r="H428" t="str">
        <f>_xlfn.XLOOKUP(tblOrders[[#This Row],[ProductID]],tblProducts[ProductID],tblProducts[ProductName],"not found")</f>
        <v>Almost</v>
      </c>
      <c r="I428" t="str">
        <f>_xlfn.XLOOKUP(tblOrders[[#This Row],[ProductID]],tblProducts[ProductID],tblProducts[Category],"not found")</f>
        <v>Furniture</v>
      </c>
      <c r="J428">
        <f>_xlfn.XLOOKUP(tblOrders[[#This Row],[ProductID]],tblProducts[ProductID],tblProducts[UnitPrice],"not found")</f>
        <v>411.31</v>
      </c>
      <c r="K428" t="str">
        <f>_xlfn.XLOOKUP(tblOrders[[#This Row],[ProductID]],tblProducts[ProductID],tblProducts[Supplier],"not found")</f>
        <v>Harrison, Carroll and Maldonado</v>
      </c>
      <c r="L428" s="1" t="s">
        <v>2188</v>
      </c>
      <c r="M4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428">
        <v>4</v>
      </c>
      <c r="O428">
        <v>1645.24</v>
      </c>
      <c r="P428">
        <f>tblOrders[[#This Row],[Quantity]]*tblOrders[[#This Row],[Unit Price]]</f>
        <v>1645.24</v>
      </c>
      <c r="Q428">
        <f>tblOrders[[#This Row],[TotalSales]]-tblOrders[[#This Row],[Calculated Sales]]</f>
        <v>0</v>
      </c>
    </row>
    <row r="429" spans="1:17" x14ac:dyDescent="0.25">
      <c r="A429">
        <v>1744</v>
      </c>
      <c r="B429">
        <v>236</v>
      </c>
      <c r="C429" t="str">
        <f>_xlfn.XLOOKUP(tblOrders[[#This Row],[CustomerID]],tblCustomers[CustomerID],tblCustomers[CustomerName],"not found")</f>
        <v>Joe Preston</v>
      </c>
      <c r="D429">
        <f>_xlfn.XLOOKUP(tblOrders[[#This Row],[CustomerID]],tblCustomers[CustomerID],tblCustomers[Age],"not found")</f>
        <v>38</v>
      </c>
      <c r="E429" t="str">
        <f>_xlfn.XLOOKUP(tblOrders[[#This Row],[CustomerID]],tblCustomers[CustomerID],tblCustomers[Gender],"not found")</f>
        <v>Male</v>
      </c>
      <c r="F429" t="str">
        <f>_xlfn.XLOOKUP(tblOrders[[#This Row],[CustomerID]],tblCustomers[CustomerID],tblCustomers[Region],"not found")</f>
        <v>East</v>
      </c>
      <c r="G429">
        <v>1064</v>
      </c>
      <c r="H429" t="str">
        <f>_xlfn.XLOOKUP(tblOrders[[#This Row],[ProductID]],tblProducts[ProductID],tblProducts[ProductName],"not found")</f>
        <v>Almost</v>
      </c>
      <c r="I429" t="str">
        <f>_xlfn.XLOOKUP(tblOrders[[#This Row],[ProductID]],tblProducts[ProductID],tblProducts[Category],"not found")</f>
        <v>Furniture</v>
      </c>
      <c r="J429">
        <f>_xlfn.XLOOKUP(tblOrders[[#This Row],[ProductID]],tblProducts[ProductID],tblProducts[UnitPrice],"not found")</f>
        <v>411.31</v>
      </c>
      <c r="K429" t="str">
        <f>_xlfn.XLOOKUP(tblOrders[[#This Row],[ProductID]],tblProducts[ProductID],tblProducts[Supplier],"not found")</f>
        <v>Harrison, Carroll and Maldonado</v>
      </c>
      <c r="L429" s="1" t="s">
        <v>2207</v>
      </c>
      <c r="M4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45582</v>
      </c>
      <c r="N429">
        <v>1</v>
      </c>
      <c r="O429">
        <v>411.31</v>
      </c>
      <c r="P429">
        <f>tblOrders[[#This Row],[Quantity]]*tblOrders[[#This Row],[Unit Price]]</f>
        <v>411.31</v>
      </c>
      <c r="Q429">
        <f>tblOrders[[#This Row],[TotalSales]]-tblOrders[[#This Row],[Calculated Sales]]</f>
        <v>0</v>
      </c>
    </row>
    <row r="430" spans="1:17" x14ac:dyDescent="0.25">
      <c r="A430">
        <v>1832</v>
      </c>
      <c r="B430">
        <v>704</v>
      </c>
      <c r="C430" t="str">
        <f>_xlfn.XLOOKUP(tblOrders[[#This Row],[CustomerID]],tblCustomers[CustomerID],tblCustomers[CustomerName],"not found")</f>
        <v>Bruce Rogers</v>
      </c>
      <c r="D430">
        <f>_xlfn.XLOOKUP(tblOrders[[#This Row],[CustomerID]],tblCustomers[CustomerID],tblCustomers[Age],"not found")</f>
        <v>19</v>
      </c>
      <c r="E430" t="str">
        <f>_xlfn.XLOOKUP(tblOrders[[#This Row],[CustomerID]],tblCustomers[CustomerID],tblCustomers[Gender],"not found")</f>
        <v>Female</v>
      </c>
      <c r="F430" t="str">
        <f>_xlfn.XLOOKUP(tblOrders[[#This Row],[CustomerID]],tblCustomers[CustomerID],tblCustomers[Region],"not found")</f>
        <v>West</v>
      </c>
      <c r="G430">
        <v>1064</v>
      </c>
      <c r="H430" t="str">
        <f>_xlfn.XLOOKUP(tblOrders[[#This Row],[ProductID]],tblProducts[ProductID],tblProducts[ProductName],"not found")</f>
        <v>Almost</v>
      </c>
      <c r="I430" t="str">
        <f>_xlfn.XLOOKUP(tblOrders[[#This Row],[ProductID]],tblProducts[ProductID],tblProducts[Category],"not found")</f>
        <v>Furniture</v>
      </c>
      <c r="J430">
        <f>_xlfn.XLOOKUP(tblOrders[[#This Row],[ProductID]],tblProducts[ProductID],tblProducts[UnitPrice],"not found")</f>
        <v>411.31</v>
      </c>
      <c r="K430" t="str">
        <f>_xlfn.XLOOKUP(tblOrders[[#This Row],[ProductID]],tblProducts[ProductID],tblProducts[Supplier],"not found")</f>
        <v>Harrison, Carroll and Maldonado</v>
      </c>
      <c r="L430" s="1" t="s">
        <v>2208</v>
      </c>
      <c r="M4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45594</v>
      </c>
      <c r="N430">
        <v>5</v>
      </c>
      <c r="O430">
        <v>2056.5500000000002</v>
      </c>
      <c r="P430">
        <f>tblOrders[[#This Row],[Quantity]]*tblOrders[[#This Row],[Unit Price]]</f>
        <v>2056.5500000000002</v>
      </c>
      <c r="Q430">
        <f>tblOrders[[#This Row],[TotalSales]]-tblOrders[[#This Row],[Calculated Sales]]</f>
        <v>0</v>
      </c>
    </row>
    <row r="431" spans="1:17" x14ac:dyDescent="0.25">
      <c r="A431">
        <v>1852</v>
      </c>
      <c r="B431">
        <v>994</v>
      </c>
      <c r="C431" t="str">
        <f>_xlfn.XLOOKUP(tblOrders[[#This Row],[CustomerID]],tblCustomers[CustomerID],tblCustomers[CustomerName],"not found")</f>
        <v>Brandon Willis</v>
      </c>
      <c r="D431">
        <f>_xlfn.XLOOKUP(tblOrders[[#This Row],[CustomerID]],tblCustomers[CustomerID],tblCustomers[Age],"not found")</f>
        <v>41</v>
      </c>
      <c r="E431" t="str">
        <f>_xlfn.XLOOKUP(tblOrders[[#This Row],[CustomerID]],tblCustomers[CustomerID],tblCustomers[Gender],"not found")</f>
        <v>Male</v>
      </c>
      <c r="F431" t="str">
        <f>_xlfn.XLOOKUP(tblOrders[[#This Row],[CustomerID]],tblCustomers[CustomerID],tblCustomers[Region],"not found")</f>
        <v>Central</v>
      </c>
      <c r="G431">
        <v>1064</v>
      </c>
      <c r="H431" t="str">
        <f>_xlfn.XLOOKUP(tblOrders[[#This Row],[ProductID]],tblProducts[ProductID],tblProducts[ProductName],"not found")</f>
        <v>Almost</v>
      </c>
      <c r="I431" t="str">
        <f>_xlfn.XLOOKUP(tblOrders[[#This Row],[ProductID]],tblProducts[ProductID],tblProducts[Category],"not found")</f>
        <v>Furniture</v>
      </c>
      <c r="J431">
        <f>_xlfn.XLOOKUP(tblOrders[[#This Row],[ProductID]],tblProducts[ProductID],tblProducts[UnitPrice],"not found")</f>
        <v>411.31</v>
      </c>
      <c r="K431" t="str">
        <f>_xlfn.XLOOKUP(tblOrders[[#This Row],[ProductID]],tblProducts[ProductID],tblProducts[Supplier],"not found")</f>
        <v>Harrison, Carroll and Maldonado</v>
      </c>
      <c r="L431" s="1" t="s">
        <v>2033</v>
      </c>
      <c r="M4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45519</v>
      </c>
      <c r="N431">
        <v>9</v>
      </c>
      <c r="O431">
        <v>3701.79</v>
      </c>
      <c r="P431">
        <f>tblOrders[[#This Row],[Quantity]]*tblOrders[[#This Row],[Unit Price]]</f>
        <v>3701.79</v>
      </c>
      <c r="Q431">
        <f>tblOrders[[#This Row],[TotalSales]]-tblOrders[[#This Row],[Calculated Sales]]</f>
        <v>0</v>
      </c>
    </row>
    <row r="432" spans="1:17" x14ac:dyDescent="0.25">
      <c r="A432">
        <v>22</v>
      </c>
      <c r="B432">
        <v>872</v>
      </c>
      <c r="C432" t="str">
        <f>_xlfn.XLOOKUP(tblOrders[[#This Row],[CustomerID]],tblCustomers[CustomerID],tblCustomers[CustomerName],"not found")</f>
        <v>Elizabeth Hall</v>
      </c>
      <c r="D432">
        <f>_xlfn.XLOOKUP(tblOrders[[#This Row],[CustomerID]],tblCustomers[CustomerID],tblCustomers[Age],"not found")</f>
        <v>34</v>
      </c>
      <c r="E432" t="str">
        <f>_xlfn.XLOOKUP(tblOrders[[#This Row],[CustomerID]],tblCustomers[CustomerID],tblCustomers[Gender],"not found")</f>
        <v>Female</v>
      </c>
      <c r="F432" t="str">
        <f>_xlfn.XLOOKUP(tblOrders[[#This Row],[CustomerID]],tblCustomers[CustomerID],tblCustomers[Region],"not found")</f>
        <v>Central</v>
      </c>
      <c r="G432">
        <v>1093</v>
      </c>
      <c r="H432" t="str">
        <f>_xlfn.XLOOKUP(tblOrders[[#This Row],[ProductID]],tblProducts[ProductID],tblProducts[ProductName],"not found")</f>
        <v>Force</v>
      </c>
      <c r="I432" t="str">
        <f>_xlfn.XLOOKUP(tblOrders[[#This Row],[ProductID]],tblProducts[ProductID],tblProducts[Category],"not found")</f>
        <v>Apparel</v>
      </c>
      <c r="J432">
        <f>_xlfn.XLOOKUP(tblOrders[[#This Row],[ProductID]],tblProducts[ProductID],tblProducts[UnitPrice],"not found")</f>
        <v>257.88</v>
      </c>
      <c r="K432" t="str">
        <f>_xlfn.XLOOKUP(tblOrders[[#This Row],[ProductID]],tblProducts[ProductID],tblProducts[Supplier],"not found")</f>
        <v>Scott Group</v>
      </c>
      <c r="L432" s="1" t="s">
        <v>2169</v>
      </c>
      <c r="M4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45167</v>
      </c>
      <c r="N432">
        <v>8</v>
      </c>
      <c r="O432">
        <v>2063.04</v>
      </c>
      <c r="P432">
        <f>tblOrders[[#This Row],[Quantity]]*tblOrders[[#This Row],[Unit Price]]</f>
        <v>2063.04</v>
      </c>
      <c r="Q432">
        <f>tblOrders[[#This Row],[TotalSales]]-tblOrders[[#This Row],[Calculated Sales]]</f>
        <v>0</v>
      </c>
    </row>
    <row r="433" spans="1:17" x14ac:dyDescent="0.25">
      <c r="A433">
        <v>142</v>
      </c>
      <c r="B433">
        <v>219</v>
      </c>
      <c r="C433" t="str">
        <f>_xlfn.XLOOKUP(tblOrders[[#This Row],[CustomerID]],tblCustomers[CustomerID],tblCustomers[CustomerName],"not found")</f>
        <v>Mary Tapia</v>
      </c>
      <c r="D433">
        <f>_xlfn.XLOOKUP(tblOrders[[#This Row],[CustomerID]],tblCustomers[CustomerID],tblCustomers[Age],"not found")</f>
        <v>36</v>
      </c>
      <c r="E433" t="str">
        <f>_xlfn.XLOOKUP(tblOrders[[#This Row],[CustomerID]],tblCustomers[CustomerID],tblCustomers[Gender],"not found")</f>
        <v>Female</v>
      </c>
      <c r="F433" t="str">
        <f>_xlfn.XLOOKUP(tblOrders[[#This Row],[CustomerID]],tblCustomers[CustomerID],tblCustomers[Region],"not found")</f>
        <v>West</v>
      </c>
      <c r="G433">
        <v>1093</v>
      </c>
      <c r="H433" t="str">
        <f>_xlfn.XLOOKUP(tblOrders[[#This Row],[ProductID]],tblProducts[ProductID],tblProducts[ProductName],"not found")</f>
        <v>Force</v>
      </c>
      <c r="I433" t="str">
        <f>_xlfn.XLOOKUP(tblOrders[[#This Row],[ProductID]],tblProducts[ProductID],tblProducts[Category],"not found")</f>
        <v>Apparel</v>
      </c>
      <c r="J433">
        <f>_xlfn.XLOOKUP(tblOrders[[#This Row],[ProductID]],tblProducts[ProductID],tblProducts[UnitPrice],"not found")</f>
        <v>257.88</v>
      </c>
      <c r="K433" t="str">
        <f>_xlfn.XLOOKUP(tblOrders[[#This Row],[ProductID]],tblProducts[ProductID],tblProducts[Supplier],"not found")</f>
        <v>Scott Group</v>
      </c>
      <c r="L433" s="1" t="s">
        <v>2209</v>
      </c>
      <c r="M4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45039</v>
      </c>
      <c r="N433">
        <v>7</v>
      </c>
      <c r="O433">
        <v>1805.16</v>
      </c>
      <c r="P433">
        <f>tblOrders[[#This Row],[Quantity]]*tblOrders[[#This Row],[Unit Price]]</f>
        <v>1805.1599999999999</v>
      </c>
      <c r="Q433">
        <f>tblOrders[[#This Row],[TotalSales]]-tblOrders[[#This Row],[Calculated Sales]]</f>
        <v>0</v>
      </c>
    </row>
    <row r="434" spans="1:17" x14ac:dyDescent="0.25">
      <c r="A434">
        <v>192</v>
      </c>
      <c r="B434">
        <v>786</v>
      </c>
      <c r="C434" t="str">
        <f>_xlfn.XLOOKUP(tblOrders[[#This Row],[CustomerID]],tblCustomers[CustomerID],tblCustomers[CustomerName],"not found")</f>
        <v>Carol Carter</v>
      </c>
      <c r="D434">
        <f>_xlfn.XLOOKUP(tblOrders[[#This Row],[CustomerID]],tblCustomers[CustomerID],tblCustomers[Age],"not found")</f>
        <v>65</v>
      </c>
      <c r="E434" t="str">
        <f>_xlfn.XLOOKUP(tblOrders[[#This Row],[CustomerID]],tblCustomers[CustomerID],tblCustomers[Gender],"not found")</f>
        <v>Male</v>
      </c>
      <c r="F434" t="str">
        <f>_xlfn.XLOOKUP(tblOrders[[#This Row],[CustomerID]],tblCustomers[CustomerID],tblCustomers[Region],"not found")</f>
        <v>South</v>
      </c>
      <c r="G434">
        <v>1093</v>
      </c>
      <c r="H434" t="str">
        <f>_xlfn.XLOOKUP(tblOrders[[#This Row],[ProductID]],tblProducts[ProductID],tblProducts[ProductName],"not found")</f>
        <v>Force</v>
      </c>
      <c r="I434" t="str">
        <f>_xlfn.XLOOKUP(tblOrders[[#This Row],[ProductID]],tblProducts[ProductID],tblProducts[Category],"not found")</f>
        <v>Apparel</v>
      </c>
      <c r="J434">
        <f>_xlfn.XLOOKUP(tblOrders[[#This Row],[ProductID]],tblProducts[ProductID],tblProducts[UnitPrice],"not found")</f>
        <v>257.88</v>
      </c>
      <c r="K434" t="str">
        <f>_xlfn.XLOOKUP(tblOrders[[#This Row],[ProductID]],tblProducts[ProductID],tblProducts[Supplier],"not found")</f>
        <v>Scott Group</v>
      </c>
      <c r="L434" s="1" t="s">
        <v>2210</v>
      </c>
      <c r="M4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45374</v>
      </c>
      <c r="N434">
        <v>1</v>
      </c>
      <c r="O434">
        <v>257.88</v>
      </c>
      <c r="P434">
        <f>tblOrders[[#This Row],[Quantity]]*tblOrders[[#This Row],[Unit Price]]</f>
        <v>257.88</v>
      </c>
      <c r="Q434">
        <f>tblOrders[[#This Row],[TotalSales]]-tblOrders[[#This Row],[Calculated Sales]]</f>
        <v>0</v>
      </c>
    </row>
    <row r="435" spans="1:17" x14ac:dyDescent="0.25">
      <c r="A435">
        <v>285</v>
      </c>
      <c r="B435">
        <v>83</v>
      </c>
      <c r="C435" t="str">
        <f>_xlfn.XLOOKUP(tblOrders[[#This Row],[CustomerID]],tblCustomers[CustomerID],tblCustomers[CustomerName],"not found")</f>
        <v>Juan Harper</v>
      </c>
      <c r="D435">
        <f>_xlfn.XLOOKUP(tblOrders[[#This Row],[CustomerID]],tblCustomers[CustomerID],tblCustomers[Age],"not found")</f>
        <v>41</v>
      </c>
      <c r="E435" t="str">
        <f>_xlfn.XLOOKUP(tblOrders[[#This Row],[CustomerID]],tblCustomers[CustomerID],tblCustomers[Gender],"not found")</f>
        <v>Male</v>
      </c>
      <c r="F435" t="str">
        <f>_xlfn.XLOOKUP(tblOrders[[#This Row],[CustomerID]],tblCustomers[CustomerID],tblCustomers[Region],"not found")</f>
        <v>North</v>
      </c>
      <c r="G435">
        <v>1093</v>
      </c>
      <c r="H435" t="str">
        <f>_xlfn.XLOOKUP(tblOrders[[#This Row],[ProductID]],tblProducts[ProductID],tblProducts[ProductName],"not found")</f>
        <v>Force</v>
      </c>
      <c r="I435" t="str">
        <f>_xlfn.XLOOKUP(tblOrders[[#This Row],[ProductID]],tblProducts[ProductID],tblProducts[Category],"not found")</f>
        <v>Apparel</v>
      </c>
      <c r="J435">
        <f>_xlfn.XLOOKUP(tblOrders[[#This Row],[ProductID]],tblProducts[ProductID],tblProducts[UnitPrice],"not found")</f>
        <v>257.88</v>
      </c>
      <c r="K435" t="str">
        <f>_xlfn.XLOOKUP(tblOrders[[#This Row],[ProductID]],tblProducts[ProductID],tblProducts[Supplier],"not found")</f>
        <v>Scott Group</v>
      </c>
      <c r="L435" s="1" t="s">
        <v>2071</v>
      </c>
      <c r="M4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45555</v>
      </c>
      <c r="N435">
        <v>5</v>
      </c>
      <c r="O435">
        <v>1289.4000000000001</v>
      </c>
      <c r="P435">
        <f>tblOrders[[#This Row],[Quantity]]*tblOrders[[#This Row],[Unit Price]]</f>
        <v>1289.4000000000001</v>
      </c>
      <c r="Q435">
        <f>tblOrders[[#This Row],[TotalSales]]-tblOrders[[#This Row],[Calculated Sales]]</f>
        <v>0</v>
      </c>
    </row>
    <row r="436" spans="1:17" x14ac:dyDescent="0.25">
      <c r="A436">
        <v>317</v>
      </c>
      <c r="B436">
        <v>528</v>
      </c>
      <c r="C436" t="str">
        <f>_xlfn.XLOOKUP(tblOrders[[#This Row],[CustomerID]],tblCustomers[CustomerID],tblCustomers[CustomerName],"not found")</f>
        <v>Julie Harris</v>
      </c>
      <c r="D436">
        <f>_xlfn.XLOOKUP(tblOrders[[#This Row],[CustomerID]],tblCustomers[CustomerID],tblCustomers[Age],"not found")</f>
        <v>66</v>
      </c>
      <c r="E436" t="str">
        <f>_xlfn.XLOOKUP(tblOrders[[#This Row],[CustomerID]],tblCustomers[CustomerID],tblCustomers[Gender],"not found")</f>
        <v>Female</v>
      </c>
      <c r="F436" t="str">
        <f>_xlfn.XLOOKUP(tblOrders[[#This Row],[CustomerID]],tblCustomers[CustomerID],tblCustomers[Region],"not found")</f>
        <v>North</v>
      </c>
      <c r="G436">
        <v>1093</v>
      </c>
      <c r="H436" t="str">
        <f>_xlfn.XLOOKUP(tblOrders[[#This Row],[ProductID]],tblProducts[ProductID],tblProducts[ProductName],"not found")</f>
        <v>Force</v>
      </c>
      <c r="I436" t="str">
        <f>_xlfn.XLOOKUP(tblOrders[[#This Row],[ProductID]],tblProducts[ProductID],tblProducts[Category],"not found")</f>
        <v>Apparel</v>
      </c>
      <c r="J436">
        <f>_xlfn.XLOOKUP(tblOrders[[#This Row],[ProductID]],tblProducts[ProductID],tblProducts[UnitPrice],"not found")</f>
        <v>257.88</v>
      </c>
      <c r="K436" t="str">
        <f>_xlfn.XLOOKUP(tblOrders[[#This Row],[ProductID]],tblProducts[ProductID],tblProducts[Supplier],"not found")</f>
        <v>Scott Group</v>
      </c>
      <c r="L436" s="1">
        <v>45172</v>
      </c>
      <c r="M4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45172</v>
      </c>
      <c r="N436">
        <v>2</v>
      </c>
      <c r="O436">
        <v>515.76</v>
      </c>
      <c r="P436">
        <f>tblOrders[[#This Row],[Quantity]]*tblOrders[[#This Row],[Unit Price]]</f>
        <v>515.76</v>
      </c>
      <c r="Q436">
        <f>tblOrders[[#This Row],[TotalSales]]-tblOrders[[#This Row],[Calculated Sales]]</f>
        <v>0</v>
      </c>
    </row>
    <row r="437" spans="1:17" x14ac:dyDescent="0.25">
      <c r="A437">
        <v>359</v>
      </c>
      <c r="B437">
        <v>79</v>
      </c>
      <c r="C437" t="str">
        <f>_xlfn.XLOOKUP(tblOrders[[#This Row],[CustomerID]],tblCustomers[CustomerID],tblCustomers[CustomerName],"not found")</f>
        <v>Karen Myers</v>
      </c>
      <c r="D437">
        <f>_xlfn.XLOOKUP(tblOrders[[#This Row],[CustomerID]],tblCustomers[CustomerID],tblCustomers[Age],"not found")</f>
        <v>63</v>
      </c>
      <c r="E437" t="str">
        <f>_xlfn.XLOOKUP(tblOrders[[#This Row],[CustomerID]],tblCustomers[CustomerID],tblCustomers[Gender],"not found")</f>
        <v>Male</v>
      </c>
      <c r="F437" t="str">
        <f>_xlfn.XLOOKUP(tblOrders[[#This Row],[CustomerID]],tblCustomers[CustomerID],tblCustomers[Region],"not found")</f>
        <v>Central</v>
      </c>
      <c r="G437">
        <v>1093</v>
      </c>
      <c r="H437" t="str">
        <f>_xlfn.XLOOKUP(tblOrders[[#This Row],[ProductID]],tblProducts[ProductID],tblProducts[ProductName],"not found")</f>
        <v>Force</v>
      </c>
      <c r="I437" t="str">
        <f>_xlfn.XLOOKUP(tblOrders[[#This Row],[ProductID]],tblProducts[ProductID],tblProducts[Category],"not found")</f>
        <v>Apparel</v>
      </c>
      <c r="J437">
        <f>_xlfn.XLOOKUP(tblOrders[[#This Row],[ProductID]],tblProducts[ProductID],tblProducts[UnitPrice],"not found")</f>
        <v>257.88</v>
      </c>
      <c r="K437" t="str">
        <f>_xlfn.XLOOKUP(tblOrders[[#This Row],[ProductID]],tblProducts[ProductID],tblProducts[Supplier],"not found")</f>
        <v>Scott Group</v>
      </c>
      <c r="L437" s="1">
        <v>45018</v>
      </c>
      <c r="M4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437">
        <v>6</v>
      </c>
      <c r="O437">
        <v>1547.28</v>
      </c>
      <c r="P437">
        <f>tblOrders[[#This Row],[Quantity]]*tblOrders[[#This Row],[Unit Price]]</f>
        <v>1547.28</v>
      </c>
      <c r="Q437">
        <f>tblOrders[[#This Row],[TotalSales]]-tblOrders[[#This Row],[Calculated Sales]]</f>
        <v>0</v>
      </c>
    </row>
    <row r="438" spans="1:17" x14ac:dyDescent="0.25">
      <c r="A438">
        <v>630</v>
      </c>
      <c r="B438">
        <v>947</v>
      </c>
      <c r="C438" t="str">
        <f>_xlfn.XLOOKUP(tblOrders[[#This Row],[CustomerID]],tblCustomers[CustomerID],tblCustomers[CustomerName],"not found")</f>
        <v>Anthony Mcgee</v>
      </c>
      <c r="D438">
        <f>_xlfn.XLOOKUP(tblOrders[[#This Row],[CustomerID]],tblCustomers[CustomerID],tblCustomers[Age],"not found")</f>
        <v>49</v>
      </c>
      <c r="E438" t="str">
        <f>_xlfn.XLOOKUP(tblOrders[[#This Row],[CustomerID]],tblCustomers[CustomerID],tblCustomers[Gender],"not found")</f>
        <v>Female</v>
      </c>
      <c r="F438" t="str">
        <f>_xlfn.XLOOKUP(tblOrders[[#This Row],[CustomerID]],tblCustomers[CustomerID],tblCustomers[Region],"not found")</f>
        <v>West</v>
      </c>
      <c r="G438">
        <v>1093</v>
      </c>
      <c r="H438" t="str">
        <f>_xlfn.XLOOKUP(tblOrders[[#This Row],[ProductID]],tblProducts[ProductID],tblProducts[ProductName],"not found")</f>
        <v>Force</v>
      </c>
      <c r="I438" t="str">
        <f>_xlfn.XLOOKUP(tblOrders[[#This Row],[ProductID]],tblProducts[ProductID],tblProducts[Category],"not found")</f>
        <v>Apparel</v>
      </c>
      <c r="J438">
        <f>_xlfn.XLOOKUP(tblOrders[[#This Row],[ProductID]],tblProducts[ProductID],tblProducts[UnitPrice],"not found")</f>
        <v>257.88</v>
      </c>
      <c r="K438" t="str">
        <f>_xlfn.XLOOKUP(tblOrders[[#This Row],[ProductID]],tblProducts[ProductID],tblProducts[Supplier],"not found")</f>
        <v>Scott Group</v>
      </c>
      <c r="L438" s="1" t="s">
        <v>2171</v>
      </c>
      <c r="M4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45593</v>
      </c>
      <c r="N438">
        <v>2</v>
      </c>
      <c r="O438">
        <v>515.76</v>
      </c>
      <c r="P438">
        <f>tblOrders[[#This Row],[Quantity]]*tblOrders[[#This Row],[Unit Price]]</f>
        <v>515.76</v>
      </c>
      <c r="Q438">
        <f>tblOrders[[#This Row],[TotalSales]]-tblOrders[[#This Row],[Calculated Sales]]</f>
        <v>0</v>
      </c>
    </row>
    <row r="439" spans="1:17" x14ac:dyDescent="0.25">
      <c r="A439">
        <v>637</v>
      </c>
      <c r="B439">
        <v>65</v>
      </c>
      <c r="C439" t="str">
        <f>_xlfn.XLOOKUP(tblOrders[[#This Row],[CustomerID]],tblCustomers[CustomerID],tblCustomers[CustomerName],"not found")</f>
        <v>Nicole Weeks</v>
      </c>
      <c r="D439">
        <f>_xlfn.XLOOKUP(tblOrders[[#This Row],[CustomerID]],tblCustomers[CustomerID],tblCustomers[Age],"not found")</f>
        <v>46</v>
      </c>
      <c r="E439" t="str">
        <f>_xlfn.XLOOKUP(tblOrders[[#This Row],[CustomerID]],tblCustomers[CustomerID],tblCustomers[Gender],"not found")</f>
        <v>Male</v>
      </c>
      <c r="F439" t="str">
        <f>_xlfn.XLOOKUP(tblOrders[[#This Row],[CustomerID]],tblCustomers[CustomerID],tblCustomers[Region],"not found")</f>
        <v>Central</v>
      </c>
      <c r="G439">
        <v>1093</v>
      </c>
      <c r="H439" t="str">
        <f>_xlfn.XLOOKUP(tblOrders[[#This Row],[ProductID]],tblProducts[ProductID],tblProducts[ProductName],"not found")</f>
        <v>Force</v>
      </c>
      <c r="I439" t="str">
        <f>_xlfn.XLOOKUP(tblOrders[[#This Row],[ProductID]],tblProducts[ProductID],tblProducts[Category],"not found")</f>
        <v>Apparel</v>
      </c>
      <c r="J439">
        <f>_xlfn.XLOOKUP(tblOrders[[#This Row],[ProductID]],tblProducts[ProductID],tblProducts[UnitPrice],"not found")</f>
        <v>257.88</v>
      </c>
      <c r="K439" t="str">
        <f>_xlfn.XLOOKUP(tblOrders[[#This Row],[ProductID]],tblProducts[ProductID],tblProducts[Supplier],"not found")</f>
        <v>Scott Group</v>
      </c>
      <c r="L439" s="1" t="s">
        <v>2081</v>
      </c>
      <c r="M4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439">
        <v>8</v>
      </c>
      <c r="O439">
        <v>2063.04</v>
      </c>
      <c r="P439">
        <f>tblOrders[[#This Row],[Quantity]]*tblOrders[[#This Row],[Unit Price]]</f>
        <v>2063.04</v>
      </c>
      <c r="Q439">
        <f>tblOrders[[#This Row],[TotalSales]]-tblOrders[[#This Row],[Calculated Sales]]</f>
        <v>0</v>
      </c>
    </row>
    <row r="440" spans="1:17" x14ac:dyDescent="0.25">
      <c r="A440">
        <v>774</v>
      </c>
      <c r="B440">
        <v>277</v>
      </c>
      <c r="C440" t="str">
        <f>_xlfn.XLOOKUP(tblOrders[[#This Row],[CustomerID]],tblCustomers[CustomerID],tblCustomers[CustomerName],"not found")</f>
        <v>Yolanda White</v>
      </c>
      <c r="D440">
        <f>_xlfn.XLOOKUP(tblOrders[[#This Row],[CustomerID]],tblCustomers[CustomerID],tblCustomers[Age],"not found")</f>
        <v>65</v>
      </c>
      <c r="E440" t="str">
        <f>_xlfn.XLOOKUP(tblOrders[[#This Row],[CustomerID]],tblCustomers[CustomerID],tblCustomers[Gender],"not found")</f>
        <v>Female</v>
      </c>
      <c r="F440" t="str">
        <f>_xlfn.XLOOKUP(tblOrders[[#This Row],[CustomerID]],tblCustomers[CustomerID],tblCustomers[Region],"not found")</f>
        <v>South</v>
      </c>
      <c r="G440">
        <v>1093</v>
      </c>
      <c r="H440" t="str">
        <f>_xlfn.XLOOKUP(tblOrders[[#This Row],[ProductID]],tblProducts[ProductID],tblProducts[ProductName],"not found")</f>
        <v>Force</v>
      </c>
      <c r="I440" t="str">
        <f>_xlfn.XLOOKUP(tblOrders[[#This Row],[ProductID]],tblProducts[ProductID],tblProducts[Category],"not found")</f>
        <v>Apparel</v>
      </c>
      <c r="J440">
        <f>_xlfn.XLOOKUP(tblOrders[[#This Row],[ProductID]],tblProducts[ProductID],tblProducts[UnitPrice],"not found")</f>
        <v>257.88</v>
      </c>
      <c r="K440" t="str">
        <f>_xlfn.XLOOKUP(tblOrders[[#This Row],[ProductID]],tblProducts[ProductID],tblProducts[Supplier],"not found")</f>
        <v>Scott Group</v>
      </c>
      <c r="L440" s="1">
        <v>45143</v>
      </c>
      <c r="M4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45143</v>
      </c>
      <c r="N440">
        <v>6</v>
      </c>
      <c r="O440">
        <v>1547.28</v>
      </c>
      <c r="P440">
        <f>tblOrders[[#This Row],[Quantity]]*tblOrders[[#This Row],[Unit Price]]</f>
        <v>1547.28</v>
      </c>
      <c r="Q440">
        <f>tblOrders[[#This Row],[TotalSales]]-tblOrders[[#This Row],[Calculated Sales]]</f>
        <v>0</v>
      </c>
    </row>
    <row r="441" spans="1:17" x14ac:dyDescent="0.25">
      <c r="A441">
        <v>922</v>
      </c>
      <c r="B441">
        <v>132</v>
      </c>
      <c r="C441" t="str">
        <f>_xlfn.XLOOKUP(tblOrders[[#This Row],[CustomerID]],tblCustomers[CustomerID],tblCustomers[CustomerName],"not found")</f>
        <v>Robert Allen</v>
      </c>
      <c r="D441">
        <f>_xlfn.XLOOKUP(tblOrders[[#This Row],[CustomerID]],tblCustomers[CustomerID],tblCustomers[Age],"not found")</f>
        <v>20</v>
      </c>
      <c r="E441" t="str">
        <f>_xlfn.XLOOKUP(tblOrders[[#This Row],[CustomerID]],tblCustomers[CustomerID],tblCustomers[Gender],"not found")</f>
        <v>Male</v>
      </c>
      <c r="F441" t="str">
        <f>_xlfn.XLOOKUP(tblOrders[[#This Row],[CustomerID]],tblCustomers[CustomerID],tblCustomers[Region],"not found")</f>
        <v>South</v>
      </c>
      <c r="G441">
        <v>1093</v>
      </c>
      <c r="H441" t="str">
        <f>_xlfn.XLOOKUP(tblOrders[[#This Row],[ProductID]],tblProducts[ProductID],tblProducts[ProductName],"not found")</f>
        <v>Force</v>
      </c>
      <c r="I441" t="str">
        <f>_xlfn.XLOOKUP(tblOrders[[#This Row],[ProductID]],tblProducts[ProductID],tblProducts[Category],"not found")</f>
        <v>Apparel</v>
      </c>
      <c r="J441">
        <f>_xlfn.XLOOKUP(tblOrders[[#This Row],[ProductID]],tblProducts[ProductID],tblProducts[UnitPrice],"not found")</f>
        <v>257.88</v>
      </c>
      <c r="K441" t="str">
        <f>_xlfn.XLOOKUP(tblOrders[[#This Row],[ProductID]],tblProducts[ProductID],tblProducts[Supplier],"not found")</f>
        <v>Scott Group</v>
      </c>
      <c r="L441" s="1" t="s">
        <v>2073</v>
      </c>
      <c r="M4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45441</v>
      </c>
      <c r="N441">
        <v>6</v>
      </c>
      <c r="O441">
        <v>1547.28</v>
      </c>
      <c r="P441">
        <f>tblOrders[[#This Row],[Quantity]]*tblOrders[[#This Row],[Unit Price]]</f>
        <v>1547.28</v>
      </c>
      <c r="Q441">
        <f>tblOrders[[#This Row],[TotalSales]]-tblOrders[[#This Row],[Calculated Sales]]</f>
        <v>0</v>
      </c>
    </row>
    <row r="442" spans="1:17" x14ac:dyDescent="0.25">
      <c r="A442">
        <v>1019</v>
      </c>
      <c r="B442">
        <v>577</v>
      </c>
      <c r="C442" t="str">
        <f>_xlfn.XLOOKUP(tblOrders[[#This Row],[CustomerID]],tblCustomers[CustomerID],tblCustomers[CustomerName],"not found")</f>
        <v>Brian Marshall</v>
      </c>
      <c r="D442">
        <f>_xlfn.XLOOKUP(tblOrders[[#This Row],[CustomerID]],tblCustomers[CustomerID],tblCustomers[Age],"not found")</f>
        <v>69</v>
      </c>
      <c r="E442" t="str">
        <f>_xlfn.XLOOKUP(tblOrders[[#This Row],[CustomerID]],tblCustomers[CustomerID],tblCustomers[Gender],"not found")</f>
        <v>Female</v>
      </c>
      <c r="F442" t="str">
        <f>_xlfn.XLOOKUP(tblOrders[[#This Row],[CustomerID]],tblCustomers[CustomerID],tblCustomers[Region],"not found")</f>
        <v>West</v>
      </c>
      <c r="G442">
        <v>1093</v>
      </c>
      <c r="H442" t="str">
        <f>_xlfn.XLOOKUP(tblOrders[[#This Row],[ProductID]],tblProducts[ProductID],tblProducts[ProductName],"not found")</f>
        <v>Force</v>
      </c>
      <c r="I442" t="str">
        <f>_xlfn.XLOOKUP(tblOrders[[#This Row],[ProductID]],tblProducts[ProductID],tblProducts[Category],"not found")</f>
        <v>Apparel</v>
      </c>
      <c r="J442">
        <f>_xlfn.XLOOKUP(tblOrders[[#This Row],[ProductID]],tblProducts[ProductID],tblProducts[UnitPrice],"not found")</f>
        <v>257.88</v>
      </c>
      <c r="K442" t="str">
        <f>_xlfn.XLOOKUP(tblOrders[[#This Row],[ProductID]],tblProducts[ProductID],tblProducts[Supplier],"not found")</f>
        <v>Scott Group</v>
      </c>
      <c r="L442" s="1">
        <v>45058</v>
      </c>
      <c r="M4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45058</v>
      </c>
      <c r="N442">
        <v>4</v>
      </c>
      <c r="O442">
        <v>1031.52</v>
      </c>
      <c r="P442">
        <f>tblOrders[[#This Row],[Quantity]]*tblOrders[[#This Row],[Unit Price]]</f>
        <v>1031.52</v>
      </c>
      <c r="Q442">
        <f>tblOrders[[#This Row],[TotalSales]]-tblOrders[[#This Row],[Calculated Sales]]</f>
        <v>0</v>
      </c>
    </row>
    <row r="443" spans="1:17" x14ac:dyDescent="0.25">
      <c r="A443">
        <v>1030</v>
      </c>
      <c r="B443">
        <v>296</v>
      </c>
      <c r="C443" t="str">
        <f>_xlfn.XLOOKUP(tblOrders[[#This Row],[CustomerID]],tblCustomers[CustomerID],tblCustomers[CustomerName],"not found")</f>
        <v>Kelly Williams</v>
      </c>
      <c r="D443">
        <f>_xlfn.XLOOKUP(tblOrders[[#This Row],[CustomerID]],tblCustomers[CustomerID],tblCustomers[Age],"not found")</f>
        <v>30</v>
      </c>
      <c r="E443" t="str">
        <f>_xlfn.XLOOKUP(tblOrders[[#This Row],[CustomerID]],tblCustomers[CustomerID],tblCustomers[Gender],"not found")</f>
        <v>Male</v>
      </c>
      <c r="F443" t="str">
        <f>_xlfn.XLOOKUP(tblOrders[[#This Row],[CustomerID]],tblCustomers[CustomerID],tblCustomers[Region],"not found")</f>
        <v>North</v>
      </c>
      <c r="G443">
        <v>1093</v>
      </c>
      <c r="H443" t="str">
        <f>_xlfn.XLOOKUP(tblOrders[[#This Row],[ProductID]],tblProducts[ProductID],tblProducts[ProductName],"not found")</f>
        <v>Force</v>
      </c>
      <c r="I443" t="str">
        <f>_xlfn.XLOOKUP(tblOrders[[#This Row],[ProductID]],tblProducts[ProductID],tblProducts[Category],"not found")</f>
        <v>Apparel</v>
      </c>
      <c r="J443">
        <f>_xlfn.XLOOKUP(tblOrders[[#This Row],[ProductID]],tblProducts[ProductID],tblProducts[UnitPrice],"not found")</f>
        <v>257.88</v>
      </c>
      <c r="K443" t="str">
        <f>_xlfn.XLOOKUP(tblOrders[[#This Row],[ProductID]],tblProducts[ProductID],tblProducts[Supplier],"not found")</f>
        <v>Scott Group</v>
      </c>
      <c r="L443" s="1" t="s">
        <v>2109</v>
      </c>
      <c r="M4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45101</v>
      </c>
      <c r="N443">
        <v>8</v>
      </c>
      <c r="O443">
        <v>2063.04</v>
      </c>
      <c r="P443">
        <f>tblOrders[[#This Row],[Quantity]]*tblOrders[[#This Row],[Unit Price]]</f>
        <v>2063.04</v>
      </c>
      <c r="Q443">
        <f>tblOrders[[#This Row],[TotalSales]]-tblOrders[[#This Row],[Calculated Sales]]</f>
        <v>0</v>
      </c>
    </row>
    <row r="444" spans="1:17" x14ac:dyDescent="0.25">
      <c r="A444">
        <v>1336</v>
      </c>
      <c r="B444">
        <v>472</v>
      </c>
      <c r="C444" t="str">
        <f>_xlfn.XLOOKUP(tblOrders[[#This Row],[CustomerID]],tblCustomers[CustomerID],tblCustomers[CustomerName],"not found")</f>
        <v>Timothy Turner</v>
      </c>
      <c r="D444">
        <f>_xlfn.XLOOKUP(tblOrders[[#This Row],[CustomerID]],tblCustomers[CustomerID],tblCustomers[Age],"not found")</f>
        <v>49</v>
      </c>
      <c r="E444" t="str">
        <f>_xlfn.XLOOKUP(tblOrders[[#This Row],[CustomerID]],tblCustomers[CustomerID],tblCustomers[Gender],"not found")</f>
        <v>Female</v>
      </c>
      <c r="F444" t="str">
        <f>_xlfn.XLOOKUP(tblOrders[[#This Row],[CustomerID]],tblCustomers[CustomerID],tblCustomers[Region],"not found")</f>
        <v>East</v>
      </c>
      <c r="G444">
        <v>1093</v>
      </c>
      <c r="H444" t="str">
        <f>_xlfn.XLOOKUP(tblOrders[[#This Row],[ProductID]],tblProducts[ProductID],tblProducts[ProductName],"not found")</f>
        <v>Force</v>
      </c>
      <c r="I444" t="str">
        <f>_xlfn.XLOOKUP(tblOrders[[#This Row],[ProductID]],tblProducts[ProductID],tblProducts[Category],"not found")</f>
        <v>Apparel</v>
      </c>
      <c r="J444">
        <f>_xlfn.XLOOKUP(tblOrders[[#This Row],[ProductID]],tblProducts[ProductID],tblProducts[UnitPrice],"not found")</f>
        <v>257.88</v>
      </c>
      <c r="K444" t="str">
        <f>_xlfn.XLOOKUP(tblOrders[[#This Row],[ProductID]],tblProducts[ProductID],tblProducts[Supplier],"not found")</f>
        <v>Scott Group</v>
      </c>
      <c r="L444" s="1">
        <v>45054</v>
      </c>
      <c r="M4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45054</v>
      </c>
      <c r="N444">
        <v>6</v>
      </c>
      <c r="O444">
        <v>1547.28</v>
      </c>
      <c r="P444">
        <f>tblOrders[[#This Row],[Quantity]]*tblOrders[[#This Row],[Unit Price]]</f>
        <v>1547.28</v>
      </c>
      <c r="Q444">
        <f>tblOrders[[#This Row],[TotalSales]]-tblOrders[[#This Row],[Calculated Sales]]</f>
        <v>0</v>
      </c>
    </row>
    <row r="445" spans="1:17" x14ac:dyDescent="0.25">
      <c r="A445">
        <v>1348</v>
      </c>
      <c r="B445">
        <v>839</v>
      </c>
      <c r="C445" t="str">
        <f>_xlfn.XLOOKUP(tblOrders[[#This Row],[CustomerID]],tblCustomers[CustomerID],tblCustomers[CustomerName],"not found")</f>
        <v>Jeffery Simmons</v>
      </c>
      <c r="D445">
        <f>_xlfn.XLOOKUP(tblOrders[[#This Row],[CustomerID]],tblCustomers[CustomerID],tblCustomers[Age],"not found")</f>
        <v>53</v>
      </c>
      <c r="E445" t="str">
        <f>_xlfn.XLOOKUP(tblOrders[[#This Row],[CustomerID]],tblCustomers[CustomerID],tblCustomers[Gender],"not found")</f>
        <v>Female</v>
      </c>
      <c r="F445" t="str">
        <f>_xlfn.XLOOKUP(tblOrders[[#This Row],[CustomerID]],tblCustomers[CustomerID],tblCustomers[Region],"not found")</f>
        <v>West</v>
      </c>
      <c r="G445">
        <v>1093</v>
      </c>
      <c r="H445" t="str">
        <f>_xlfn.XLOOKUP(tblOrders[[#This Row],[ProductID]],tblProducts[ProductID],tblProducts[ProductName],"not found")</f>
        <v>Force</v>
      </c>
      <c r="I445" t="str">
        <f>_xlfn.XLOOKUP(tblOrders[[#This Row],[ProductID]],tblProducts[ProductID],tblProducts[Category],"not found")</f>
        <v>Apparel</v>
      </c>
      <c r="J445">
        <f>_xlfn.XLOOKUP(tblOrders[[#This Row],[ProductID]],tblProducts[ProductID],tblProducts[UnitPrice],"not found")</f>
        <v>257.88</v>
      </c>
      <c r="K445" t="str">
        <f>_xlfn.XLOOKUP(tblOrders[[#This Row],[ProductID]],tblProducts[ProductID],tblProducts[Supplier],"not found")</f>
        <v>Scott Group</v>
      </c>
      <c r="L445" s="1">
        <v>45082</v>
      </c>
      <c r="M4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45082</v>
      </c>
      <c r="N445">
        <v>7</v>
      </c>
      <c r="O445">
        <v>1805.16</v>
      </c>
      <c r="P445">
        <f>tblOrders[[#This Row],[Quantity]]*tblOrders[[#This Row],[Unit Price]]</f>
        <v>1805.1599999999999</v>
      </c>
      <c r="Q445">
        <f>tblOrders[[#This Row],[TotalSales]]-tblOrders[[#This Row],[Calculated Sales]]</f>
        <v>0</v>
      </c>
    </row>
    <row r="446" spans="1:17" x14ac:dyDescent="0.25">
      <c r="A446">
        <v>1362</v>
      </c>
      <c r="B446">
        <v>296</v>
      </c>
      <c r="C446" t="str">
        <f>_xlfn.XLOOKUP(tblOrders[[#This Row],[CustomerID]],tblCustomers[CustomerID],tblCustomers[CustomerName],"not found")</f>
        <v>Kelly Williams</v>
      </c>
      <c r="D446">
        <f>_xlfn.XLOOKUP(tblOrders[[#This Row],[CustomerID]],tblCustomers[CustomerID],tblCustomers[Age],"not found")</f>
        <v>30</v>
      </c>
      <c r="E446" t="str">
        <f>_xlfn.XLOOKUP(tblOrders[[#This Row],[CustomerID]],tblCustomers[CustomerID],tblCustomers[Gender],"not found")</f>
        <v>Male</v>
      </c>
      <c r="F446" t="str">
        <f>_xlfn.XLOOKUP(tblOrders[[#This Row],[CustomerID]],tblCustomers[CustomerID],tblCustomers[Region],"not found")</f>
        <v>North</v>
      </c>
      <c r="G446">
        <v>1093</v>
      </c>
      <c r="H446" t="str">
        <f>_xlfn.XLOOKUP(tblOrders[[#This Row],[ProductID]],tblProducts[ProductID],tblProducts[ProductName],"not found")</f>
        <v>Force</v>
      </c>
      <c r="I446" t="str">
        <f>_xlfn.XLOOKUP(tblOrders[[#This Row],[ProductID]],tblProducts[ProductID],tblProducts[Category],"not found")</f>
        <v>Apparel</v>
      </c>
      <c r="J446">
        <f>_xlfn.XLOOKUP(tblOrders[[#This Row],[ProductID]],tblProducts[ProductID],tblProducts[UnitPrice],"not found")</f>
        <v>257.88</v>
      </c>
      <c r="K446" t="str">
        <f>_xlfn.XLOOKUP(tblOrders[[#This Row],[ProductID]],tblProducts[ProductID],tblProducts[Supplier],"not found")</f>
        <v>Scott Group</v>
      </c>
      <c r="L446" s="1" t="s">
        <v>2211</v>
      </c>
      <c r="M4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45557</v>
      </c>
      <c r="N446">
        <v>6</v>
      </c>
      <c r="O446">
        <v>1547.28</v>
      </c>
      <c r="P446">
        <f>tblOrders[[#This Row],[Quantity]]*tblOrders[[#This Row],[Unit Price]]</f>
        <v>1547.28</v>
      </c>
      <c r="Q446">
        <f>tblOrders[[#This Row],[TotalSales]]-tblOrders[[#This Row],[Calculated Sales]]</f>
        <v>0</v>
      </c>
    </row>
    <row r="447" spans="1:17" x14ac:dyDescent="0.25">
      <c r="A447">
        <v>1401</v>
      </c>
      <c r="B447">
        <v>556</v>
      </c>
      <c r="C447" t="str">
        <f>_xlfn.XLOOKUP(tblOrders[[#This Row],[CustomerID]],tblCustomers[CustomerID],tblCustomers[CustomerName],"not found")</f>
        <v>Ethan Andrews</v>
      </c>
      <c r="D447">
        <f>_xlfn.XLOOKUP(tblOrders[[#This Row],[CustomerID]],tblCustomers[CustomerID],tblCustomers[Age],"not found")</f>
        <v>28</v>
      </c>
      <c r="E447" t="str">
        <f>_xlfn.XLOOKUP(tblOrders[[#This Row],[CustomerID]],tblCustomers[CustomerID],tblCustomers[Gender],"not found")</f>
        <v>Female</v>
      </c>
      <c r="F447" t="str">
        <f>_xlfn.XLOOKUP(tblOrders[[#This Row],[CustomerID]],tblCustomers[CustomerID],tblCustomers[Region],"not found")</f>
        <v>South</v>
      </c>
      <c r="G447">
        <v>1093</v>
      </c>
      <c r="H447" t="str">
        <f>_xlfn.XLOOKUP(tblOrders[[#This Row],[ProductID]],tblProducts[ProductID],tblProducts[ProductName],"not found")</f>
        <v>Force</v>
      </c>
      <c r="I447" t="str">
        <f>_xlfn.XLOOKUP(tblOrders[[#This Row],[ProductID]],tblProducts[ProductID],tblProducts[Category],"not found")</f>
        <v>Apparel</v>
      </c>
      <c r="J447">
        <f>_xlfn.XLOOKUP(tblOrders[[#This Row],[ProductID]],tblProducts[ProductID],tblProducts[UnitPrice],"not found")</f>
        <v>257.88</v>
      </c>
      <c r="K447" t="str">
        <f>_xlfn.XLOOKUP(tblOrders[[#This Row],[ProductID]],tblProducts[ProductID],tblProducts[Supplier],"not found")</f>
        <v>Scott Group</v>
      </c>
      <c r="L447" s="1">
        <v>45476</v>
      </c>
      <c r="M4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45476</v>
      </c>
      <c r="N447">
        <v>4</v>
      </c>
      <c r="O447">
        <v>1031.52</v>
      </c>
      <c r="P447">
        <f>tblOrders[[#This Row],[Quantity]]*tblOrders[[#This Row],[Unit Price]]</f>
        <v>1031.52</v>
      </c>
      <c r="Q447">
        <f>tblOrders[[#This Row],[TotalSales]]-tblOrders[[#This Row],[Calculated Sales]]</f>
        <v>0</v>
      </c>
    </row>
    <row r="448" spans="1:17" x14ac:dyDescent="0.25">
      <c r="A448">
        <v>1418</v>
      </c>
      <c r="B448">
        <v>541</v>
      </c>
      <c r="C448" t="str">
        <f>_xlfn.XLOOKUP(tblOrders[[#This Row],[CustomerID]],tblCustomers[CustomerID],tblCustomers[CustomerName],"not found")</f>
        <v>Ashley Ho</v>
      </c>
      <c r="D448">
        <f>_xlfn.XLOOKUP(tblOrders[[#This Row],[CustomerID]],tblCustomers[CustomerID],tblCustomers[Age],"not found")</f>
        <v>28</v>
      </c>
      <c r="E448" t="str">
        <f>_xlfn.XLOOKUP(tblOrders[[#This Row],[CustomerID]],tblCustomers[CustomerID],tblCustomers[Gender],"not found")</f>
        <v>Female</v>
      </c>
      <c r="F448" t="str">
        <f>_xlfn.XLOOKUP(tblOrders[[#This Row],[CustomerID]],tblCustomers[CustomerID],tblCustomers[Region],"not found")</f>
        <v>East</v>
      </c>
      <c r="G448">
        <v>1093</v>
      </c>
      <c r="H448" t="str">
        <f>_xlfn.XLOOKUP(tblOrders[[#This Row],[ProductID]],tblProducts[ProductID],tblProducts[ProductName],"not found")</f>
        <v>Force</v>
      </c>
      <c r="I448" t="str">
        <f>_xlfn.XLOOKUP(tblOrders[[#This Row],[ProductID]],tblProducts[ProductID],tblProducts[Category],"not found")</f>
        <v>Apparel</v>
      </c>
      <c r="J448">
        <f>_xlfn.XLOOKUP(tblOrders[[#This Row],[ProductID]],tblProducts[ProductID],tblProducts[UnitPrice],"not found")</f>
        <v>257.88</v>
      </c>
      <c r="K448" t="str">
        <f>_xlfn.XLOOKUP(tblOrders[[#This Row],[ProductID]],tblProducts[ProductID],tblProducts[Supplier],"not found")</f>
        <v>Scott Group</v>
      </c>
      <c r="L448" s="1">
        <v>45025</v>
      </c>
      <c r="M4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45025</v>
      </c>
      <c r="N448">
        <v>6</v>
      </c>
      <c r="O448">
        <v>1547.28</v>
      </c>
      <c r="P448">
        <f>tblOrders[[#This Row],[Quantity]]*tblOrders[[#This Row],[Unit Price]]</f>
        <v>1547.28</v>
      </c>
      <c r="Q448">
        <f>tblOrders[[#This Row],[TotalSales]]-tblOrders[[#This Row],[Calculated Sales]]</f>
        <v>0</v>
      </c>
    </row>
    <row r="449" spans="1:17" x14ac:dyDescent="0.25">
      <c r="A449">
        <v>1509</v>
      </c>
      <c r="B449">
        <v>759</v>
      </c>
      <c r="C449" t="str">
        <f>_xlfn.XLOOKUP(tblOrders[[#This Row],[CustomerID]],tblCustomers[CustomerID],tblCustomers[CustomerName],"not found")</f>
        <v>Heather Horne</v>
      </c>
      <c r="D449">
        <f>_xlfn.XLOOKUP(tblOrders[[#This Row],[CustomerID]],tblCustomers[CustomerID],tblCustomers[Age],"not found")</f>
        <v>41</v>
      </c>
      <c r="E449" t="str">
        <f>_xlfn.XLOOKUP(tblOrders[[#This Row],[CustomerID]],tblCustomers[CustomerID],tblCustomers[Gender],"not found")</f>
        <v>Female</v>
      </c>
      <c r="F449" t="str">
        <f>_xlfn.XLOOKUP(tblOrders[[#This Row],[CustomerID]],tblCustomers[CustomerID],tblCustomers[Region],"not found")</f>
        <v>Central</v>
      </c>
      <c r="G449">
        <v>1093</v>
      </c>
      <c r="H449" t="str">
        <f>_xlfn.XLOOKUP(tblOrders[[#This Row],[ProductID]],tblProducts[ProductID],tblProducts[ProductName],"not found")</f>
        <v>Force</v>
      </c>
      <c r="I449" t="str">
        <f>_xlfn.XLOOKUP(tblOrders[[#This Row],[ProductID]],tblProducts[ProductID],tblProducts[Category],"not found")</f>
        <v>Apparel</v>
      </c>
      <c r="J449">
        <f>_xlfn.XLOOKUP(tblOrders[[#This Row],[ProductID]],tblProducts[ProductID],tblProducts[UnitPrice],"not found")</f>
        <v>257.88</v>
      </c>
      <c r="K449" t="str">
        <f>_xlfn.XLOOKUP(tblOrders[[#This Row],[ProductID]],tblProducts[ProductID],tblProducts[Supplier],"not found")</f>
        <v>Scott Group</v>
      </c>
      <c r="L449" s="1" t="s">
        <v>2212</v>
      </c>
      <c r="M4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45439</v>
      </c>
      <c r="N449">
        <v>3</v>
      </c>
      <c r="O449">
        <v>773.64</v>
      </c>
      <c r="P449">
        <f>tblOrders[[#This Row],[Quantity]]*tblOrders[[#This Row],[Unit Price]]</f>
        <v>773.64</v>
      </c>
      <c r="Q449">
        <f>tblOrders[[#This Row],[TotalSales]]-tblOrders[[#This Row],[Calculated Sales]]</f>
        <v>0</v>
      </c>
    </row>
    <row r="450" spans="1:17" x14ac:dyDescent="0.25">
      <c r="A450">
        <v>1630</v>
      </c>
      <c r="B450">
        <v>154</v>
      </c>
      <c r="C450" t="str">
        <f>_xlfn.XLOOKUP(tblOrders[[#This Row],[CustomerID]],tblCustomers[CustomerID],tblCustomers[CustomerName],"not found")</f>
        <v>Dale Martin</v>
      </c>
      <c r="D450">
        <f>_xlfn.XLOOKUP(tblOrders[[#This Row],[CustomerID]],tblCustomers[CustomerID],tblCustomers[Age],"not found")</f>
        <v>50</v>
      </c>
      <c r="E450" t="str">
        <f>_xlfn.XLOOKUP(tblOrders[[#This Row],[CustomerID]],tblCustomers[CustomerID],tblCustomers[Gender],"not found")</f>
        <v>Male</v>
      </c>
      <c r="F450" t="str">
        <f>_xlfn.XLOOKUP(tblOrders[[#This Row],[CustomerID]],tblCustomers[CustomerID],tblCustomers[Region],"not found")</f>
        <v>North</v>
      </c>
      <c r="G450">
        <v>1093</v>
      </c>
      <c r="H450" t="str">
        <f>_xlfn.XLOOKUP(tblOrders[[#This Row],[ProductID]],tblProducts[ProductID],tblProducts[ProductName],"not found")</f>
        <v>Force</v>
      </c>
      <c r="I450" t="str">
        <f>_xlfn.XLOOKUP(tblOrders[[#This Row],[ProductID]],tblProducts[ProductID],tblProducts[Category],"not found")</f>
        <v>Apparel</v>
      </c>
      <c r="J450">
        <f>_xlfn.XLOOKUP(tblOrders[[#This Row],[ProductID]],tblProducts[ProductID],tblProducts[UnitPrice],"not found")</f>
        <v>257.88</v>
      </c>
      <c r="K450" t="str">
        <f>_xlfn.XLOOKUP(tblOrders[[#This Row],[ProductID]],tblProducts[ProductID],tblProducts[Supplier],"not found")</f>
        <v>Scott Group</v>
      </c>
      <c r="L450" s="1" t="s">
        <v>2213</v>
      </c>
      <c r="M4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45166</v>
      </c>
      <c r="N450">
        <v>7</v>
      </c>
      <c r="O450">
        <v>1805.16</v>
      </c>
      <c r="P450">
        <f>tblOrders[[#This Row],[Quantity]]*tblOrders[[#This Row],[Unit Price]]</f>
        <v>1805.1599999999999</v>
      </c>
      <c r="Q450">
        <f>tblOrders[[#This Row],[TotalSales]]-tblOrders[[#This Row],[Calculated Sales]]</f>
        <v>0</v>
      </c>
    </row>
    <row r="451" spans="1:17" x14ac:dyDescent="0.25">
      <c r="A451">
        <v>1655</v>
      </c>
      <c r="B451">
        <v>794</v>
      </c>
      <c r="C451" t="str">
        <f>_xlfn.XLOOKUP(tblOrders[[#This Row],[CustomerID]],tblCustomers[CustomerID],tblCustomers[CustomerName],"not found")</f>
        <v>Alexandra Rogers</v>
      </c>
      <c r="D451">
        <f>_xlfn.XLOOKUP(tblOrders[[#This Row],[CustomerID]],tblCustomers[CustomerID],tblCustomers[Age],"not found")</f>
        <v>65</v>
      </c>
      <c r="E451" t="str">
        <f>_xlfn.XLOOKUP(tblOrders[[#This Row],[CustomerID]],tblCustomers[CustomerID],tblCustomers[Gender],"not found")</f>
        <v>Male</v>
      </c>
      <c r="F451" t="str">
        <f>_xlfn.XLOOKUP(tblOrders[[#This Row],[CustomerID]],tblCustomers[CustomerID],tblCustomers[Region],"not found")</f>
        <v>North</v>
      </c>
      <c r="G451">
        <v>1093</v>
      </c>
      <c r="H451" t="str">
        <f>_xlfn.XLOOKUP(tblOrders[[#This Row],[ProductID]],tblProducts[ProductID],tblProducts[ProductName],"not found")</f>
        <v>Force</v>
      </c>
      <c r="I451" t="str">
        <f>_xlfn.XLOOKUP(tblOrders[[#This Row],[ProductID]],tblProducts[ProductID],tblProducts[Category],"not found")</f>
        <v>Apparel</v>
      </c>
      <c r="J451">
        <f>_xlfn.XLOOKUP(tblOrders[[#This Row],[ProductID]],tblProducts[ProductID],tblProducts[UnitPrice],"not found")</f>
        <v>257.88</v>
      </c>
      <c r="K451" t="str">
        <f>_xlfn.XLOOKUP(tblOrders[[#This Row],[ProductID]],tblProducts[ProductID],tblProducts[Supplier],"not found")</f>
        <v>Scott Group</v>
      </c>
      <c r="L451" s="1" t="s">
        <v>2214</v>
      </c>
      <c r="M4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45219</v>
      </c>
      <c r="N451">
        <v>3</v>
      </c>
      <c r="O451">
        <v>773.64</v>
      </c>
      <c r="P451">
        <f>tblOrders[[#This Row],[Quantity]]*tblOrders[[#This Row],[Unit Price]]</f>
        <v>773.64</v>
      </c>
      <c r="Q451">
        <f>tblOrders[[#This Row],[TotalSales]]-tblOrders[[#This Row],[Calculated Sales]]</f>
        <v>0</v>
      </c>
    </row>
    <row r="452" spans="1:17" x14ac:dyDescent="0.25">
      <c r="A452">
        <v>1730</v>
      </c>
      <c r="B452">
        <v>952</v>
      </c>
      <c r="C452" t="str">
        <f>_xlfn.XLOOKUP(tblOrders[[#This Row],[CustomerID]],tblCustomers[CustomerID],tblCustomers[CustomerName],"not found")</f>
        <v>Whitney Campos</v>
      </c>
      <c r="D452">
        <f>_xlfn.XLOOKUP(tblOrders[[#This Row],[CustomerID]],tblCustomers[CustomerID],tblCustomers[Age],"not found")</f>
        <v>67</v>
      </c>
      <c r="E452" t="str">
        <f>_xlfn.XLOOKUP(tblOrders[[#This Row],[CustomerID]],tblCustomers[CustomerID],tblCustomers[Gender],"not found")</f>
        <v>Male</v>
      </c>
      <c r="F452" t="str">
        <f>_xlfn.XLOOKUP(tblOrders[[#This Row],[CustomerID]],tblCustomers[CustomerID],tblCustomers[Region],"not found")</f>
        <v>South</v>
      </c>
      <c r="G452">
        <v>1093</v>
      </c>
      <c r="H452" t="str">
        <f>_xlfn.XLOOKUP(tblOrders[[#This Row],[ProductID]],tblProducts[ProductID],tblProducts[ProductName],"not found")</f>
        <v>Force</v>
      </c>
      <c r="I452" t="str">
        <f>_xlfn.XLOOKUP(tblOrders[[#This Row],[ProductID]],tblProducts[ProductID],tblProducts[Category],"not found")</f>
        <v>Apparel</v>
      </c>
      <c r="J452">
        <f>_xlfn.XLOOKUP(tblOrders[[#This Row],[ProductID]],tblProducts[ProductID],tblProducts[UnitPrice],"not found")</f>
        <v>257.88</v>
      </c>
      <c r="K452" t="str">
        <f>_xlfn.XLOOKUP(tblOrders[[#This Row],[ProductID]],tblProducts[ProductID],tblProducts[Supplier],"not found")</f>
        <v>Scott Group</v>
      </c>
      <c r="L452" s="1" t="s">
        <v>2215</v>
      </c>
      <c r="M4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45034</v>
      </c>
      <c r="N452">
        <v>6</v>
      </c>
      <c r="O452">
        <v>1547.28</v>
      </c>
      <c r="P452">
        <f>tblOrders[[#This Row],[Quantity]]*tblOrders[[#This Row],[Unit Price]]</f>
        <v>1547.28</v>
      </c>
      <c r="Q452">
        <f>tblOrders[[#This Row],[TotalSales]]-tblOrders[[#This Row],[Calculated Sales]]</f>
        <v>0</v>
      </c>
    </row>
    <row r="453" spans="1:17" x14ac:dyDescent="0.25">
      <c r="A453">
        <v>1827</v>
      </c>
      <c r="B453">
        <v>907</v>
      </c>
      <c r="C453" t="str">
        <f>_xlfn.XLOOKUP(tblOrders[[#This Row],[CustomerID]],tblCustomers[CustomerID],tblCustomers[CustomerName],"not found")</f>
        <v>Edgar Lewis</v>
      </c>
      <c r="D453">
        <f>_xlfn.XLOOKUP(tblOrders[[#This Row],[CustomerID]],tblCustomers[CustomerID],tblCustomers[Age],"not found")</f>
        <v>48</v>
      </c>
      <c r="E453" t="str">
        <f>_xlfn.XLOOKUP(tblOrders[[#This Row],[CustomerID]],tblCustomers[CustomerID],tblCustomers[Gender],"not found")</f>
        <v>Female</v>
      </c>
      <c r="F453" t="str">
        <f>_xlfn.XLOOKUP(tblOrders[[#This Row],[CustomerID]],tblCustomers[CustomerID],tblCustomers[Region],"not found")</f>
        <v>Central</v>
      </c>
      <c r="G453">
        <v>1093</v>
      </c>
      <c r="H453" t="str">
        <f>_xlfn.XLOOKUP(tblOrders[[#This Row],[ProductID]],tblProducts[ProductID],tblProducts[ProductName],"not found")</f>
        <v>Force</v>
      </c>
      <c r="I453" t="str">
        <f>_xlfn.XLOOKUP(tblOrders[[#This Row],[ProductID]],tblProducts[ProductID],tblProducts[Category],"not found")</f>
        <v>Apparel</v>
      </c>
      <c r="J453">
        <f>_xlfn.XLOOKUP(tblOrders[[#This Row],[ProductID]],tblProducts[ProductID],tblProducts[UnitPrice],"not found")</f>
        <v>257.88</v>
      </c>
      <c r="K453" t="str">
        <f>_xlfn.XLOOKUP(tblOrders[[#This Row],[ProductID]],tblProducts[ProductID],tblProducts[Supplier],"not found")</f>
        <v>Scott Group</v>
      </c>
      <c r="L453" s="1">
        <v>45479</v>
      </c>
      <c r="M4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45479</v>
      </c>
      <c r="N453">
        <v>6</v>
      </c>
      <c r="O453">
        <v>1547.28</v>
      </c>
      <c r="P453">
        <f>tblOrders[[#This Row],[Quantity]]*tblOrders[[#This Row],[Unit Price]]</f>
        <v>1547.28</v>
      </c>
      <c r="Q453">
        <f>tblOrders[[#This Row],[TotalSales]]-tblOrders[[#This Row],[Calculated Sales]]</f>
        <v>0</v>
      </c>
    </row>
    <row r="454" spans="1:17" x14ac:dyDescent="0.25">
      <c r="A454">
        <v>1897</v>
      </c>
      <c r="B454">
        <v>428</v>
      </c>
      <c r="C454" t="str">
        <f>_xlfn.XLOOKUP(tblOrders[[#This Row],[CustomerID]],tblCustomers[CustomerID],tblCustomers[CustomerName],"not found")</f>
        <v>Jose Mcdaniel</v>
      </c>
      <c r="D454">
        <f>_xlfn.XLOOKUP(tblOrders[[#This Row],[CustomerID]],tblCustomers[CustomerID],tblCustomers[Age],"not found")</f>
        <v>37</v>
      </c>
      <c r="E454" t="str">
        <f>_xlfn.XLOOKUP(tblOrders[[#This Row],[CustomerID]],tblCustomers[CustomerID],tblCustomers[Gender],"not found")</f>
        <v>Male</v>
      </c>
      <c r="F454" t="str">
        <f>_xlfn.XLOOKUP(tblOrders[[#This Row],[CustomerID]],tblCustomers[CustomerID],tblCustomers[Region],"not found")</f>
        <v>West</v>
      </c>
      <c r="G454">
        <v>1093</v>
      </c>
      <c r="H454" t="str">
        <f>_xlfn.XLOOKUP(tblOrders[[#This Row],[ProductID]],tblProducts[ProductID],tblProducts[ProductName],"not found")</f>
        <v>Force</v>
      </c>
      <c r="I454" t="str">
        <f>_xlfn.XLOOKUP(tblOrders[[#This Row],[ProductID]],tblProducts[ProductID],tblProducts[Category],"not found")</f>
        <v>Apparel</v>
      </c>
      <c r="J454">
        <f>_xlfn.XLOOKUP(tblOrders[[#This Row],[ProductID]],tblProducts[ProductID],tblProducts[UnitPrice],"not found")</f>
        <v>257.88</v>
      </c>
      <c r="K454" t="str">
        <f>_xlfn.XLOOKUP(tblOrders[[#This Row],[ProductID]],tblProducts[ProductID],tblProducts[Supplier],"not found")</f>
        <v>Scott Group</v>
      </c>
      <c r="L454" s="1">
        <v>44930</v>
      </c>
      <c r="M4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44930</v>
      </c>
      <c r="N454">
        <v>8</v>
      </c>
      <c r="O454">
        <v>2063.04</v>
      </c>
      <c r="P454">
        <f>tblOrders[[#This Row],[Quantity]]*tblOrders[[#This Row],[Unit Price]]</f>
        <v>2063.04</v>
      </c>
      <c r="Q454">
        <f>tblOrders[[#This Row],[TotalSales]]-tblOrders[[#This Row],[Calculated Sales]]</f>
        <v>0</v>
      </c>
    </row>
    <row r="455" spans="1:17" x14ac:dyDescent="0.25">
      <c r="A455">
        <v>1985</v>
      </c>
      <c r="B455">
        <v>54</v>
      </c>
      <c r="C455" t="str">
        <f>_xlfn.XLOOKUP(tblOrders[[#This Row],[CustomerID]],tblCustomers[CustomerID],tblCustomers[CustomerName],"not found")</f>
        <v>Jamie Sherman</v>
      </c>
      <c r="D455">
        <f>_xlfn.XLOOKUP(tblOrders[[#This Row],[CustomerID]],tblCustomers[CustomerID],tblCustomers[Age],"not found")</f>
        <v>64</v>
      </c>
      <c r="E455" t="str">
        <f>_xlfn.XLOOKUP(tblOrders[[#This Row],[CustomerID]],tblCustomers[CustomerID],tblCustomers[Gender],"not found")</f>
        <v>Male</v>
      </c>
      <c r="F455" t="str">
        <f>_xlfn.XLOOKUP(tblOrders[[#This Row],[CustomerID]],tblCustomers[CustomerID],tblCustomers[Region],"not found")</f>
        <v>Central</v>
      </c>
      <c r="G455">
        <v>1093</v>
      </c>
      <c r="H455" t="str">
        <f>_xlfn.XLOOKUP(tblOrders[[#This Row],[ProductID]],tblProducts[ProductID],tblProducts[ProductName],"not found")</f>
        <v>Force</v>
      </c>
      <c r="I455" t="str">
        <f>_xlfn.XLOOKUP(tblOrders[[#This Row],[ProductID]],tblProducts[ProductID],tblProducts[Category],"not found")</f>
        <v>Apparel</v>
      </c>
      <c r="J455">
        <f>_xlfn.XLOOKUP(tblOrders[[#This Row],[ProductID]],tblProducts[ProductID],tblProducts[UnitPrice],"not found")</f>
        <v>257.88</v>
      </c>
      <c r="K455" t="str">
        <f>_xlfn.XLOOKUP(tblOrders[[#This Row],[ProductID]],tblProducts[ProductID],tblProducts[Supplier],"not found")</f>
        <v>Scott Group</v>
      </c>
      <c r="L455" s="1" t="s">
        <v>2216</v>
      </c>
      <c r="M4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45526</v>
      </c>
      <c r="N455">
        <v>2</v>
      </c>
      <c r="O455">
        <v>515.76</v>
      </c>
      <c r="P455">
        <f>tblOrders[[#This Row],[Quantity]]*tblOrders[[#This Row],[Unit Price]]</f>
        <v>515.76</v>
      </c>
      <c r="Q455">
        <f>tblOrders[[#This Row],[TotalSales]]-tblOrders[[#This Row],[Calculated Sales]]</f>
        <v>0</v>
      </c>
    </row>
    <row r="456" spans="1:17" x14ac:dyDescent="0.25">
      <c r="A456">
        <v>23</v>
      </c>
      <c r="B456">
        <v>617</v>
      </c>
      <c r="C456" t="str">
        <f>_xlfn.XLOOKUP(tblOrders[[#This Row],[CustomerID]],tblCustomers[CustomerID],tblCustomers[CustomerName],"not found")</f>
        <v>Kathleen Scott</v>
      </c>
      <c r="D456">
        <f>_xlfn.XLOOKUP(tblOrders[[#This Row],[CustomerID]],tblCustomers[CustomerID],tblCustomers[Age],"not found")</f>
        <v>50</v>
      </c>
      <c r="E456" t="str">
        <f>_xlfn.XLOOKUP(tblOrders[[#This Row],[CustomerID]],tblCustomers[CustomerID],tblCustomers[Gender],"not found")</f>
        <v>Female</v>
      </c>
      <c r="F456" t="str">
        <f>_xlfn.XLOOKUP(tblOrders[[#This Row],[CustomerID]],tblCustomers[CustomerID],tblCustomers[Region],"not found")</f>
        <v>South</v>
      </c>
      <c r="G456">
        <v>1034</v>
      </c>
      <c r="H456" t="str">
        <f>_xlfn.XLOOKUP(tblOrders[[#This Row],[ProductID]],tblProducts[ProductID],tblProducts[ProductName],"not found")</f>
        <v>Mr</v>
      </c>
      <c r="I456" t="str">
        <f>_xlfn.XLOOKUP(tblOrders[[#This Row],[ProductID]],tblProducts[ProductID],tblProducts[Category],"not found")</f>
        <v>Toys</v>
      </c>
      <c r="J456">
        <f>_xlfn.XLOOKUP(tblOrders[[#This Row],[ProductID]],tblProducts[ProductID],tblProducts[UnitPrice],"not found")</f>
        <v>196.45</v>
      </c>
      <c r="K456" t="str">
        <f>_xlfn.XLOOKUP(tblOrders[[#This Row],[ProductID]],tblProducts[ProductID],tblProducts[Supplier],"not found")</f>
        <v>Harrison Group</v>
      </c>
      <c r="L456" s="1" t="s">
        <v>2217</v>
      </c>
      <c r="M4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45097</v>
      </c>
      <c r="N456">
        <v>4</v>
      </c>
      <c r="O456">
        <v>785.8</v>
      </c>
      <c r="P456">
        <f>tblOrders[[#This Row],[Quantity]]*tblOrders[[#This Row],[Unit Price]]</f>
        <v>785.8</v>
      </c>
      <c r="Q456">
        <f>tblOrders[[#This Row],[TotalSales]]-tblOrders[[#This Row],[Calculated Sales]]</f>
        <v>0</v>
      </c>
    </row>
    <row r="457" spans="1:17" x14ac:dyDescent="0.25">
      <c r="A457">
        <v>290</v>
      </c>
      <c r="B457">
        <v>7</v>
      </c>
      <c r="C457" t="str">
        <f>_xlfn.XLOOKUP(tblOrders[[#This Row],[CustomerID]],tblCustomers[CustomerID],tblCustomers[CustomerName],"not found")</f>
        <v>Brad Harrison</v>
      </c>
      <c r="D457">
        <f>_xlfn.XLOOKUP(tblOrders[[#This Row],[CustomerID]],tblCustomers[CustomerID],tblCustomers[Age],"not found")</f>
        <v>24</v>
      </c>
      <c r="E457" t="str">
        <f>_xlfn.XLOOKUP(tblOrders[[#This Row],[CustomerID]],tblCustomers[CustomerID],tblCustomers[Gender],"not found")</f>
        <v>Female</v>
      </c>
      <c r="F457" t="str">
        <f>_xlfn.XLOOKUP(tblOrders[[#This Row],[CustomerID]],tblCustomers[CustomerID],tblCustomers[Region],"not found")</f>
        <v>South</v>
      </c>
      <c r="G457">
        <v>1034</v>
      </c>
      <c r="H457" t="str">
        <f>_xlfn.XLOOKUP(tblOrders[[#This Row],[ProductID]],tblProducts[ProductID],tblProducts[ProductName],"not found")</f>
        <v>Mr</v>
      </c>
      <c r="I457" t="str">
        <f>_xlfn.XLOOKUP(tblOrders[[#This Row],[ProductID]],tblProducts[ProductID],tblProducts[Category],"not found")</f>
        <v>Toys</v>
      </c>
      <c r="J457">
        <f>_xlfn.XLOOKUP(tblOrders[[#This Row],[ProductID]],tblProducts[ProductID],tblProducts[UnitPrice],"not found")</f>
        <v>196.45</v>
      </c>
      <c r="K457" t="str">
        <f>_xlfn.XLOOKUP(tblOrders[[#This Row],[ProductID]],tblProducts[ProductID],tblProducts[Supplier],"not found")</f>
        <v>Harrison Group</v>
      </c>
      <c r="L457" s="1" t="s">
        <v>2218</v>
      </c>
      <c r="M4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45098</v>
      </c>
      <c r="N457">
        <v>5</v>
      </c>
      <c r="O457">
        <v>982.25</v>
      </c>
      <c r="P457">
        <f>tblOrders[[#This Row],[Quantity]]*tblOrders[[#This Row],[Unit Price]]</f>
        <v>982.25</v>
      </c>
      <c r="Q457">
        <f>tblOrders[[#This Row],[TotalSales]]-tblOrders[[#This Row],[Calculated Sales]]</f>
        <v>0</v>
      </c>
    </row>
    <row r="458" spans="1:17" x14ac:dyDescent="0.25">
      <c r="A458">
        <v>440</v>
      </c>
      <c r="B458">
        <v>249</v>
      </c>
      <c r="C458" t="str">
        <f>_xlfn.XLOOKUP(tblOrders[[#This Row],[CustomerID]],tblCustomers[CustomerID],tblCustomers[CustomerName],"not found")</f>
        <v>Diana Ramirez</v>
      </c>
      <c r="D458">
        <f>_xlfn.XLOOKUP(tblOrders[[#This Row],[CustomerID]],tblCustomers[CustomerID],tblCustomers[Age],"not found")</f>
        <v>56</v>
      </c>
      <c r="E458" t="str">
        <f>_xlfn.XLOOKUP(tblOrders[[#This Row],[CustomerID]],tblCustomers[CustomerID],tblCustomers[Gender],"not found")</f>
        <v>Male</v>
      </c>
      <c r="F458" t="str">
        <f>_xlfn.XLOOKUP(tblOrders[[#This Row],[CustomerID]],tblCustomers[CustomerID],tblCustomers[Region],"not found")</f>
        <v>Central</v>
      </c>
      <c r="G458">
        <v>1034</v>
      </c>
      <c r="H458" t="str">
        <f>_xlfn.XLOOKUP(tblOrders[[#This Row],[ProductID]],tblProducts[ProductID],tblProducts[ProductName],"not found")</f>
        <v>Mr</v>
      </c>
      <c r="I458" t="str">
        <f>_xlfn.XLOOKUP(tblOrders[[#This Row],[ProductID]],tblProducts[ProductID],tblProducts[Category],"not found")</f>
        <v>Toys</v>
      </c>
      <c r="J458">
        <f>_xlfn.XLOOKUP(tblOrders[[#This Row],[ProductID]],tblProducts[ProductID],tblProducts[UnitPrice],"not found")</f>
        <v>196.45</v>
      </c>
      <c r="K458" t="str">
        <f>_xlfn.XLOOKUP(tblOrders[[#This Row],[ProductID]],tblProducts[ProductID],tblProducts[Supplier],"not found")</f>
        <v>Harrison Group</v>
      </c>
      <c r="L458" s="1" t="s">
        <v>2126</v>
      </c>
      <c r="M4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45077</v>
      </c>
      <c r="N458">
        <v>5</v>
      </c>
      <c r="O458">
        <v>982.25</v>
      </c>
      <c r="P458">
        <f>tblOrders[[#This Row],[Quantity]]*tblOrders[[#This Row],[Unit Price]]</f>
        <v>982.25</v>
      </c>
      <c r="Q458">
        <f>tblOrders[[#This Row],[TotalSales]]-tblOrders[[#This Row],[Calculated Sales]]</f>
        <v>0</v>
      </c>
    </row>
    <row r="459" spans="1:17" x14ac:dyDescent="0.25">
      <c r="A459">
        <v>458</v>
      </c>
      <c r="B459">
        <v>628</v>
      </c>
      <c r="C459" t="str">
        <f>_xlfn.XLOOKUP(tblOrders[[#This Row],[CustomerID]],tblCustomers[CustomerID],tblCustomers[CustomerName],"not found")</f>
        <v>Peter Chandler</v>
      </c>
      <c r="D459">
        <f>_xlfn.XLOOKUP(tblOrders[[#This Row],[CustomerID]],tblCustomers[CustomerID],tblCustomers[Age],"not found")</f>
        <v>44</v>
      </c>
      <c r="E459" t="str">
        <f>_xlfn.XLOOKUP(tblOrders[[#This Row],[CustomerID]],tblCustomers[CustomerID],tblCustomers[Gender],"not found")</f>
        <v>Female</v>
      </c>
      <c r="F459" t="str">
        <f>_xlfn.XLOOKUP(tblOrders[[#This Row],[CustomerID]],tblCustomers[CustomerID],tblCustomers[Region],"not found")</f>
        <v>West</v>
      </c>
      <c r="G459">
        <v>1034</v>
      </c>
      <c r="H459" t="str">
        <f>_xlfn.XLOOKUP(tblOrders[[#This Row],[ProductID]],tblProducts[ProductID],tblProducts[ProductName],"not found")</f>
        <v>Mr</v>
      </c>
      <c r="I459" t="str">
        <f>_xlfn.XLOOKUP(tblOrders[[#This Row],[ProductID]],tblProducts[ProductID],tblProducts[Category],"not found")</f>
        <v>Toys</v>
      </c>
      <c r="J459">
        <f>_xlfn.XLOOKUP(tblOrders[[#This Row],[ProductID]],tblProducts[ProductID],tblProducts[UnitPrice],"not found")</f>
        <v>196.45</v>
      </c>
      <c r="K459" t="str">
        <f>_xlfn.XLOOKUP(tblOrders[[#This Row],[ProductID]],tblProducts[ProductID],tblProducts[Supplier],"not found")</f>
        <v>Harrison Group</v>
      </c>
      <c r="L459" s="1">
        <v>45049</v>
      </c>
      <c r="M4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45049</v>
      </c>
      <c r="N459">
        <v>2</v>
      </c>
      <c r="O459">
        <v>392.9</v>
      </c>
      <c r="P459">
        <f>tblOrders[[#This Row],[Quantity]]*tblOrders[[#This Row],[Unit Price]]</f>
        <v>392.9</v>
      </c>
      <c r="Q459">
        <f>tblOrders[[#This Row],[TotalSales]]-tblOrders[[#This Row],[Calculated Sales]]</f>
        <v>0</v>
      </c>
    </row>
    <row r="460" spans="1:17" x14ac:dyDescent="0.25">
      <c r="A460">
        <v>537</v>
      </c>
      <c r="B460">
        <v>189</v>
      </c>
      <c r="C460" t="str">
        <f>_xlfn.XLOOKUP(tblOrders[[#This Row],[CustomerID]],tblCustomers[CustomerID],tblCustomers[CustomerName],"not found")</f>
        <v>Carlos Bright</v>
      </c>
      <c r="D460">
        <f>_xlfn.XLOOKUP(tblOrders[[#This Row],[CustomerID]],tblCustomers[CustomerID],tblCustomers[Age],"not found")</f>
        <v>54</v>
      </c>
      <c r="E460" t="str">
        <f>_xlfn.XLOOKUP(tblOrders[[#This Row],[CustomerID]],tblCustomers[CustomerID],tblCustomers[Gender],"not found")</f>
        <v>Male</v>
      </c>
      <c r="F460" t="str">
        <f>_xlfn.XLOOKUP(tblOrders[[#This Row],[CustomerID]],tblCustomers[CustomerID],tblCustomers[Region],"not found")</f>
        <v>East</v>
      </c>
      <c r="G460">
        <v>1034</v>
      </c>
      <c r="H460" t="str">
        <f>_xlfn.XLOOKUP(tblOrders[[#This Row],[ProductID]],tblProducts[ProductID],tblProducts[ProductName],"not found")</f>
        <v>Mr</v>
      </c>
      <c r="I460" t="str">
        <f>_xlfn.XLOOKUP(tblOrders[[#This Row],[ProductID]],tblProducts[ProductID],tblProducts[Category],"not found")</f>
        <v>Toys</v>
      </c>
      <c r="J460">
        <f>_xlfn.XLOOKUP(tblOrders[[#This Row],[ProductID]],tblProducts[ProductID],tblProducts[UnitPrice],"not found")</f>
        <v>196.45</v>
      </c>
      <c r="K460" t="str">
        <f>_xlfn.XLOOKUP(tblOrders[[#This Row],[ProductID]],tblProducts[ProductID],tblProducts[Supplier],"not found")</f>
        <v>Harrison Group</v>
      </c>
      <c r="L460" s="1" t="s">
        <v>2219</v>
      </c>
      <c r="M4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45036</v>
      </c>
      <c r="N460">
        <v>5</v>
      </c>
      <c r="O460">
        <v>982.25</v>
      </c>
      <c r="P460">
        <f>tblOrders[[#This Row],[Quantity]]*tblOrders[[#This Row],[Unit Price]]</f>
        <v>982.25</v>
      </c>
      <c r="Q460">
        <f>tblOrders[[#This Row],[TotalSales]]-tblOrders[[#This Row],[Calculated Sales]]</f>
        <v>0</v>
      </c>
    </row>
    <row r="461" spans="1:17" x14ac:dyDescent="0.25">
      <c r="A461">
        <v>648</v>
      </c>
      <c r="B461">
        <v>104</v>
      </c>
      <c r="C461" t="str">
        <f>_xlfn.XLOOKUP(tblOrders[[#This Row],[CustomerID]],tblCustomers[CustomerID],tblCustomers[CustomerName],"not found")</f>
        <v>Amy Roach</v>
      </c>
      <c r="D461">
        <f>_xlfn.XLOOKUP(tblOrders[[#This Row],[CustomerID]],tblCustomers[CustomerID],tblCustomers[Age],"not found")</f>
        <v>32</v>
      </c>
      <c r="E461" t="str">
        <f>_xlfn.XLOOKUP(tblOrders[[#This Row],[CustomerID]],tblCustomers[CustomerID],tblCustomers[Gender],"not found")</f>
        <v>Male</v>
      </c>
      <c r="F461" t="str">
        <f>_xlfn.XLOOKUP(tblOrders[[#This Row],[CustomerID]],tblCustomers[CustomerID],tblCustomers[Region],"not found")</f>
        <v>South</v>
      </c>
      <c r="G461">
        <v>1034</v>
      </c>
      <c r="H461" t="str">
        <f>_xlfn.XLOOKUP(tblOrders[[#This Row],[ProductID]],tblProducts[ProductID],tblProducts[ProductName],"not found")</f>
        <v>Mr</v>
      </c>
      <c r="I461" t="str">
        <f>_xlfn.XLOOKUP(tblOrders[[#This Row],[ProductID]],tblProducts[ProductID],tblProducts[Category],"not found")</f>
        <v>Toys</v>
      </c>
      <c r="J461">
        <f>_xlfn.XLOOKUP(tblOrders[[#This Row],[ProductID]],tblProducts[ProductID],tblProducts[UnitPrice],"not found")</f>
        <v>196.45</v>
      </c>
      <c r="K461" t="str">
        <f>_xlfn.XLOOKUP(tblOrders[[#This Row],[ProductID]],tblProducts[ProductID],tblProducts[Supplier],"not found")</f>
        <v>Harrison Group</v>
      </c>
      <c r="L461" s="1" t="s">
        <v>2220</v>
      </c>
      <c r="M4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45342</v>
      </c>
      <c r="N461">
        <v>9</v>
      </c>
      <c r="O461">
        <v>1768.05</v>
      </c>
      <c r="P461">
        <f>tblOrders[[#This Row],[Quantity]]*tblOrders[[#This Row],[Unit Price]]</f>
        <v>1768.05</v>
      </c>
      <c r="Q461">
        <f>tblOrders[[#This Row],[TotalSales]]-tblOrders[[#This Row],[Calculated Sales]]</f>
        <v>0</v>
      </c>
    </row>
    <row r="462" spans="1:17" x14ac:dyDescent="0.25">
      <c r="A462">
        <v>722</v>
      </c>
      <c r="B462">
        <v>584</v>
      </c>
      <c r="C462" t="str">
        <f>_xlfn.XLOOKUP(tblOrders[[#This Row],[CustomerID]],tblCustomers[CustomerID],tblCustomers[CustomerName],"not found")</f>
        <v>Lisa Young</v>
      </c>
      <c r="D462">
        <f>_xlfn.XLOOKUP(tblOrders[[#This Row],[CustomerID]],tblCustomers[CustomerID],tblCustomers[Age],"not found")</f>
        <v>33</v>
      </c>
      <c r="E462" t="str">
        <f>_xlfn.XLOOKUP(tblOrders[[#This Row],[CustomerID]],tblCustomers[CustomerID],tblCustomers[Gender],"not found")</f>
        <v>Male</v>
      </c>
      <c r="F462" t="str">
        <f>_xlfn.XLOOKUP(tblOrders[[#This Row],[CustomerID]],tblCustomers[CustomerID],tblCustomers[Region],"not found")</f>
        <v>East</v>
      </c>
      <c r="G462">
        <v>1034</v>
      </c>
      <c r="H462" t="str">
        <f>_xlfn.XLOOKUP(tblOrders[[#This Row],[ProductID]],tblProducts[ProductID],tblProducts[ProductName],"not found")</f>
        <v>Mr</v>
      </c>
      <c r="I462" t="str">
        <f>_xlfn.XLOOKUP(tblOrders[[#This Row],[ProductID]],tblProducts[ProductID],tblProducts[Category],"not found")</f>
        <v>Toys</v>
      </c>
      <c r="J462">
        <f>_xlfn.XLOOKUP(tblOrders[[#This Row],[ProductID]],tblProducts[ProductID],tblProducts[UnitPrice],"not found")</f>
        <v>196.45</v>
      </c>
      <c r="K462" t="str">
        <f>_xlfn.XLOOKUP(tblOrders[[#This Row],[ProductID]],tblProducts[ProductID],tblProducts[Supplier],"not found")</f>
        <v>Harrison Group</v>
      </c>
      <c r="L462" s="1">
        <v>45635</v>
      </c>
      <c r="M4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45635</v>
      </c>
      <c r="N462">
        <v>5</v>
      </c>
      <c r="O462">
        <v>982.25</v>
      </c>
      <c r="P462">
        <f>tblOrders[[#This Row],[Quantity]]*tblOrders[[#This Row],[Unit Price]]</f>
        <v>982.25</v>
      </c>
      <c r="Q462">
        <f>tblOrders[[#This Row],[TotalSales]]-tblOrders[[#This Row],[Calculated Sales]]</f>
        <v>0</v>
      </c>
    </row>
    <row r="463" spans="1:17" x14ac:dyDescent="0.25">
      <c r="A463">
        <v>728</v>
      </c>
      <c r="B463">
        <v>116</v>
      </c>
      <c r="C463" t="str">
        <f>_xlfn.XLOOKUP(tblOrders[[#This Row],[CustomerID]],tblCustomers[CustomerID],tblCustomers[CustomerName],"not found")</f>
        <v>Samantha Hood</v>
      </c>
      <c r="D463">
        <f>_xlfn.XLOOKUP(tblOrders[[#This Row],[CustomerID]],tblCustomers[CustomerID],tblCustomers[Age],"not found")</f>
        <v>66</v>
      </c>
      <c r="E463" t="str">
        <f>_xlfn.XLOOKUP(tblOrders[[#This Row],[CustomerID]],tblCustomers[CustomerID],tblCustomers[Gender],"not found")</f>
        <v>Female</v>
      </c>
      <c r="F463" t="str">
        <f>_xlfn.XLOOKUP(tblOrders[[#This Row],[CustomerID]],tblCustomers[CustomerID],tblCustomers[Region],"not found")</f>
        <v>East</v>
      </c>
      <c r="G463">
        <v>1034</v>
      </c>
      <c r="H463" t="str">
        <f>_xlfn.XLOOKUP(tblOrders[[#This Row],[ProductID]],tblProducts[ProductID],tblProducts[ProductName],"not found")</f>
        <v>Mr</v>
      </c>
      <c r="I463" t="str">
        <f>_xlfn.XLOOKUP(tblOrders[[#This Row],[ProductID]],tblProducts[ProductID],tblProducts[Category],"not found")</f>
        <v>Toys</v>
      </c>
      <c r="J463">
        <f>_xlfn.XLOOKUP(tblOrders[[#This Row],[ProductID]],tblProducts[ProductID],tblProducts[UnitPrice],"not found")</f>
        <v>196.45</v>
      </c>
      <c r="K463" t="str">
        <f>_xlfn.XLOOKUP(tblOrders[[#This Row],[ProductID]],tblProducts[ProductID],tblProducts[Supplier],"not found")</f>
        <v>Harrison Group</v>
      </c>
      <c r="L463" s="1">
        <v>45088</v>
      </c>
      <c r="M4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45088</v>
      </c>
      <c r="N463">
        <v>4</v>
      </c>
      <c r="O463">
        <v>785.8</v>
      </c>
      <c r="P463">
        <f>tblOrders[[#This Row],[Quantity]]*tblOrders[[#This Row],[Unit Price]]</f>
        <v>785.8</v>
      </c>
      <c r="Q463">
        <f>tblOrders[[#This Row],[TotalSales]]-tblOrders[[#This Row],[Calculated Sales]]</f>
        <v>0</v>
      </c>
    </row>
    <row r="464" spans="1:17" x14ac:dyDescent="0.25">
      <c r="A464">
        <v>749</v>
      </c>
      <c r="B464">
        <v>872</v>
      </c>
      <c r="C464" t="str">
        <f>_xlfn.XLOOKUP(tblOrders[[#This Row],[CustomerID]],tblCustomers[CustomerID],tblCustomers[CustomerName],"not found")</f>
        <v>Elizabeth Hall</v>
      </c>
      <c r="D464">
        <f>_xlfn.XLOOKUP(tblOrders[[#This Row],[CustomerID]],tblCustomers[CustomerID],tblCustomers[Age],"not found")</f>
        <v>34</v>
      </c>
      <c r="E464" t="str">
        <f>_xlfn.XLOOKUP(tblOrders[[#This Row],[CustomerID]],tblCustomers[CustomerID],tblCustomers[Gender],"not found")</f>
        <v>Female</v>
      </c>
      <c r="F464" t="str">
        <f>_xlfn.XLOOKUP(tblOrders[[#This Row],[CustomerID]],tblCustomers[CustomerID],tblCustomers[Region],"not found")</f>
        <v>Central</v>
      </c>
      <c r="G464">
        <v>1034</v>
      </c>
      <c r="H464" t="str">
        <f>_xlfn.XLOOKUP(tblOrders[[#This Row],[ProductID]],tblProducts[ProductID],tblProducts[ProductName],"not found")</f>
        <v>Mr</v>
      </c>
      <c r="I464" t="str">
        <f>_xlfn.XLOOKUP(tblOrders[[#This Row],[ProductID]],tblProducts[ProductID],tblProducts[Category],"not found")</f>
        <v>Toys</v>
      </c>
      <c r="J464">
        <f>_xlfn.XLOOKUP(tblOrders[[#This Row],[ProductID]],tblProducts[ProductID],tblProducts[UnitPrice],"not found")</f>
        <v>196.45</v>
      </c>
      <c r="K464" t="str">
        <f>_xlfn.XLOOKUP(tblOrders[[#This Row],[ProductID]],tblProducts[ProductID],tblProducts[Supplier],"not found")</f>
        <v>Harrison Group</v>
      </c>
      <c r="L464" s="1">
        <v>45300</v>
      </c>
      <c r="M4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45300</v>
      </c>
      <c r="N464">
        <v>6</v>
      </c>
      <c r="O464">
        <v>1178.7</v>
      </c>
      <c r="P464">
        <f>tblOrders[[#This Row],[Quantity]]*tblOrders[[#This Row],[Unit Price]]</f>
        <v>1178.6999999999998</v>
      </c>
      <c r="Q464">
        <f>tblOrders[[#This Row],[TotalSales]]-tblOrders[[#This Row],[Calculated Sales]]</f>
        <v>0</v>
      </c>
    </row>
    <row r="465" spans="1:17" x14ac:dyDescent="0.25">
      <c r="A465">
        <v>896</v>
      </c>
      <c r="B465">
        <v>142</v>
      </c>
      <c r="C465" t="str">
        <f>_xlfn.XLOOKUP(tblOrders[[#This Row],[CustomerID]],tblCustomers[CustomerID],tblCustomers[CustomerName],"not found")</f>
        <v>Susan Jones</v>
      </c>
      <c r="D465">
        <f>_xlfn.XLOOKUP(tblOrders[[#This Row],[CustomerID]],tblCustomers[CustomerID],tblCustomers[Age],"not found")</f>
        <v>60</v>
      </c>
      <c r="E465" t="str">
        <f>_xlfn.XLOOKUP(tblOrders[[#This Row],[CustomerID]],tblCustomers[CustomerID],tblCustomers[Gender],"not found")</f>
        <v>Female</v>
      </c>
      <c r="F465" t="str">
        <f>_xlfn.XLOOKUP(tblOrders[[#This Row],[CustomerID]],tblCustomers[CustomerID],tblCustomers[Region],"not found")</f>
        <v>North</v>
      </c>
      <c r="G465">
        <v>1034</v>
      </c>
      <c r="H465" t="str">
        <f>_xlfn.XLOOKUP(tblOrders[[#This Row],[ProductID]],tblProducts[ProductID],tblProducts[ProductName],"not found")</f>
        <v>Mr</v>
      </c>
      <c r="I465" t="str">
        <f>_xlfn.XLOOKUP(tblOrders[[#This Row],[ProductID]],tblProducts[ProductID],tblProducts[Category],"not found")</f>
        <v>Toys</v>
      </c>
      <c r="J465">
        <f>_xlfn.XLOOKUP(tblOrders[[#This Row],[ProductID]],tblProducts[ProductID],tblProducts[UnitPrice],"not found")</f>
        <v>196.45</v>
      </c>
      <c r="K465" t="str">
        <f>_xlfn.XLOOKUP(tblOrders[[#This Row],[ProductID]],tblProducts[ProductID],tblProducts[Supplier],"not found")</f>
        <v>Harrison Group</v>
      </c>
      <c r="L465" s="1" t="s">
        <v>2132</v>
      </c>
      <c r="M4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465">
        <v>6</v>
      </c>
      <c r="O465">
        <v>1178.7</v>
      </c>
      <c r="P465">
        <f>tblOrders[[#This Row],[Quantity]]*tblOrders[[#This Row],[Unit Price]]</f>
        <v>1178.6999999999998</v>
      </c>
      <c r="Q465">
        <f>tblOrders[[#This Row],[TotalSales]]-tblOrders[[#This Row],[Calculated Sales]]</f>
        <v>0</v>
      </c>
    </row>
    <row r="466" spans="1:17" x14ac:dyDescent="0.25">
      <c r="A466">
        <v>942</v>
      </c>
      <c r="B466">
        <v>527</v>
      </c>
      <c r="C466" t="str">
        <f>_xlfn.XLOOKUP(tblOrders[[#This Row],[CustomerID]],tblCustomers[CustomerID],tblCustomers[CustomerName],"not found")</f>
        <v>Michelle Ross</v>
      </c>
      <c r="D466">
        <f>_xlfn.XLOOKUP(tblOrders[[#This Row],[CustomerID]],tblCustomers[CustomerID],tblCustomers[Age],"not found")</f>
        <v>35</v>
      </c>
      <c r="E466" t="str">
        <f>_xlfn.XLOOKUP(tblOrders[[#This Row],[CustomerID]],tblCustomers[CustomerID],tblCustomers[Gender],"not found")</f>
        <v>Male</v>
      </c>
      <c r="F466" t="str">
        <f>_xlfn.XLOOKUP(tblOrders[[#This Row],[CustomerID]],tblCustomers[CustomerID],tblCustomers[Region],"not found")</f>
        <v>West</v>
      </c>
      <c r="G466">
        <v>1034</v>
      </c>
      <c r="H466" t="str">
        <f>_xlfn.XLOOKUP(tblOrders[[#This Row],[ProductID]],tblProducts[ProductID],tblProducts[ProductName],"not found")</f>
        <v>Mr</v>
      </c>
      <c r="I466" t="str">
        <f>_xlfn.XLOOKUP(tblOrders[[#This Row],[ProductID]],tblProducts[ProductID],tblProducts[Category],"not found")</f>
        <v>Toys</v>
      </c>
      <c r="J466">
        <f>_xlfn.XLOOKUP(tblOrders[[#This Row],[ProductID]],tblProducts[ProductID],tblProducts[UnitPrice],"not found")</f>
        <v>196.45</v>
      </c>
      <c r="K466" t="str">
        <f>_xlfn.XLOOKUP(tblOrders[[#This Row],[ProductID]],tblProducts[ProductID],tblProducts[Supplier],"not found")</f>
        <v>Harrison Group</v>
      </c>
      <c r="L466" s="1">
        <v>45114</v>
      </c>
      <c r="M4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45114</v>
      </c>
      <c r="N466">
        <v>8</v>
      </c>
      <c r="O466">
        <v>1571.6</v>
      </c>
      <c r="P466">
        <f>tblOrders[[#This Row],[Quantity]]*tblOrders[[#This Row],[Unit Price]]</f>
        <v>1571.6</v>
      </c>
      <c r="Q466">
        <f>tblOrders[[#This Row],[TotalSales]]-tblOrders[[#This Row],[Calculated Sales]]</f>
        <v>0</v>
      </c>
    </row>
    <row r="467" spans="1:17" x14ac:dyDescent="0.25">
      <c r="A467">
        <v>1078</v>
      </c>
      <c r="B467">
        <v>744</v>
      </c>
      <c r="C467" t="str">
        <f>_xlfn.XLOOKUP(tblOrders[[#This Row],[CustomerID]],tblCustomers[CustomerID],tblCustomers[CustomerName],"not found")</f>
        <v>Angel Stewart</v>
      </c>
      <c r="D467">
        <f>_xlfn.XLOOKUP(tblOrders[[#This Row],[CustomerID]],tblCustomers[CustomerID],tblCustomers[Age],"not found")</f>
        <v>27</v>
      </c>
      <c r="E467" t="str">
        <f>_xlfn.XLOOKUP(tblOrders[[#This Row],[CustomerID]],tblCustomers[CustomerID],tblCustomers[Gender],"not found")</f>
        <v>Male</v>
      </c>
      <c r="F467" t="str">
        <f>_xlfn.XLOOKUP(tblOrders[[#This Row],[CustomerID]],tblCustomers[CustomerID],tblCustomers[Region],"not found")</f>
        <v>South</v>
      </c>
      <c r="G467">
        <v>1034</v>
      </c>
      <c r="H467" t="str">
        <f>_xlfn.XLOOKUP(tblOrders[[#This Row],[ProductID]],tblProducts[ProductID],tblProducts[ProductName],"not found")</f>
        <v>Mr</v>
      </c>
      <c r="I467" t="str">
        <f>_xlfn.XLOOKUP(tblOrders[[#This Row],[ProductID]],tblProducts[ProductID],tblProducts[Category],"not found")</f>
        <v>Toys</v>
      </c>
      <c r="J467">
        <f>_xlfn.XLOOKUP(tblOrders[[#This Row],[ProductID]],tblProducts[ProductID],tblProducts[UnitPrice],"not found")</f>
        <v>196.45</v>
      </c>
      <c r="K467" t="str">
        <f>_xlfn.XLOOKUP(tblOrders[[#This Row],[ProductID]],tblProducts[ProductID],tblProducts[Supplier],"not found")</f>
        <v>Harrison Group</v>
      </c>
      <c r="L467" s="1" t="s">
        <v>2221</v>
      </c>
      <c r="M4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45260</v>
      </c>
      <c r="N467">
        <v>6</v>
      </c>
      <c r="O467">
        <v>1178.7</v>
      </c>
      <c r="P467">
        <f>tblOrders[[#This Row],[Quantity]]*tblOrders[[#This Row],[Unit Price]]</f>
        <v>1178.6999999999998</v>
      </c>
      <c r="Q467">
        <f>tblOrders[[#This Row],[TotalSales]]-tblOrders[[#This Row],[Calculated Sales]]</f>
        <v>0</v>
      </c>
    </row>
    <row r="468" spans="1:17" x14ac:dyDescent="0.25">
      <c r="A468">
        <v>1118</v>
      </c>
      <c r="B468">
        <v>456</v>
      </c>
      <c r="C468" t="str">
        <f>_xlfn.XLOOKUP(tblOrders[[#This Row],[CustomerID]],tblCustomers[CustomerID],tblCustomers[CustomerName],"not found")</f>
        <v>Valerie Mays</v>
      </c>
      <c r="D468">
        <f>_xlfn.XLOOKUP(tblOrders[[#This Row],[CustomerID]],tblCustomers[CustomerID],tblCustomers[Age],"not found")</f>
        <v>50</v>
      </c>
      <c r="E468" t="str">
        <f>_xlfn.XLOOKUP(tblOrders[[#This Row],[CustomerID]],tblCustomers[CustomerID],tblCustomers[Gender],"not found")</f>
        <v>Male</v>
      </c>
      <c r="F468" t="str">
        <f>_xlfn.XLOOKUP(tblOrders[[#This Row],[CustomerID]],tblCustomers[CustomerID],tblCustomers[Region],"not found")</f>
        <v>West</v>
      </c>
      <c r="G468">
        <v>1034</v>
      </c>
      <c r="H468" t="str">
        <f>_xlfn.XLOOKUP(tblOrders[[#This Row],[ProductID]],tblProducts[ProductID],tblProducts[ProductName],"not found")</f>
        <v>Mr</v>
      </c>
      <c r="I468" t="str">
        <f>_xlfn.XLOOKUP(tblOrders[[#This Row],[ProductID]],tblProducts[ProductID],tblProducts[Category],"not found")</f>
        <v>Toys</v>
      </c>
      <c r="J468">
        <f>_xlfn.XLOOKUP(tblOrders[[#This Row],[ProductID]],tblProducts[ProductID],tblProducts[UnitPrice],"not found")</f>
        <v>196.45</v>
      </c>
      <c r="K468" t="str">
        <f>_xlfn.XLOOKUP(tblOrders[[#This Row],[ProductID]],tblProducts[ProductID],tblProducts[Supplier],"not found")</f>
        <v>Harrison Group</v>
      </c>
      <c r="L468" s="1">
        <v>44929</v>
      </c>
      <c r="M4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44929</v>
      </c>
      <c r="N468">
        <v>6</v>
      </c>
      <c r="O468">
        <v>1178.7</v>
      </c>
      <c r="P468">
        <f>tblOrders[[#This Row],[Quantity]]*tblOrders[[#This Row],[Unit Price]]</f>
        <v>1178.6999999999998</v>
      </c>
      <c r="Q468">
        <f>tblOrders[[#This Row],[TotalSales]]-tblOrders[[#This Row],[Calculated Sales]]</f>
        <v>0</v>
      </c>
    </row>
    <row r="469" spans="1:17" x14ac:dyDescent="0.25">
      <c r="A469">
        <v>1199</v>
      </c>
      <c r="B469">
        <v>609</v>
      </c>
      <c r="C469" t="str">
        <f>_xlfn.XLOOKUP(tblOrders[[#This Row],[CustomerID]],tblCustomers[CustomerID],tblCustomers[CustomerName],"not found")</f>
        <v>Jeffrey Harris</v>
      </c>
      <c r="D469">
        <f>_xlfn.XLOOKUP(tblOrders[[#This Row],[CustomerID]],tblCustomers[CustomerID],tblCustomers[Age],"not found")</f>
        <v>62</v>
      </c>
      <c r="E469" t="str">
        <f>_xlfn.XLOOKUP(tblOrders[[#This Row],[CustomerID]],tblCustomers[CustomerID],tblCustomers[Gender],"not found")</f>
        <v>Male</v>
      </c>
      <c r="F469" t="str">
        <f>_xlfn.XLOOKUP(tblOrders[[#This Row],[CustomerID]],tblCustomers[CustomerID],tblCustomers[Region],"not found")</f>
        <v>East</v>
      </c>
      <c r="G469">
        <v>1034</v>
      </c>
      <c r="H469" t="str">
        <f>_xlfn.XLOOKUP(tblOrders[[#This Row],[ProductID]],tblProducts[ProductID],tblProducts[ProductName],"not found")</f>
        <v>Mr</v>
      </c>
      <c r="I469" t="str">
        <f>_xlfn.XLOOKUP(tblOrders[[#This Row],[ProductID]],tblProducts[ProductID],tblProducts[Category],"not found")</f>
        <v>Toys</v>
      </c>
      <c r="J469">
        <f>_xlfn.XLOOKUP(tblOrders[[#This Row],[ProductID]],tblProducts[ProductID],tblProducts[UnitPrice],"not found")</f>
        <v>196.45</v>
      </c>
      <c r="K469" t="str">
        <f>_xlfn.XLOOKUP(tblOrders[[#This Row],[ProductID]],tblProducts[ProductID],tblProducts[Supplier],"not found")</f>
        <v>Harrison Group</v>
      </c>
      <c r="L469" s="1" t="s">
        <v>2222</v>
      </c>
      <c r="M4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45074</v>
      </c>
      <c r="N469">
        <v>7</v>
      </c>
      <c r="O469">
        <v>1375.15</v>
      </c>
      <c r="P469">
        <f>tblOrders[[#This Row],[Quantity]]*tblOrders[[#This Row],[Unit Price]]</f>
        <v>1375.1499999999999</v>
      </c>
      <c r="Q469">
        <f>tblOrders[[#This Row],[TotalSales]]-tblOrders[[#This Row],[Calculated Sales]]</f>
        <v>0</v>
      </c>
    </row>
    <row r="470" spans="1:17" x14ac:dyDescent="0.25">
      <c r="A470">
        <v>1250</v>
      </c>
      <c r="B470">
        <v>883</v>
      </c>
      <c r="C470" t="str">
        <f>_xlfn.XLOOKUP(tblOrders[[#This Row],[CustomerID]],tblCustomers[CustomerID],tblCustomers[CustomerName],"not found")</f>
        <v>Madison Wilson</v>
      </c>
      <c r="D470">
        <f>_xlfn.XLOOKUP(tblOrders[[#This Row],[CustomerID]],tblCustomers[CustomerID],tblCustomers[Age],"not found")</f>
        <v>66</v>
      </c>
      <c r="E470" t="str">
        <f>_xlfn.XLOOKUP(tblOrders[[#This Row],[CustomerID]],tblCustomers[CustomerID],tblCustomers[Gender],"not found")</f>
        <v>Male</v>
      </c>
      <c r="F470" t="str">
        <f>_xlfn.XLOOKUP(tblOrders[[#This Row],[CustomerID]],tblCustomers[CustomerID],tblCustomers[Region],"not found")</f>
        <v>Central</v>
      </c>
      <c r="G470">
        <v>1034</v>
      </c>
      <c r="H470" t="str">
        <f>_xlfn.XLOOKUP(tblOrders[[#This Row],[ProductID]],tblProducts[ProductID],tblProducts[ProductName],"not found")</f>
        <v>Mr</v>
      </c>
      <c r="I470" t="str">
        <f>_xlfn.XLOOKUP(tblOrders[[#This Row],[ProductID]],tblProducts[ProductID],tblProducts[Category],"not found")</f>
        <v>Toys</v>
      </c>
      <c r="J470">
        <f>_xlfn.XLOOKUP(tblOrders[[#This Row],[ProductID]],tblProducts[ProductID],tblProducts[UnitPrice],"not found")</f>
        <v>196.45</v>
      </c>
      <c r="K470" t="str">
        <f>_xlfn.XLOOKUP(tblOrders[[#This Row],[ProductID]],tblProducts[ProductID],tblProducts[Supplier],"not found")</f>
        <v>Harrison Group</v>
      </c>
      <c r="L470" s="1">
        <v>45236</v>
      </c>
      <c r="M4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45236</v>
      </c>
      <c r="N470">
        <v>3</v>
      </c>
      <c r="O470">
        <v>589.35</v>
      </c>
      <c r="P470">
        <f>tblOrders[[#This Row],[Quantity]]*tblOrders[[#This Row],[Unit Price]]</f>
        <v>589.34999999999991</v>
      </c>
      <c r="Q470">
        <f>tblOrders[[#This Row],[TotalSales]]-tblOrders[[#This Row],[Calculated Sales]]</f>
        <v>0</v>
      </c>
    </row>
    <row r="471" spans="1:17" x14ac:dyDescent="0.25">
      <c r="A471">
        <v>1422</v>
      </c>
      <c r="B471">
        <v>30</v>
      </c>
      <c r="C471" t="str">
        <f>_xlfn.XLOOKUP(tblOrders[[#This Row],[CustomerID]],tblCustomers[CustomerID],tblCustomers[CustomerName],"not found")</f>
        <v>Michael Martinez</v>
      </c>
      <c r="D471">
        <f>_xlfn.XLOOKUP(tblOrders[[#This Row],[CustomerID]],tblCustomers[CustomerID],tblCustomers[Age],"not found")</f>
        <v>45</v>
      </c>
      <c r="E471" t="str">
        <f>_xlfn.XLOOKUP(tblOrders[[#This Row],[CustomerID]],tblCustomers[CustomerID],tblCustomers[Gender],"not found")</f>
        <v>Female</v>
      </c>
      <c r="F471" t="str">
        <f>_xlfn.XLOOKUP(tblOrders[[#This Row],[CustomerID]],tblCustomers[CustomerID],tblCustomers[Region],"not found")</f>
        <v>East</v>
      </c>
      <c r="G471">
        <v>1034</v>
      </c>
      <c r="H471" t="str">
        <f>_xlfn.XLOOKUP(tblOrders[[#This Row],[ProductID]],tblProducts[ProductID],tblProducts[ProductName],"not found")</f>
        <v>Mr</v>
      </c>
      <c r="I471" t="str">
        <f>_xlfn.XLOOKUP(tblOrders[[#This Row],[ProductID]],tblProducts[ProductID],tblProducts[Category],"not found")</f>
        <v>Toys</v>
      </c>
      <c r="J471">
        <f>_xlfn.XLOOKUP(tblOrders[[#This Row],[ProductID]],tblProducts[ProductID],tblProducts[UnitPrice],"not found")</f>
        <v>196.45</v>
      </c>
      <c r="K471" t="str">
        <f>_xlfn.XLOOKUP(tblOrders[[#This Row],[ProductID]],tblProducts[ProductID],tblProducts[Supplier],"not found")</f>
        <v>Harrison Group</v>
      </c>
      <c r="L471" s="1">
        <v>44966</v>
      </c>
      <c r="M4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44966</v>
      </c>
      <c r="N471">
        <v>6</v>
      </c>
      <c r="O471">
        <v>1178.7</v>
      </c>
      <c r="P471">
        <f>tblOrders[[#This Row],[Quantity]]*tblOrders[[#This Row],[Unit Price]]</f>
        <v>1178.6999999999998</v>
      </c>
      <c r="Q471">
        <f>tblOrders[[#This Row],[TotalSales]]-tblOrders[[#This Row],[Calculated Sales]]</f>
        <v>0</v>
      </c>
    </row>
    <row r="472" spans="1:17" x14ac:dyDescent="0.25">
      <c r="A472">
        <v>1543</v>
      </c>
      <c r="B472">
        <v>657</v>
      </c>
      <c r="C472" t="str">
        <f>_xlfn.XLOOKUP(tblOrders[[#This Row],[CustomerID]],tblCustomers[CustomerID],tblCustomers[CustomerName],"not found")</f>
        <v>Denise Kerr</v>
      </c>
      <c r="D472">
        <f>_xlfn.XLOOKUP(tblOrders[[#This Row],[CustomerID]],tblCustomers[CustomerID],tblCustomers[Age],"not found")</f>
        <v>36</v>
      </c>
      <c r="E472" t="str">
        <f>_xlfn.XLOOKUP(tblOrders[[#This Row],[CustomerID]],tblCustomers[CustomerID],tblCustomers[Gender],"not found")</f>
        <v>Female</v>
      </c>
      <c r="F472" t="str">
        <f>_xlfn.XLOOKUP(tblOrders[[#This Row],[CustomerID]],tblCustomers[CustomerID],tblCustomers[Region],"not found")</f>
        <v>South</v>
      </c>
      <c r="G472">
        <v>1034</v>
      </c>
      <c r="H472" t="str">
        <f>_xlfn.XLOOKUP(tblOrders[[#This Row],[ProductID]],tblProducts[ProductID],tblProducts[ProductName],"not found")</f>
        <v>Mr</v>
      </c>
      <c r="I472" t="str">
        <f>_xlfn.XLOOKUP(tblOrders[[#This Row],[ProductID]],tblProducts[ProductID],tblProducts[Category],"not found")</f>
        <v>Toys</v>
      </c>
      <c r="J472">
        <f>_xlfn.XLOOKUP(tblOrders[[#This Row],[ProductID]],tblProducts[ProductID],tblProducts[UnitPrice],"not found")</f>
        <v>196.45</v>
      </c>
      <c r="K472" t="str">
        <f>_xlfn.XLOOKUP(tblOrders[[#This Row],[ProductID]],tblProducts[ProductID],tblProducts[Supplier],"not found")</f>
        <v>Harrison Group</v>
      </c>
      <c r="L472" s="1" t="s">
        <v>2083</v>
      </c>
      <c r="M4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45000</v>
      </c>
      <c r="N472">
        <v>4</v>
      </c>
      <c r="O472">
        <v>785.8</v>
      </c>
      <c r="P472">
        <f>tblOrders[[#This Row],[Quantity]]*tblOrders[[#This Row],[Unit Price]]</f>
        <v>785.8</v>
      </c>
      <c r="Q472">
        <f>tblOrders[[#This Row],[TotalSales]]-tblOrders[[#This Row],[Calculated Sales]]</f>
        <v>0</v>
      </c>
    </row>
    <row r="473" spans="1:17" x14ac:dyDescent="0.25">
      <c r="A473">
        <v>1650</v>
      </c>
      <c r="B473">
        <v>884</v>
      </c>
      <c r="C473" t="str">
        <f>_xlfn.XLOOKUP(tblOrders[[#This Row],[CustomerID]],tblCustomers[CustomerID],tblCustomers[CustomerName],"not found")</f>
        <v>Ashley Allen</v>
      </c>
      <c r="D473">
        <f>_xlfn.XLOOKUP(tblOrders[[#This Row],[CustomerID]],tblCustomers[CustomerID],tblCustomers[Age],"not found")</f>
        <v>50</v>
      </c>
      <c r="E473" t="str">
        <f>_xlfn.XLOOKUP(tblOrders[[#This Row],[CustomerID]],tblCustomers[CustomerID],tblCustomers[Gender],"not found")</f>
        <v>Female</v>
      </c>
      <c r="F473" t="str">
        <f>_xlfn.XLOOKUP(tblOrders[[#This Row],[CustomerID]],tblCustomers[CustomerID],tblCustomers[Region],"not found")</f>
        <v>Central</v>
      </c>
      <c r="G473">
        <v>1034</v>
      </c>
      <c r="H473" t="str">
        <f>_xlfn.XLOOKUP(tblOrders[[#This Row],[ProductID]],tblProducts[ProductID],tblProducts[ProductName],"not found")</f>
        <v>Mr</v>
      </c>
      <c r="I473" t="str">
        <f>_xlfn.XLOOKUP(tblOrders[[#This Row],[ProductID]],tblProducts[ProductID],tblProducts[Category],"not found")</f>
        <v>Toys</v>
      </c>
      <c r="J473">
        <f>_xlfn.XLOOKUP(tblOrders[[#This Row],[ProductID]],tblProducts[ProductID],tblProducts[UnitPrice],"not found")</f>
        <v>196.45</v>
      </c>
      <c r="K473" t="str">
        <f>_xlfn.XLOOKUP(tblOrders[[#This Row],[ProductID]],tblProducts[ProductID],tblProducts[Supplier],"not found")</f>
        <v>Harrison Group</v>
      </c>
      <c r="L473" s="1">
        <v>45542</v>
      </c>
      <c r="M4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45542</v>
      </c>
      <c r="N473">
        <v>5</v>
      </c>
      <c r="O473">
        <v>982.25</v>
      </c>
      <c r="P473">
        <f>tblOrders[[#This Row],[Quantity]]*tblOrders[[#This Row],[Unit Price]]</f>
        <v>982.25</v>
      </c>
      <c r="Q473">
        <f>tblOrders[[#This Row],[TotalSales]]-tblOrders[[#This Row],[Calculated Sales]]</f>
        <v>0</v>
      </c>
    </row>
    <row r="474" spans="1:17" x14ac:dyDescent="0.25">
      <c r="A474">
        <v>1653</v>
      </c>
      <c r="B474">
        <v>280</v>
      </c>
      <c r="C474" t="str">
        <f>_xlfn.XLOOKUP(tblOrders[[#This Row],[CustomerID]],tblCustomers[CustomerID],tblCustomers[CustomerName],"not found")</f>
        <v>George Reynolds</v>
      </c>
      <c r="D474">
        <f>_xlfn.XLOOKUP(tblOrders[[#This Row],[CustomerID]],tblCustomers[CustomerID],tblCustomers[Age],"not found")</f>
        <v>67</v>
      </c>
      <c r="E474" t="str">
        <f>_xlfn.XLOOKUP(tblOrders[[#This Row],[CustomerID]],tblCustomers[CustomerID],tblCustomers[Gender],"not found")</f>
        <v>Male</v>
      </c>
      <c r="F474" t="str">
        <f>_xlfn.XLOOKUP(tblOrders[[#This Row],[CustomerID]],tblCustomers[CustomerID],tblCustomers[Region],"not found")</f>
        <v>North</v>
      </c>
      <c r="G474">
        <v>1034</v>
      </c>
      <c r="H474" t="str">
        <f>_xlfn.XLOOKUP(tblOrders[[#This Row],[ProductID]],tblProducts[ProductID],tblProducts[ProductName],"not found")</f>
        <v>Mr</v>
      </c>
      <c r="I474" t="str">
        <f>_xlfn.XLOOKUP(tblOrders[[#This Row],[ProductID]],tblProducts[ProductID],tblProducts[Category],"not found")</f>
        <v>Toys</v>
      </c>
      <c r="J474">
        <f>_xlfn.XLOOKUP(tblOrders[[#This Row],[ProductID]],tblProducts[ProductID],tblProducts[UnitPrice],"not found")</f>
        <v>196.45</v>
      </c>
      <c r="K474" t="str">
        <f>_xlfn.XLOOKUP(tblOrders[[#This Row],[ProductID]],tblProducts[ProductID],tblProducts[Supplier],"not found")</f>
        <v>Harrison Group</v>
      </c>
      <c r="L474" s="1" t="s">
        <v>2222</v>
      </c>
      <c r="M4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45074</v>
      </c>
      <c r="N474">
        <v>3</v>
      </c>
      <c r="O474">
        <v>589.35</v>
      </c>
      <c r="P474">
        <f>tblOrders[[#This Row],[Quantity]]*tblOrders[[#This Row],[Unit Price]]</f>
        <v>589.34999999999991</v>
      </c>
      <c r="Q474">
        <f>tblOrders[[#This Row],[TotalSales]]-tblOrders[[#This Row],[Calculated Sales]]</f>
        <v>0</v>
      </c>
    </row>
    <row r="475" spans="1:17" x14ac:dyDescent="0.25">
      <c r="A475">
        <v>1684</v>
      </c>
      <c r="B475">
        <v>373</v>
      </c>
      <c r="C475" t="str">
        <f>_xlfn.XLOOKUP(tblOrders[[#This Row],[CustomerID]],tblCustomers[CustomerID],tblCustomers[CustomerName],"not found")</f>
        <v>Robert Barrera</v>
      </c>
      <c r="D475">
        <f>_xlfn.XLOOKUP(tblOrders[[#This Row],[CustomerID]],tblCustomers[CustomerID],tblCustomers[Age],"not found")</f>
        <v>27</v>
      </c>
      <c r="E475" t="str">
        <f>_xlfn.XLOOKUP(tblOrders[[#This Row],[CustomerID]],tblCustomers[CustomerID],tblCustomers[Gender],"not found")</f>
        <v>Female</v>
      </c>
      <c r="F475" t="str">
        <f>_xlfn.XLOOKUP(tblOrders[[#This Row],[CustomerID]],tblCustomers[CustomerID],tblCustomers[Region],"not found")</f>
        <v>Central</v>
      </c>
      <c r="G475">
        <v>1034</v>
      </c>
      <c r="H475" t="str">
        <f>_xlfn.XLOOKUP(tblOrders[[#This Row],[ProductID]],tblProducts[ProductID],tblProducts[ProductName],"not found")</f>
        <v>Mr</v>
      </c>
      <c r="I475" t="str">
        <f>_xlfn.XLOOKUP(tblOrders[[#This Row],[ProductID]],tblProducts[ProductID],tblProducts[Category],"not found")</f>
        <v>Toys</v>
      </c>
      <c r="J475">
        <f>_xlfn.XLOOKUP(tblOrders[[#This Row],[ProductID]],tblProducts[ProductID],tblProducts[UnitPrice],"not found")</f>
        <v>196.45</v>
      </c>
      <c r="K475" t="str">
        <f>_xlfn.XLOOKUP(tblOrders[[#This Row],[ProductID]],tblProducts[ProductID],tblProducts[Supplier],"not found")</f>
        <v>Harrison Group</v>
      </c>
      <c r="L475" s="1">
        <v>45571</v>
      </c>
      <c r="M4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45571</v>
      </c>
      <c r="N475">
        <v>1</v>
      </c>
      <c r="O475">
        <v>196.45</v>
      </c>
      <c r="P475">
        <f>tblOrders[[#This Row],[Quantity]]*tblOrders[[#This Row],[Unit Price]]</f>
        <v>196.45</v>
      </c>
      <c r="Q475">
        <f>tblOrders[[#This Row],[TotalSales]]-tblOrders[[#This Row],[Calculated Sales]]</f>
        <v>0</v>
      </c>
    </row>
    <row r="476" spans="1:17" x14ac:dyDescent="0.25">
      <c r="A476">
        <v>1901</v>
      </c>
      <c r="B476">
        <v>659</v>
      </c>
      <c r="C476" t="str">
        <f>_xlfn.XLOOKUP(tblOrders[[#This Row],[CustomerID]],tblCustomers[CustomerID],tblCustomers[CustomerName],"not found")</f>
        <v>Tommy Haas</v>
      </c>
      <c r="D476">
        <f>_xlfn.XLOOKUP(tblOrders[[#This Row],[CustomerID]],tblCustomers[CustomerID],tblCustomers[Age],"not found")</f>
        <v>28</v>
      </c>
      <c r="E476" t="str">
        <f>_xlfn.XLOOKUP(tblOrders[[#This Row],[CustomerID]],tblCustomers[CustomerID],tblCustomers[Gender],"not found")</f>
        <v>Female</v>
      </c>
      <c r="F476" t="str">
        <f>_xlfn.XLOOKUP(tblOrders[[#This Row],[CustomerID]],tblCustomers[CustomerID],tblCustomers[Region],"not found")</f>
        <v>Central</v>
      </c>
      <c r="G476">
        <v>1034</v>
      </c>
      <c r="H476" t="str">
        <f>_xlfn.XLOOKUP(tblOrders[[#This Row],[ProductID]],tblProducts[ProductID],tblProducts[ProductName],"not found")</f>
        <v>Mr</v>
      </c>
      <c r="I476" t="str">
        <f>_xlfn.XLOOKUP(tblOrders[[#This Row],[ProductID]],tblProducts[ProductID],tblProducts[Category],"not found")</f>
        <v>Toys</v>
      </c>
      <c r="J476">
        <f>_xlfn.XLOOKUP(tblOrders[[#This Row],[ProductID]],tblProducts[ProductID],tblProducts[UnitPrice],"not found")</f>
        <v>196.45</v>
      </c>
      <c r="K476" t="str">
        <f>_xlfn.XLOOKUP(tblOrders[[#This Row],[ProductID]],tblProducts[ProductID],tblProducts[Supplier],"not found")</f>
        <v>Harrison Group</v>
      </c>
      <c r="L476" s="1" t="s">
        <v>2223</v>
      </c>
      <c r="M4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45382</v>
      </c>
      <c r="N476">
        <v>1</v>
      </c>
      <c r="O476">
        <v>196.45</v>
      </c>
      <c r="P476">
        <f>tblOrders[[#This Row],[Quantity]]*tblOrders[[#This Row],[Unit Price]]</f>
        <v>196.45</v>
      </c>
      <c r="Q476">
        <f>tblOrders[[#This Row],[TotalSales]]-tblOrders[[#This Row],[Calculated Sales]]</f>
        <v>0</v>
      </c>
    </row>
    <row r="477" spans="1:17" x14ac:dyDescent="0.25">
      <c r="A477">
        <v>1904</v>
      </c>
      <c r="B477">
        <v>951</v>
      </c>
      <c r="C477" t="str">
        <f>_xlfn.XLOOKUP(tblOrders[[#This Row],[CustomerID]],tblCustomers[CustomerID],tblCustomers[CustomerName],"not found")</f>
        <v>Christine Knight</v>
      </c>
      <c r="D477">
        <f>_xlfn.XLOOKUP(tblOrders[[#This Row],[CustomerID]],tblCustomers[CustomerID],tblCustomers[Age],"not found")</f>
        <v>62</v>
      </c>
      <c r="E477" t="str">
        <f>_xlfn.XLOOKUP(tblOrders[[#This Row],[CustomerID]],tblCustomers[CustomerID],tblCustomers[Gender],"not found")</f>
        <v>Female</v>
      </c>
      <c r="F477" t="str">
        <f>_xlfn.XLOOKUP(tblOrders[[#This Row],[CustomerID]],tblCustomers[CustomerID],tblCustomers[Region],"not found")</f>
        <v>North</v>
      </c>
      <c r="G477">
        <v>1034</v>
      </c>
      <c r="H477" t="str">
        <f>_xlfn.XLOOKUP(tblOrders[[#This Row],[ProductID]],tblProducts[ProductID],tblProducts[ProductName],"not found")</f>
        <v>Mr</v>
      </c>
      <c r="I477" t="str">
        <f>_xlfn.XLOOKUP(tblOrders[[#This Row],[ProductID]],tblProducts[ProductID],tblProducts[Category],"not found")</f>
        <v>Toys</v>
      </c>
      <c r="J477">
        <f>_xlfn.XLOOKUP(tblOrders[[#This Row],[ProductID]],tblProducts[ProductID],tblProducts[UnitPrice],"not found")</f>
        <v>196.45</v>
      </c>
      <c r="K477" t="str">
        <f>_xlfn.XLOOKUP(tblOrders[[#This Row],[ProductID]],tblProducts[ProductID],tblProducts[Supplier],"not found")</f>
        <v>Harrison Group</v>
      </c>
      <c r="L477" s="1" t="s">
        <v>2224</v>
      </c>
      <c r="M4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45491</v>
      </c>
      <c r="N477">
        <v>2</v>
      </c>
      <c r="O477">
        <v>392.9</v>
      </c>
      <c r="P477">
        <f>tblOrders[[#This Row],[Quantity]]*tblOrders[[#This Row],[Unit Price]]</f>
        <v>392.9</v>
      </c>
      <c r="Q477">
        <f>tblOrders[[#This Row],[TotalSales]]-tblOrders[[#This Row],[Calculated Sales]]</f>
        <v>0</v>
      </c>
    </row>
    <row r="478" spans="1:17" x14ac:dyDescent="0.25">
      <c r="A478">
        <v>1976</v>
      </c>
      <c r="B478">
        <v>589</v>
      </c>
      <c r="C478" t="str">
        <f>_xlfn.XLOOKUP(tblOrders[[#This Row],[CustomerID]],tblCustomers[CustomerID],tblCustomers[CustomerName],"not found")</f>
        <v>John Vasquez</v>
      </c>
      <c r="D478">
        <f>_xlfn.XLOOKUP(tblOrders[[#This Row],[CustomerID]],tblCustomers[CustomerID],tblCustomers[Age],"not found")</f>
        <v>59</v>
      </c>
      <c r="E478" t="str">
        <f>_xlfn.XLOOKUP(tblOrders[[#This Row],[CustomerID]],tblCustomers[CustomerID],tblCustomers[Gender],"not found")</f>
        <v>Male</v>
      </c>
      <c r="F478" t="str">
        <f>_xlfn.XLOOKUP(tblOrders[[#This Row],[CustomerID]],tblCustomers[CustomerID],tblCustomers[Region],"not found")</f>
        <v>East</v>
      </c>
      <c r="G478">
        <v>1034</v>
      </c>
      <c r="H478" t="str">
        <f>_xlfn.XLOOKUP(tblOrders[[#This Row],[ProductID]],tblProducts[ProductID],tblProducts[ProductName],"not found")</f>
        <v>Mr</v>
      </c>
      <c r="I478" t="str">
        <f>_xlfn.XLOOKUP(tblOrders[[#This Row],[ProductID]],tblProducts[ProductID],tblProducts[Category],"not found")</f>
        <v>Toys</v>
      </c>
      <c r="J478">
        <f>_xlfn.XLOOKUP(tblOrders[[#This Row],[ProductID]],tblProducts[ProductID],tblProducts[UnitPrice],"not found")</f>
        <v>196.45</v>
      </c>
      <c r="K478" t="str">
        <f>_xlfn.XLOOKUP(tblOrders[[#This Row],[ProductID]],tblProducts[ProductID],tblProducts[Supplier],"not found")</f>
        <v>Harrison Group</v>
      </c>
      <c r="L478" s="1">
        <v>45631</v>
      </c>
      <c r="M4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45631</v>
      </c>
      <c r="N478">
        <v>4</v>
      </c>
      <c r="O478">
        <v>785.8</v>
      </c>
      <c r="P478">
        <f>tblOrders[[#This Row],[Quantity]]*tblOrders[[#This Row],[Unit Price]]</f>
        <v>785.8</v>
      </c>
      <c r="Q478">
        <f>tblOrders[[#This Row],[TotalSales]]-tblOrders[[#This Row],[Calculated Sales]]</f>
        <v>0</v>
      </c>
    </row>
    <row r="479" spans="1:17" x14ac:dyDescent="0.25">
      <c r="A479">
        <v>24</v>
      </c>
      <c r="B479">
        <v>800</v>
      </c>
      <c r="C479" t="str">
        <f>_xlfn.XLOOKUP(tblOrders[[#This Row],[CustomerID]],tblCustomers[CustomerID],tblCustomers[CustomerName],"not found")</f>
        <v>Brian Manning</v>
      </c>
      <c r="D479">
        <f>_xlfn.XLOOKUP(tblOrders[[#This Row],[CustomerID]],tblCustomers[CustomerID],tblCustomers[Age],"not found")</f>
        <v>27</v>
      </c>
      <c r="E479" t="str">
        <f>_xlfn.XLOOKUP(tblOrders[[#This Row],[CustomerID]],tblCustomers[CustomerID],tblCustomers[Gender],"not found")</f>
        <v>Male</v>
      </c>
      <c r="F479" t="str">
        <f>_xlfn.XLOOKUP(tblOrders[[#This Row],[CustomerID]],tblCustomers[CustomerID],tblCustomers[Region],"not found")</f>
        <v>South</v>
      </c>
      <c r="G479">
        <v>1011</v>
      </c>
      <c r="H479" t="str">
        <f>_xlfn.XLOOKUP(tblOrders[[#This Row],[ProductID]],tblProducts[ProductID],tblProducts[ProductName],"not found")</f>
        <v>Begin</v>
      </c>
      <c r="I479" t="str">
        <f>_xlfn.XLOOKUP(tblOrders[[#This Row],[ProductID]],tblProducts[ProductID],tblProducts[Category],"not found")</f>
        <v>Toys</v>
      </c>
      <c r="J479">
        <f>_xlfn.XLOOKUP(tblOrders[[#This Row],[ProductID]],tblProducts[ProductID],tblProducts[UnitPrice],"not found")</f>
        <v>443.16</v>
      </c>
      <c r="K479" t="str">
        <f>_xlfn.XLOOKUP(tblOrders[[#This Row],[ProductID]],tblProducts[ProductID],tblProducts[Supplier],"not found")</f>
        <v>Estrada LLC</v>
      </c>
      <c r="L479" s="1" t="s">
        <v>2225</v>
      </c>
      <c r="M4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45008</v>
      </c>
      <c r="N479">
        <v>4</v>
      </c>
      <c r="O479">
        <v>1772.64</v>
      </c>
      <c r="P479">
        <f>tblOrders[[#This Row],[Quantity]]*tblOrders[[#This Row],[Unit Price]]</f>
        <v>1772.64</v>
      </c>
      <c r="Q479">
        <f>tblOrders[[#This Row],[TotalSales]]-tblOrders[[#This Row],[Calculated Sales]]</f>
        <v>0</v>
      </c>
    </row>
    <row r="480" spans="1:17" x14ac:dyDescent="0.25">
      <c r="A480">
        <v>202</v>
      </c>
      <c r="B480">
        <v>223</v>
      </c>
      <c r="C480" t="str">
        <f>_xlfn.XLOOKUP(tblOrders[[#This Row],[CustomerID]],tblCustomers[CustomerID],tblCustomers[CustomerName],"not found")</f>
        <v>Mrs. Chelsea Smith</v>
      </c>
      <c r="D480">
        <f>_xlfn.XLOOKUP(tblOrders[[#This Row],[CustomerID]],tblCustomers[CustomerID],tblCustomers[Age],"not found")</f>
        <v>59</v>
      </c>
      <c r="E480" t="str">
        <f>_xlfn.XLOOKUP(tblOrders[[#This Row],[CustomerID]],tblCustomers[CustomerID],tblCustomers[Gender],"not found")</f>
        <v>Male</v>
      </c>
      <c r="F480" t="str">
        <f>_xlfn.XLOOKUP(tblOrders[[#This Row],[CustomerID]],tblCustomers[CustomerID],tblCustomers[Region],"not found")</f>
        <v>West</v>
      </c>
      <c r="G480">
        <v>1011</v>
      </c>
      <c r="H480" t="str">
        <f>_xlfn.XLOOKUP(tblOrders[[#This Row],[ProductID]],tblProducts[ProductID],tblProducts[ProductName],"not found")</f>
        <v>Begin</v>
      </c>
      <c r="I480" t="str">
        <f>_xlfn.XLOOKUP(tblOrders[[#This Row],[ProductID]],tblProducts[ProductID],tblProducts[Category],"not found")</f>
        <v>Toys</v>
      </c>
      <c r="J480">
        <f>_xlfn.XLOOKUP(tblOrders[[#This Row],[ProductID]],tblProducts[ProductID],tblProducts[UnitPrice],"not found")</f>
        <v>443.16</v>
      </c>
      <c r="K480" t="str">
        <f>_xlfn.XLOOKUP(tblOrders[[#This Row],[ProductID]],tblProducts[ProductID],tblProducts[Supplier],"not found")</f>
        <v>Estrada LLC</v>
      </c>
      <c r="L480" s="1" t="s">
        <v>2226</v>
      </c>
      <c r="M4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45523</v>
      </c>
      <c r="N480">
        <v>4</v>
      </c>
      <c r="O480">
        <v>1772.64</v>
      </c>
      <c r="P480">
        <f>tblOrders[[#This Row],[Quantity]]*tblOrders[[#This Row],[Unit Price]]</f>
        <v>1772.64</v>
      </c>
      <c r="Q480">
        <f>tblOrders[[#This Row],[TotalSales]]-tblOrders[[#This Row],[Calculated Sales]]</f>
        <v>0</v>
      </c>
    </row>
    <row r="481" spans="1:17" x14ac:dyDescent="0.25">
      <c r="A481">
        <v>206</v>
      </c>
      <c r="B481">
        <v>610</v>
      </c>
      <c r="C481" t="str">
        <f>_xlfn.XLOOKUP(tblOrders[[#This Row],[CustomerID]],tblCustomers[CustomerID],tblCustomers[CustomerName],"not found")</f>
        <v>Bryan Matthews</v>
      </c>
      <c r="D481">
        <f>_xlfn.XLOOKUP(tblOrders[[#This Row],[CustomerID]],tblCustomers[CustomerID],tblCustomers[Age],"not found")</f>
        <v>67</v>
      </c>
      <c r="E481" t="str">
        <f>_xlfn.XLOOKUP(tblOrders[[#This Row],[CustomerID]],tblCustomers[CustomerID],tblCustomers[Gender],"not found")</f>
        <v>Female</v>
      </c>
      <c r="F481" t="str">
        <f>_xlfn.XLOOKUP(tblOrders[[#This Row],[CustomerID]],tblCustomers[CustomerID],tblCustomers[Region],"not found")</f>
        <v>Central</v>
      </c>
      <c r="G481">
        <v>1011</v>
      </c>
      <c r="H481" t="str">
        <f>_xlfn.XLOOKUP(tblOrders[[#This Row],[ProductID]],tblProducts[ProductID],tblProducts[ProductName],"not found")</f>
        <v>Begin</v>
      </c>
      <c r="I481" t="str">
        <f>_xlfn.XLOOKUP(tblOrders[[#This Row],[ProductID]],tblProducts[ProductID],tblProducts[Category],"not found")</f>
        <v>Toys</v>
      </c>
      <c r="J481">
        <f>_xlfn.XLOOKUP(tblOrders[[#This Row],[ProductID]],tblProducts[ProductID],tblProducts[UnitPrice],"not found")</f>
        <v>443.16</v>
      </c>
      <c r="K481" t="str">
        <f>_xlfn.XLOOKUP(tblOrders[[#This Row],[ProductID]],tblProducts[ProductID],tblProducts[Supplier],"not found")</f>
        <v>Estrada LLC</v>
      </c>
      <c r="L481" s="1" t="s">
        <v>2034</v>
      </c>
      <c r="M4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45035</v>
      </c>
      <c r="N481">
        <v>2</v>
      </c>
      <c r="O481">
        <v>886.32</v>
      </c>
      <c r="P481">
        <f>tblOrders[[#This Row],[Quantity]]*tblOrders[[#This Row],[Unit Price]]</f>
        <v>886.32</v>
      </c>
      <c r="Q481">
        <f>tblOrders[[#This Row],[TotalSales]]-tblOrders[[#This Row],[Calculated Sales]]</f>
        <v>0</v>
      </c>
    </row>
    <row r="482" spans="1:17" x14ac:dyDescent="0.25">
      <c r="A482">
        <v>219</v>
      </c>
      <c r="B482">
        <v>694</v>
      </c>
      <c r="C482" t="str">
        <f>_xlfn.XLOOKUP(tblOrders[[#This Row],[CustomerID]],tblCustomers[CustomerID],tblCustomers[CustomerName],"not found")</f>
        <v>Andrea Rice</v>
      </c>
      <c r="D482">
        <f>_xlfn.XLOOKUP(tblOrders[[#This Row],[CustomerID]],tblCustomers[CustomerID],tblCustomers[Age],"not found")</f>
        <v>47</v>
      </c>
      <c r="E482" t="str">
        <f>_xlfn.XLOOKUP(tblOrders[[#This Row],[CustomerID]],tblCustomers[CustomerID],tblCustomers[Gender],"not found")</f>
        <v>Female</v>
      </c>
      <c r="F482" t="str">
        <f>_xlfn.XLOOKUP(tblOrders[[#This Row],[CustomerID]],tblCustomers[CustomerID],tblCustomers[Region],"not found")</f>
        <v>Central</v>
      </c>
      <c r="G482">
        <v>1011</v>
      </c>
      <c r="H482" t="str">
        <f>_xlfn.XLOOKUP(tblOrders[[#This Row],[ProductID]],tblProducts[ProductID],tblProducts[ProductName],"not found")</f>
        <v>Begin</v>
      </c>
      <c r="I482" t="str">
        <f>_xlfn.XLOOKUP(tblOrders[[#This Row],[ProductID]],tblProducts[ProductID],tblProducts[Category],"not found")</f>
        <v>Toys</v>
      </c>
      <c r="J482">
        <f>_xlfn.XLOOKUP(tblOrders[[#This Row],[ProductID]],tblProducts[ProductID],tblProducts[UnitPrice],"not found")</f>
        <v>443.16</v>
      </c>
      <c r="K482" t="str">
        <f>_xlfn.XLOOKUP(tblOrders[[#This Row],[ProductID]],tblProducts[ProductID],tblProducts[Supplier],"not found")</f>
        <v>Estrada LLC</v>
      </c>
      <c r="L482" s="1" t="s">
        <v>2013</v>
      </c>
      <c r="M4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45319</v>
      </c>
      <c r="N482">
        <v>6</v>
      </c>
      <c r="O482">
        <v>2658.96</v>
      </c>
      <c r="P482">
        <f>tblOrders[[#This Row],[Quantity]]*tblOrders[[#This Row],[Unit Price]]</f>
        <v>2658.96</v>
      </c>
      <c r="Q482">
        <f>tblOrders[[#This Row],[TotalSales]]-tblOrders[[#This Row],[Calculated Sales]]</f>
        <v>0</v>
      </c>
    </row>
    <row r="483" spans="1:17" x14ac:dyDescent="0.25">
      <c r="A483">
        <v>379</v>
      </c>
      <c r="B483">
        <v>779</v>
      </c>
      <c r="C483" t="str">
        <f>_xlfn.XLOOKUP(tblOrders[[#This Row],[CustomerID]],tblCustomers[CustomerID],tblCustomers[CustomerName],"not found")</f>
        <v>Michael Smith</v>
      </c>
      <c r="D483">
        <f>_xlfn.XLOOKUP(tblOrders[[#This Row],[CustomerID]],tblCustomers[CustomerID],tblCustomers[Age],"not found")</f>
        <v>68</v>
      </c>
      <c r="E483" t="str">
        <f>_xlfn.XLOOKUP(tblOrders[[#This Row],[CustomerID]],tblCustomers[CustomerID],tblCustomers[Gender],"not found")</f>
        <v>Female</v>
      </c>
      <c r="F483" t="str">
        <f>_xlfn.XLOOKUP(tblOrders[[#This Row],[CustomerID]],tblCustomers[CustomerID],tblCustomers[Region],"not found")</f>
        <v>East</v>
      </c>
      <c r="G483">
        <v>1011</v>
      </c>
      <c r="H483" t="str">
        <f>_xlfn.XLOOKUP(tblOrders[[#This Row],[ProductID]],tblProducts[ProductID],tblProducts[ProductName],"not found")</f>
        <v>Begin</v>
      </c>
      <c r="I483" t="str">
        <f>_xlfn.XLOOKUP(tblOrders[[#This Row],[ProductID]],tblProducts[ProductID],tblProducts[Category],"not found")</f>
        <v>Toys</v>
      </c>
      <c r="J483">
        <f>_xlfn.XLOOKUP(tblOrders[[#This Row],[ProductID]],tblProducts[ProductID],tblProducts[UnitPrice],"not found")</f>
        <v>443.16</v>
      </c>
      <c r="K483" t="str">
        <f>_xlfn.XLOOKUP(tblOrders[[#This Row],[ProductID]],tblProducts[ProductID],tblProducts[Supplier],"not found")</f>
        <v>Estrada LLC</v>
      </c>
      <c r="L483" s="1" t="s">
        <v>2227</v>
      </c>
      <c r="M4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45244</v>
      </c>
      <c r="N483">
        <v>9</v>
      </c>
      <c r="O483">
        <v>3988.44</v>
      </c>
      <c r="P483">
        <f>tblOrders[[#This Row],[Quantity]]*tblOrders[[#This Row],[Unit Price]]</f>
        <v>3988.44</v>
      </c>
      <c r="Q483">
        <f>tblOrders[[#This Row],[TotalSales]]-tblOrders[[#This Row],[Calculated Sales]]</f>
        <v>0</v>
      </c>
    </row>
    <row r="484" spans="1:17" x14ac:dyDescent="0.25">
      <c r="A484">
        <v>476</v>
      </c>
      <c r="B484">
        <v>145</v>
      </c>
      <c r="C484" t="str">
        <f>_xlfn.XLOOKUP(tblOrders[[#This Row],[CustomerID]],tblCustomers[CustomerID],tblCustomers[CustomerName],"not found")</f>
        <v>Daniel Allen</v>
      </c>
      <c r="D484">
        <f>_xlfn.XLOOKUP(tblOrders[[#This Row],[CustomerID]],tblCustomers[CustomerID],tblCustomers[Age],"not found")</f>
        <v>38</v>
      </c>
      <c r="E484" t="str">
        <f>_xlfn.XLOOKUP(tblOrders[[#This Row],[CustomerID]],tblCustomers[CustomerID],tblCustomers[Gender],"not found")</f>
        <v>Female</v>
      </c>
      <c r="F484" t="str">
        <f>_xlfn.XLOOKUP(tblOrders[[#This Row],[CustomerID]],tblCustomers[CustomerID],tblCustomers[Region],"not found")</f>
        <v>West</v>
      </c>
      <c r="G484">
        <v>1011</v>
      </c>
      <c r="H484" t="str">
        <f>_xlfn.XLOOKUP(tblOrders[[#This Row],[ProductID]],tblProducts[ProductID],tblProducts[ProductName],"not found")</f>
        <v>Begin</v>
      </c>
      <c r="I484" t="str">
        <f>_xlfn.XLOOKUP(tblOrders[[#This Row],[ProductID]],tblProducts[ProductID],tblProducts[Category],"not found")</f>
        <v>Toys</v>
      </c>
      <c r="J484">
        <f>_xlfn.XLOOKUP(tblOrders[[#This Row],[ProductID]],tblProducts[ProductID],tblProducts[UnitPrice],"not found")</f>
        <v>443.16</v>
      </c>
      <c r="K484" t="str">
        <f>_xlfn.XLOOKUP(tblOrders[[#This Row],[ProductID]],tblProducts[ProductID],tblProducts[Supplier],"not found")</f>
        <v>Estrada LLC</v>
      </c>
      <c r="L484" s="1" t="s">
        <v>2228</v>
      </c>
      <c r="M4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45159</v>
      </c>
      <c r="N484">
        <v>8</v>
      </c>
      <c r="O484">
        <v>3545.28</v>
      </c>
      <c r="P484">
        <f>tblOrders[[#This Row],[Quantity]]*tblOrders[[#This Row],[Unit Price]]</f>
        <v>3545.28</v>
      </c>
      <c r="Q484">
        <f>tblOrders[[#This Row],[TotalSales]]-tblOrders[[#This Row],[Calculated Sales]]</f>
        <v>0</v>
      </c>
    </row>
    <row r="485" spans="1:17" x14ac:dyDescent="0.25">
      <c r="A485">
        <v>487</v>
      </c>
      <c r="B485">
        <v>880</v>
      </c>
      <c r="C485" t="str">
        <f>_xlfn.XLOOKUP(tblOrders[[#This Row],[CustomerID]],tblCustomers[CustomerID],tblCustomers[CustomerName],"not found")</f>
        <v>Carlos Nichols</v>
      </c>
      <c r="D485">
        <f>_xlfn.XLOOKUP(tblOrders[[#This Row],[CustomerID]],tblCustomers[CustomerID],tblCustomers[Age],"not found")</f>
        <v>66</v>
      </c>
      <c r="E485" t="str">
        <f>_xlfn.XLOOKUP(tblOrders[[#This Row],[CustomerID]],tblCustomers[CustomerID],tblCustomers[Gender],"not found")</f>
        <v>Female</v>
      </c>
      <c r="F485" t="str">
        <f>_xlfn.XLOOKUP(tblOrders[[#This Row],[CustomerID]],tblCustomers[CustomerID],tblCustomers[Region],"not found")</f>
        <v>Central</v>
      </c>
      <c r="G485">
        <v>1011</v>
      </c>
      <c r="H485" t="str">
        <f>_xlfn.XLOOKUP(tblOrders[[#This Row],[ProductID]],tblProducts[ProductID],tblProducts[ProductName],"not found")</f>
        <v>Begin</v>
      </c>
      <c r="I485" t="str">
        <f>_xlfn.XLOOKUP(tblOrders[[#This Row],[ProductID]],tblProducts[ProductID],tblProducts[Category],"not found")</f>
        <v>Toys</v>
      </c>
      <c r="J485">
        <f>_xlfn.XLOOKUP(tblOrders[[#This Row],[ProductID]],tblProducts[ProductID],tblProducts[UnitPrice],"not found")</f>
        <v>443.16</v>
      </c>
      <c r="K485" t="str">
        <f>_xlfn.XLOOKUP(tblOrders[[#This Row],[ProductID]],tblProducts[ProductID],tblProducts[Supplier],"not found")</f>
        <v>Estrada LLC</v>
      </c>
      <c r="L485" s="1">
        <v>45294</v>
      </c>
      <c r="M4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45294</v>
      </c>
      <c r="N485">
        <v>8</v>
      </c>
      <c r="O485">
        <v>3545.28</v>
      </c>
      <c r="P485">
        <f>tblOrders[[#This Row],[Quantity]]*tblOrders[[#This Row],[Unit Price]]</f>
        <v>3545.28</v>
      </c>
      <c r="Q485">
        <f>tblOrders[[#This Row],[TotalSales]]-tblOrders[[#This Row],[Calculated Sales]]</f>
        <v>0</v>
      </c>
    </row>
    <row r="486" spans="1:17" x14ac:dyDescent="0.25">
      <c r="A486">
        <v>595</v>
      </c>
      <c r="B486">
        <v>21</v>
      </c>
      <c r="C486" t="str">
        <f>_xlfn.XLOOKUP(tblOrders[[#This Row],[CustomerID]],tblCustomers[CustomerID],tblCustomers[CustomerName],"not found")</f>
        <v>Terri Wilkins</v>
      </c>
      <c r="D486">
        <f>_xlfn.XLOOKUP(tblOrders[[#This Row],[CustomerID]],tblCustomers[CustomerID],tblCustomers[Age],"not found")</f>
        <v>64</v>
      </c>
      <c r="E486" t="str">
        <f>_xlfn.XLOOKUP(tblOrders[[#This Row],[CustomerID]],tblCustomers[CustomerID],tblCustomers[Gender],"not found")</f>
        <v>Female</v>
      </c>
      <c r="F486" t="str">
        <f>_xlfn.XLOOKUP(tblOrders[[#This Row],[CustomerID]],tblCustomers[CustomerID],tblCustomers[Region],"not found")</f>
        <v>West</v>
      </c>
      <c r="G486">
        <v>1011</v>
      </c>
      <c r="H486" t="str">
        <f>_xlfn.XLOOKUP(tblOrders[[#This Row],[ProductID]],tblProducts[ProductID],tblProducts[ProductName],"not found")</f>
        <v>Begin</v>
      </c>
      <c r="I486" t="str">
        <f>_xlfn.XLOOKUP(tblOrders[[#This Row],[ProductID]],tblProducts[ProductID],tblProducts[Category],"not found")</f>
        <v>Toys</v>
      </c>
      <c r="J486">
        <f>_xlfn.XLOOKUP(tblOrders[[#This Row],[ProductID]],tblProducts[ProductID],tblProducts[UnitPrice],"not found")</f>
        <v>443.16</v>
      </c>
      <c r="K486" t="str">
        <f>_xlfn.XLOOKUP(tblOrders[[#This Row],[ProductID]],tblProducts[ProductID],tblProducts[Supplier],"not found")</f>
        <v>Estrada LLC</v>
      </c>
      <c r="L486" s="1">
        <v>45477</v>
      </c>
      <c r="M4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45477</v>
      </c>
      <c r="N486">
        <v>1</v>
      </c>
      <c r="O486">
        <v>443.16</v>
      </c>
      <c r="P486">
        <f>tblOrders[[#This Row],[Quantity]]*tblOrders[[#This Row],[Unit Price]]</f>
        <v>443.16</v>
      </c>
      <c r="Q486">
        <f>tblOrders[[#This Row],[TotalSales]]-tblOrders[[#This Row],[Calculated Sales]]</f>
        <v>0</v>
      </c>
    </row>
    <row r="487" spans="1:17" x14ac:dyDescent="0.25">
      <c r="A487">
        <v>693</v>
      </c>
      <c r="B487">
        <v>55</v>
      </c>
      <c r="C487" t="str">
        <f>_xlfn.XLOOKUP(tblOrders[[#This Row],[CustomerID]],tblCustomers[CustomerID],tblCustomers[CustomerName],"not found")</f>
        <v>Barbara Payne</v>
      </c>
      <c r="D487">
        <f>_xlfn.XLOOKUP(tblOrders[[#This Row],[CustomerID]],tblCustomers[CustomerID],tblCustomers[Age],"not found")</f>
        <v>55</v>
      </c>
      <c r="E487" t="str">
        <f>_xlfn.XLOOKUP(tblOrders[[#This Row],[CustomerID]],tblCustomers[CustomerID],tblCustomers[Gender],"not found")</f>
        <v>Female</v>
      </c>
      <c r="F487" t="str">
        <f>_xlfn.XLOOKUP(tblOrders[[#This Row],[CustomerID]],tblCustomers[CustomerID],tblCustomers[Region],"not found")</f>
        <v>North</v>
      </c>
      <c r="G487">
        <v>1011</v>
      </c>
      <c r="H487" t="str">
        <f>_xlfn.XLOOKUP(tblOrders[[#This Row],[ProductID]],tblProducts[ProductID],tblProducts[ProductName],"not found")</f>
        <v>Begin</v>
      </c>
      <c r="I487" t="str">
        <f>_xlfn.XLOOKUP(tblOrders[[#This Row],[ProductID]],tblProducts[ProductID],tblProducts[Category],"not found")</f>
        <v>Toys</v>
      </c>
      <c r="J487">
        <f>_xlfn.XLOOKUP(tblOrders[[#This Row],[ProductID]],tblProducts[ProductID],tblProducts[UnitPrice],"not found")</f>
        <v>443.16</v>
      </c>
      <c r="K487" t="str">
        <f>_xlfn.XLOOKUP(tblOrders[[#This Row],[ProductID]],tblProducts[ProductID],tblProducts[Supplier],"not found")</f>
        <v>Estrada LLC</v>
      </c>
      <c r="L487" s="1" t="s">
        <v>2229</v>
      </c>
      <c r="M4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45310</v>
      </c>
      <c r="N487">
        <v>3</v>
      </c>
      <c r="O487">
        <v>1329.48</v>
      </c>
      <c r="P487">
        <f>tblOrders[[#This Row],[Quantity]]*tblOrders[[#This Row],[Unit Price]]</f>
        <v>1329.48</v>
      </c>
      <c r="Q487">
        <f>tblOrders[[#This Row],[TotalSales]]-tblOrders[[#This Row],[Calculated Sales]]</f>
        <v>0</v>
      </c>
    </row>
    <row r="488" spans="1:17" x14ac:dyDescent="0.25">
      <c r="A488">
        <v>992</v>
      </c>
      <c r="B488">
        <v>750</v>
      </c>
      <c r="C488" t="str">
        <f>_xlfn.XLOOKUP(tblOrders[[#This Row],[CustomerID]],tblCustomers[CustomerID],tblCustomers[CustomerName],"not found")</f>
        <v>James Hughes</v>
      </c>
      <c r="D488">
        <f>_xlfn.XLOOKUP(tblOrders[[#This Row],[CustomerID]],tblCustomers[CustomerID],tblCustomers[Age],"not found")</f>
        <v>60</v>
      </c>
      <c r="E488" t="str">
        <f>_xlfn.XLOOKUP(tblOrders[[#This Row],[CustomerID]],tblCustomers[CustomerID],tblCustomers[Gender],"not found")</f>
        <v>Female</v>
      </c>
      <c r="F488" t="str">
        <f>_xlfn.XLOOKUP(tblOrders[[#This Row],[CustomerID]],tblCustomers[CustomerID],tblCustomers[Region],"not found")</f>
        <v>West</v>
      </c>
      <c r="G488">
        <v>1011</v>
      </c>
      <c r="H488" t="str">
        <f>_xlfn.XLOOKUP(tblOrders[[#This Row],[ProductID]],tblProducts[ProductID],tblProducts[ProductName],"not found")</f>
        <v>Begin</v>
      </c>
      <c r="I488" t="str">
        <f>_xlfn.XLOOKUP(tblOrders[[#This Row],[ProductID]],tblProducts[ProductID],tblProducts[Category],"not found")</f>
        <v>Toys</v>
      </c>
      <c r="J488">
        <f>_xlfn.XLOOKUP(tblOrders[[#This Row],[ProductID]],tblProducts[ProductID],tblProducts[UnitPrice],"not found")</f>
        <v>443.16</v>
      </c>
      <c r="K488" t="str">
        <f>_xlfn.XLOOKUP(tblOrders[[#This Row],[ProductID]],tblProducts[ProductID],tblProducts[Supplier],"not found")</f>
        <v>Estrada LLC</v>
      </c>
      <c r="L488" s="1" t="s">
        <v>2230</v>
      </c>
      <c r="M4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45212</v>
      </c>
      <c r="N488">
        <v>9</v>
      </c>
      <c r="O488">
        <v>3988.44</v>
      </c>
      <c r="P488">
        <f>tblOrders[[#This Row],[Quantity]]*tblOrders[[#This Row],[Unit Price]]</f>
        <v>3988.44</v>
      </c>
      <c r="Q488">
        <f>tblOrders[[#This Row],[TotalSales]]-tblOrders[[#This Row],[Calculated Sales]]</f>
        <v>0</v>
      </c>
    </row>
    <row r="489" spans="1:17" x14ac:dyDescent="0.25">
      <c r="A489">
        <v>998</v>
      </c>
      <c r="B489">
        <v>59</v>
      </c>
      <c r="C489" t="str">
        <f>_xlfn.XLOOKUP(tblOrders[[#This Row],[CustomerID]],tblCustomers[CustomerID],tblCustomers[CustomerName],"not found")</f>
        <v>Rodney Rodriguez</v>
      </c>
      <c r="D489">
        <f>_xlfn.XLOOKUP(tblOrders[[#This Row],[CustomerID]],tblCustomers[CustomerID],tblCustomers[Age],"not found")</f>
        <v>50</v>
      </c>
      <c r="E489" t="str">
        <f>_xlfn.XLOOKUP(tblOrders[[#This Row],[CustomerID]],tblCustomers[CustomerID],tblCustomers[Gender],"not found")</f>
        <v>Male</v>
      </c>
      <c r="F489" t="str">
        <f>_xlfn.XLOOKUP(tblOrders[[#This Row],[CustomerID]],tblCustomers[CustomerID],tblCustomers[Region],"not found")</f>
        <v>Central</v>
      </c>
      <c r="G489">
        <v>1011</v>
      </c>
      <c r="H489" t="str">
        <f>_xlfn.XLOOKUP(tblOrders[[#This Row],[ProductID]],tblProducts[ProductID],tblProducts[ProductName],"not found")</f>
        <v>Begin</v>
      </c>
      <c r="I489" t="str">
        <f>_xlfn.XLOOKUP(tblOrders[[#This Row],[ProductID]],tblProducts[ProductID],tblProducts[Category],"not found")</f>
        <v>Toys</v>
      </c>
      <c r="J489">
        <f>_xlfn.XLOOKUP(tblOrders[[#This Row],[ProductID]],tblProducts[ProductID],tblProducts[UnitPrice],"not found")</f>
        <v>443.16</v>
      </c>
      <c r="K489" t="str">
        <f>_xlfn.XLOOKUP(tblOrders[[#This Row],[ProductID]],tblProducts[ProductID],tblProducts[Supplier],"not found")</f>
        <v>Estrada LLC</v>
      </c>
      <c r="L489" s="1" t="s">
        <v>2112</v>
      </c>
      <c r="M4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45436</v>
      </c>
      <c r="N489">
        <v>7</v>
      </c>
      <c r="O489">
        <v>3102.12</v>
      </c>
      <c r="P489">
        <f>tblOrders[[#This Row],[Quantity]]*tblOrders[[#This Row],[Unit Price]]</f>
        <v>3102.1200000000003</v>
      </c>
      <c r="Q489">
        <f>tblOrders[[#This Row],[TotalSales]]-tblOrders[[#This Row],[Calculated Sales]]</f>
        <v>0</v>
      </c>
    </row>
    <row r="490" spans="1:17" x14ac:dyDescent="0.25">
      <c r="A490">
        <v>1120</v>
      </c>
      <c r="B490">
        <v>824</v>
      </c>
      <c r="C490" t="str">
        <f>_xlfn.XLOOKUP(tblOrders[[#This Row],[CustomerID]],tblCustomers[CustomerID],tblCustomers[CustomerName],"not found")</f>
        <v>Douglas Smith</v>
      </c>
      <c r="D490">
        <f>_xlfn.XLOOKUP(tblOrders[[#This Row],[CustomerID]],tblCustomers[CustomerID],tblCustomers[Age],"not found")</f>
        <v>36</v>
      </c>
      <c r="E490" t="str">
        <f>_xlfn.XLOOKUP(tblOrders[[#This Row],[CustomerID]],tblCustomers[CustomerID],tblCustomers[Gender],"not found")</f>
        <v>Male</v>
      </c>
      <c r="F490" t="str">
        <f>_xlfn.XLOOKUP(tblOrders[[#This Row],[CustomerID]],tblCustomers[CustomerID],tblCustomers[Region],"not found")</f>
        <v>North</v>
      </c>
      <c r="G490">
        <v>1011</v>
      </c>
      <c r="H490" t="str">
        <f>_xlfn.XLOOKUP(tblOrders[[#This Row],[ProductID]],tblProducts[ProductID],tblProducts[ProductName],"not found")</f>
        <v>Begin</v>
      </c>
      <c r="I490" t="str">
        <f>_xlfn.XLOOKUP(tblOrders[[#This Row],[ProductID]],tblProducts[ProductID],tblProducts[Category],"not found")</f>
        <v>Toys</v>
      </c>
      <c r="J490">
        <f>_xlfn.XLOOKUP(tblOrders[[#This Row],[ProductID]],tblProducts[ProductID],tblProducts[UnitPrice],"not found")</f>
        <v>443.16</v>
      </c>
      <c r="K490" t="str">
        <f>_xlfn.XLOOKUP(tblOrders[[#This Row],[ProductID]],tblProducts[ProductID],tblProducts[Supplier],"not found")</f>
        <v>Estrada LLC</v>
      </c>
      <c r="L490" s="1" t="s">
        <v>2231</v>
      </c>
      <c r="M4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45587</v>
      </c>
      <c r="N490">
        <v>1</v>
      </c>
      <c r="O490">
        <v>443.16</v>
      </c>
      <c r="P490">
        <f>tblOrders[[#This Row],[Quantity]]*tblOrders[[#This Row],[Unit Price]]</f>
        <v>443.16</v>
      </c>
      <c r="Q490">
        <f>tblOrders[[#This Row],[TotalSales]]-tblOrders[[#This Row],[Calculated Sales]]</f>
        <v>0</v>
      </c>
    </row>
    <row r="491" spans="1:17" x14ac:dyDescent="0.25">
      <c r="A491">
        <v>1144</v>
      </c>
      <c r="B491">
        <v>409</v>
      </c>
      <c r="C491" t="str">
        <f>_xlfn.XLOOKUP(tblOrders[[#This Row],[CustomerID]],tblCustomers[CustomerID],tblCustomers[CustomerName],"not found")</f>
        <v>Brian Higgins</v>
      </c>
      <c r="D491">
        <f>_xlfn.XLOOKUP(tblOrders[[#This Row],[CustomerID]],tblCustomers[CustomerID],tblCustomers[Age],"not found")</f>
        <v>48</v>
      </c>
      <c r="E491" t="str">
        <f>_xlfn.XLOOKUP(tblOrders[[#This Row],[CustomerID]],tblCustomers[CustomerID],tblCustomers[Gender],"not found")</f>
        <v>Male</v>
      </c>
      <c r="F491" t="str">
        <f>_xlfn.XLOOKUP(tblOrders[[#This Row],[CustomerID]],tblCustomers[CustomerID],tblCustomers[Region],"not found")</f>
        <v>South</v>
      </c>
      <c r="G491">
        <v>1011</v>
      </c>
      <c r="H491" t="str">
        <f>_xlfn.XLOOKUP(tblOrders[[#This Row],[ProductID]],tblProducts[ProductID],tblProducts[ProductName],"not found")</f>
        <v>Begin</v>
      </c>
      <c r="I491" t="str">
        <f>_xlfn.XLOOKUP(tblOrders[[#This Row],[ProductID]],tblProducts[ProductID],tblProducts[Category],"not found")</f>
        <v>Toys</v>
      </c>
      <c r="J491">
        <f>_xlfn.XLOOKUP(tblOrders[[#This Row],[ProductID]],tblProducts[ProductID],tblProducts[UnitPrice],"not found")</f>
        <v>443.16</v>
      </c>
      <c r="K491" t="str">
        <f>_xlfn.XLOOKUP(tblOrders[[#This Row],[ProductID]],tblProducts[ProductID],tblProducts[Supplier],"not found")</f>
        <v>Estrada LLC</v>
      </c>
      <c r="L491" s="1" t="s">
        <v>2204</v>
      </c>
      <c r="M4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45366</v>
      </c>
      <c r="N491">
        <v>3</v>
      </c>
      <c r="O491">
        <v>1329.48</v>
      </c>
      <c r="P491">
        <f>tblOrders[[#This Row],[Quantity]]*tblOrders[[#This Row],[Unit Price]]</f>
        <v>1329.48</v>
      </c>
      <c r="Q491">
        <f>tblOrders[[#This Row],[TotalSales]]-tblOrders[[#This Row],[Calculated Sales]]</f>
        <v>0</v>
      </c>
    </row>
    <row r="492" spans="1:17" x14ac:dyDescent="0.25">
      <c r="A492">
        <v>1223</v>
      </c>
      <c r="B492">
        <v>619</v>
      </c>
      <c r="C492" t="str">
        <f>_xlfn.XLOOKUP(tblOrders[[#This Row],[CustomerID]],tblCustomers[CustomerID],tblCustomers[CustomerName],"not found")</f>
        <v>Samantha Kennedy</v>
      </c>
      <c r="D492">
        <f>_xlfn.XLOOKUP(tblOrders[[#This Row],[CustomerID]],tblCustomers[CustomerID],tblCustomers[Age],"not found")</f>
        <v>35</v>
      </c>
      <c r="E492" t="str">
        <f>_xlfn.XLOOKUP(tblOrders[[#This Row],[CustomerID]],tblCustomers[CustomerID],tblCustomers[Gender],"not found")</f>
        <v>Male</v>
      </c>
      <c r="F492" t="str">
        <f>_xlfn.XLOOKUP(tblOrders[[#This Row],[CustomerID]],tblCustomers[CustomerID],tblCustomers[Region],"not found")</f>
        <v>South</v>
      </c>
      <c r="G492">
        <v>1011</v>
      </c>
      <c r="H492" t="str">
        <f>_xlfn.XLOOKUP(tblOrders[[#This Row],[ProductID]],tblProducts[ProductID],tblProducts[ProductName],"not found")</f>
        <v>Begin</v>
      </c>
      <c r="I492" t="str">
        <f>_xlfn.XLOOKUP(tblOrders[[#This Row],[ProductID]],tblProducts[ProductID],tblProducts[Category],"not found")</f>
        <v>Toys</v>
      </c>
      <c r="J492">
        <f>_xlfn.XLOOKUP(tblOrders[[#This Row],[ProductID]],tblProducts[ProductID],tblProducts[UnitPrice],"not found")</f>
        <v>443.16</v>
      </c>
      <c r="K492" t="str">
        <f>_xlfn.XLOOKUP(tblOrders[[#This Row],[ProductID]],tblProducts[ProductID],tblProducts[Supplier],"not found")</f>
        <v>Estrada LLC</v>
      </c>
      <c r="L492" s="1" t="s">
        <v>2232</v>
      </c>
      <c r="M4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45151</v>
      </c>
      <c r="N492">
        <v>9</v>
      </c>
      <c r="O492">
        <v>3988.44</v>
      </c>
      <c r="P492">
        <f>tblOrders[[#This Row],[Quantity]]*tblOrders[[#This Row],[Unit Price]]</f>
        <v>3988.44</v>
      </c>
      <c r="Q492">
        <f>tblOrders[[#This Row],[TotalSales]]-tblOrders[[#This Row],[Calculated Sales]]</f>
        <v>0</v>
      </c>
    </row>
    <row r="493" spans="1:17" x14ac:dyDescent="0.25">
      <c r="A493">
        <v>1251</v>
      </c>
      <c r="B493">
        <v>68</v>
      </c>
      <c r="C493" t="str">
        <f>_xlfn.XLOOKUP(tblOrders[[#This Row],[CustomerID]],tblCustomers[CustomerID],tblCustomers[CustomerName],"not found")</f>
        <v>Alex Walker</v>
      </c>
      <c r="D493">
        <f>_xlfn.XLOOKUP(tblOrders[[#This Row],[CustomerID]],tblCustomers[CustomerID],tblCustomers[Age],"not found")</f>
        <v>54</v>
      </c>
      <c r="E493" t="str">
        <f>_xlfn.XLOOKUP(tblOrders[[#This Row],[CustomerID]],tblCustomers[CustomerID],tblCustomers[Gender],"not found")</f>
        <v>Male</v>
      </c>
      <c r="F493" t="str">
        <f>_xlfn.XLOOKUP(tblOrders[[#This Row],[CustomerID]],tblCustomers[CustomerID],tblCustomers[Region],"not found")</f>
        <v>West</v>
      </c>
      <c r="G493">
        <v>1011</v>
      </c>
      <c r="H493" t="str">
        <f>_xlfn.XLOOKUP(tblOrders[[#This Row],[ProductID]],tblProducts[ProductID],tblProducts[ProductName],"not found")</f>
        <v>Begin</v>
      </c>
      <c r="I493" t="str">
        <f>_xlfn.XLOOKUP(tblOrders[[#This Row],[ProductID]],tblProducts[ProductID],tblProducts[Category],"not found")</f>
        <v>Toys</v>
      </c>
      <c r="J493">
        <f>_xlfn.XLOOKUP(tblOrders[[#This Row],[ProductID]],tblProducts[ProductID],tblProducts[UnitPrice],"not found")</f>
        <v>443.16</v>
      </c>
      <c r="K493" t="str">
        <f>_xlfn.XLOOKUP(tblOrders[[#This Row],[ProductID]],tblProducts[ProductID],tblProducts[Supplier],"not found")</f>
        <v>Estrada LLC</v>
      </c>
      <c r="L493" s="1" t="s">
        <v>2058</v>
      </c>
      <c r="M4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45563</v>
      </c>
      <c r="N493">
        <v>3</v>
      </c>
      <c r="O493">
        <v>1329.48</v>
      </c>
      <c r="P493">
        <f>tblOrders[[#This Row],[Quantity]]*tblOrders[[#This Row],[Unit Price]]</f>
        <v>1329.48</v>
      </c>
      <c r="Q493">
        <f>tblOrders[[#This Row],[TotalSales]]-tblOrders[[#This Row],[Calculated Sales]]</f>
        <v>0</v>
      </c>
    </row>
    <row r="494" spans="1:17" x14ac:dyDescent="0.25">
      <c r="A494">
        <v>1706</v>
      </c>
      <c r="B494">
        <v>430</v>
      </c>
      <c r="C494" t="str">
        <f>_xlfn.XLOOKUP(tblOrders[[#This Row],[CustomerID]],tblCustomers[CustomerID],tblCustomers[CustomerName],"not found")</f>
        <v>Emily Frazier</v>
      </c>
      <c r="D494">
        <f>_xlfn.XLOOKUP(tblOrders[[#This Row],[CustomerID]],tblCustomers[CustomerID],tblCustomers[Age],"not found")</f>
        <v>51</v>
      </c>
      <c r="E494" t="str">
        <f>_xlfn.XLOOKUP(tblOrders[[#This Row],[CustomerID]],tblCustomers[CustomerID],tblCustomers[Gender],"not found")</f>
        <v>Male</v>
      </c>
      <c r="F494" t="str">
        <f>_xlfn.XLOOKUP(tblOrders[[#This Row],[CustomerID]],tblCustomers[CustomerID],tblCustomers[Region],"not found")</f>
        <v>North</v>
      </c>
      <c r="G494">
        <v>1011</v>
      </c>
      <c r="H494" t="str">
        <f>_xlfn.XLOOKUP(tblOrders[[#This Row],[ProductID]],tblProducts[ProductID],tblProducts[ProductName],"not found")</f>
        <v>Begin</v>
      </c>
      <c r="I494" t="str">
        <f>_xlfn.XLOOKUP(tblOrders[[#This Row],[ProductID]],tblProducts[ProductID],tblProducts[Category],"not found")</f>
        <v>Toys</v>
      </c>
      <c r="J494">
        <f>_xlfn.XLOOKUP(tblOrders[[#This Row],[ProductID]],tblProducts[ProductID],tblProducts[UnitPrice],"not found")</f>
        <v>443.16</v>
      </c>
      <c r="K494" t="str">
        <f>_xlfn.XLOOKUP(tblOrders[[#This Row],[ProductID]],tblProducts[ProductID],tblProducts[Supplier],"not found")</f>
        <v>Estrada LLC</v>
      </c>
      <c r="L494" s="1">
        <v>45352</v>
      </c>
      <c r="M4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45352</v>
      </c>
      <c r="N494">
        <v>7</v>
      </c>
      <c r="O494">
        <v>3102.12</v>
      </c>
      <c r="P494">
        <f>tblOrders[[#This Row],[Quantity]]*tblOrders[[#This Row],[Unit Price]]</f>
        <v>3102.1200000000003</v>
      </c>
      <c r="Q494">
        <f>tblOrders[[#This Row],[TotalSales]]-tblOrders[[#This Row],[Calculated Sales]]</f>
        <v>0</v>
      </c>
    </row>
    <row r="495" spans="1:17" x14ac:dyDescent="0.25">
      <c r="A495">
        <v>1728</v>
      </c>
      <c r="B495">
        <v>807</v>
      </c>
      <c r="C495" t="str">
        <f>_xlfn.XLOOKUP(tblOrders[[#This Row],[CustomerID]],tblCustomers[CustomerID],tblCustomers[CustomerName],"not found")</f>
        <v>Ronald Wilson</v>
      </c>
      <c r="D495">
        <f>_xlfn.XLOOKUP(tblOrders[[#This Row],[CustomerID]],tblCustomers[CustomerID],tblCustomers[Age],"not found")</f>
        <v>32</v>
      </c>
      <c r="E495" t="str">
        <f>_xlfn.XLOOKUP(tblOrders[[#This Row],[CustomerID]],tblCustomers[CustomerID],tblCustomers[Gender],"not found")</f>
        <v>Male</v>
      </c>
      <c r="F495" t="str">
        <f>_xlfn.XLOOKUP(tblOrders[[#This Row],[CustomerID]],tblCustomers[CustomerID],tblCustomers[Region],"not found")</f>
        <v>East</v>
      </c>
      <c r="G495">
        <v>1011</v>
      </c>
      <c r="H495" t="str">
        <f>_xlfn.XLOOKUP(tblOrders[[#This Row],[ProductID]],tblProducts[ProductID],tblProducts[ProductName],"not found")</f>
        <v>Begin</v>
      </c>
      <c r="I495" t="str">
        <f>_xlfn.XLOOKUP(tblOrders[[#This Row],[ProductID]],tblProducts[ProductID],tblProducts[Category],"not found")</f>
        <v>Toys</v>
      </c>
      <c r="J495">
        <f>_xlfn.XLOOKUP(tblOrders[[#This Row],[ProductID]],tblProducts[ProductID],tblProducts[UnitPrice],"not found")</f>
        <v>443.16</v>
      </c>
      <c r="K495" t="str">
        <f>_xlfn.XLOOKUP(tblOrders[[#This Row],[ProductID]],tblProducts[ProductID],tblProducts[Supplier],"not found")</f>
        <v>Estrada LLC</v>
      </c>
      <c r="L495" s="1" t="s">
        <v>2233</v>
      </c>
      <c r="M4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45381</v>
      </c>
      <c r="N495">
        <v>3</v>
      </c>
      <c r="O495">
        <v>1329.48</v>
      </c>
      <c r="P495">
        <f>tblOrders[[#This Row],[Quantity]]*tblOrders[[#This Row],[Unit Price]]</f>
        <v>1329.48</v>
      </c>
      <c r="Q495">
        <f>tblOrders[[#This Row],[TotalSales]]-tblOrders[[#This Row],[Calculated Sales]]</f>
        <v>0</v>
      </c>
    </row>
    <row r="496" spans="1:17" x14ac:dyDescent="0.25">
      <c r="A496">
        <v>1751</v>
      </c>
      <c r="B496">
        <v>246</v>
      </c>
      <c r="C496" t="str">
        <f>_xlfn.XLOOKUP(tblOrders[[#This Row],[CustomerID]],tblCustomers[CustomerID],tblCustomers[CustomerName],"not found")</f>
        <v>Jesse Cox</v>
      </c>
      <c r="D496">
        <f>_xlfn.XLOOKUP(tblOrders[[#This Row],[CustomerID]],tblCustomers[CustomerID],tblCustomers[Age],"not found")</f>
        <v>45</v>
      </c>
      <c r="E496" t="str">
        <f>_xlfn.XLOOKUP(tblOrders[[#This Row],[CustomerID]],tblCustomers[CustomerID],tblCustomers[Gender],"not found")</f>
        <v>Male</v>
      </c>
      <c r="F496" t="str">
        <f>_xlfn.XLOOKUP(tblOrders[[#This Row],[CustomerID]],tblCustomers[CustomerID],tblCustomers[Region],"not found")</f>
        <v>West</v>
      </c>
      <c r="G496">
        <v>1011</v>
      </c>
      <c r="H496" t="str">
        <f>_xlfn.XLOOKUP(tblOrders[[#This Row],[ProductID]],tblProducts[ProductID],tblProducts[ProductName],"not found")</f>
        <v>Begin</v>
      </c>
      <c r="I496" t="str">
        <f>_xlfn.XLOOKUP(tblOrders[[#This Row],[ProductID]],tblProducts[ProductID],tblProducts[Category],"not found")</f>
        <v>Toys</v>
      </c>
      <c r="J496">
        <f>_xlfn.XLOOKUP(tblOrders[[#This Row],[ProductID]],tblProducts[ProductID],tblProducts[UnitPrice],"not found")</f>
        <v>443.16</v>
      </c>
      <c r="K496" t="str">
        <f>_xlfn.XLOOKUP(tblOrders[[#This Row],[ProductID]],tblProducts[ProductID],tblProducts[Supplier],"not found")</f>
        <v>Estrada LLC</v>
      </c>
      <c r="L496" s="1">
        <v>45360</v>
      </c>
      <c r="M4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45360</v>
      </c>
      <c r="N496">
        <v>1</v>
      </c>
      <c r="O496">
        <v>443.16</v>
      </c>
      <c r="P496">
        <f>tblOrders[[#This Row],[Quantity]]*tblOrders[[#This Row],[Unit Price]]</f>
        <v>443.16</v>
      </c>
      <c r="Q496">
        <f>tblOrders[[#This Row],[TotalSales]]-tblOrders[[#This Row],[Calculated Sales]]</f>
        <v>0</v>
      </c>
    </row>
    <row r="497" spans="1:17" x14ac:dyDescent="0.25">
      <c r="A497">
        <v>1806</v>
      </c>
      <c r="B497">
        <v>921</v>
      </c>
      <c r="C497" t="str">
        <f>_xlfn.XLOOKUP(tblOrders[[#This Row],[CustomerID]],tblCustomers[CustomerID],tblCustomers[CustomerName],"not found")</f>
        <v>Dennis Stone</v>
      </c>
      <c r="D497">
        <f>_xlfn.XLOOKUP(tblOrders[[#This Row],[CustomerID]],tblCustomers[CustomerID],tblCustomers[Age],"not found")</f>
        <v>48</v>
      </c>
      <c r="E497" t="str">
        <f>_xlfn.XLOOKUP(tblOrders[[#This Row],[CustomerID]],tblCustomers[CustomerID],tblCustomers[Gender],"not found")</f>
        <v>Male</v>
      </c>
      <c r="F497" t="str">
        <f>_xlfn.XLOOKUP(tblOrders[[#This Row],[CustomerID]],tblCustomers[CustomerID],tblCustomers[Region],"not found")</f>
        <v>East</v>
      </c>
      <c r="G497">
        <v>1011</v>
      </c>
      <c r="H497" t="str">
        <f>_xlfn.XLOOKUP(tblOrders[[#This Row],[ProductID]],tblProducts[ProductID],tblProducts[ProductName],"not found")</f>
        <v>Begin</v>
      </c>
      <c r="I497" t="str">
        <f>_xlfn.XLOOKUP(tblOrders[[#This Row],[ProductID]],tblProducts[ProductID],tblProducts[Category],"not found")</f>
        <v>Toys</v>
      </c>
      <c r="J497">
        <f>_xlfn.XLOOKUP(tblOrders[[#This Row],[ProductID]],tblProducts[ProductID],tblProducts[UnitPrice],"not found")</f>
        <v>443.16</v>
      </c>
      <c r="K497" t="str">
        <f>_xlfn.XLOOKUP(tblOrders[[#This Row],[ProductID]],tblProducts[ProductID],tblProducts[Supplier],"not found")</f>
        <v>Estrada LLC</v>
      </c>
      <c r="L497" s="1" t="s">
        <v>2165</v>
      </c>
      <c r="M4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44982</v>
      </c>
      <c r="N497">
        <v>9</v>
      </c>
      <c r="O497">
        <v>3988.44</v>
      </c>
      <c r="P497">
        <f>tblOrders[[#This Row],[Quantity]]*tblOrders[[#This Row],[Unit Price]]</f>
        <v>3988.44</v>
      </c>
      <c r="Q497">
        <f>tblOrders[[#This Row],[TotalSales]]-tblOrders[[#This Row],[Calculated Sales]]</f>
        <v>0</v>
      </c>
    </row>
    <row r="498" spans="1:17" x14ac:dyDescent="0.25">
      <c r="A498">
        <v>1822</v>
      </c>
      <c r="B498">
        <v>949</v>
      </c>
      <c r="C498" t="str">
        <f>_xlfn.XLOOKUP(tblOrders[[#This Row],[CustomerID]],tblCustomers[CustomerID],tblCustomers[CustomerName],"not found")</f>
        <v>Cynthia Green</v>
      </c>
      <c r="D498">
        <f>_xlfn.XLOOKUP(tblOrders[[#This Row],[CustomerID]],tblCustomers[CustomerID],tblCustomers[Age],"not found")</f>
        <v>47</v>
      </c>
      <c r="E498" t="str">
        <f>_xlfn.XLOOKUP(tblOrders[[#This Row],[CustomerID]],tblCustomers[CustomerID],tblCustomers[Gender],"not found")</f>
        <v>Female</v>
      </c>
      <c r="F498" t="str">
        <f>_xlfn.XLOOKUP(tblOrders[[#This Row],[CustomerID]],tblCustomers[CustomerID],tblCustomers[Region],"not found")</f>
        <v>West</v>
      </c>
      <c r="G498">
        <v>1011</v>
      </c>
      <c r="H498" t="str">
        <f>_xlfn.XLOOKUP(tblOrders[[#This Row],[ProductID]],tblProducts[ProductID],tblProducts[ProductName],"not found")</f>
        <v>Begin</v>
      </c>
      <c r="I498" t="str">
        <f>_xlfn.XLOOKUP(tblOrders[[#This Row],[ProductID]],tblProducts[ProductID],tblProducts[Category],"not found")</f>
        <v>Toys</v>
      </c>
      <c r="J498">
        <f>_xlfn.XLOOKUP(tblOrders[[#This Row],[ProductID]],tblProducts[ProductID],tblProducts[UnitPrice],"not found")</f>
        <v>443.16</v>
      </c>
      <c r="K498" t="str">
        <f>_xlfn.XLOOKUP(tblOrders[[#This Row],[ProductID]],tblProducts[ProductID],tblProducts[Supplier],"not found")</f>
        <v>Estrada LLC</v>
      </c>
      <c r="L498" s="1" t="s">
        <v>2088</v>
      </c>
      <c r="M4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45492</v>
      </c>
      <c r="N498">
        <v>6</v>
      </c>
      <c r="O498">
        <v>2658.96</v>
      </c>
      <c r="P498">
        <f>tblOrders[[#This Row],[Quantity]]*tblOrders[[#This Row],[Unit Price]]</f>
        <v>2658.96</v>
      </c>
      <c r="Q498">
        <f>tblOrders[[#This Row],[TotalSales]]-tblOrders[[#This Row],[Calculated Sales]]</f>
        <v>0</v>
      </c>
    </row>
    <row r="499" spans="1:17" x14ac:dyDescent="0.25">
      <c r="A499">
        <v>25</v>
      </c>
      <c r="B499">
        <v>546</v>
      </c>
      <c r="C499" t="str">
        <f>_xlfn.XLOOKUP(tblOrders[[#This Row],[CustomerID]],tblCustomers[CustomerID],tblCustomers[CustomerName],"not found")</f>
        <v>Jose Jackson</v>
      </c>
      <c r="D499">
        <f>_xlfn.XLOOKUP(tblOrders[[#This Row],[CustomerID]],tblCustomers[CustomerID],tblCustomers[Age],"not found")</f>
        <v>44</v>
      </c>
      <c r="E499" t="str">
        <f>_xlfn.XLOOKUP(tblOrders[[#This Row],[CustomerID]],tblCustomers[CustomerID],tblCustomers[Gender],"not found")</f>
        <v>Male</v>
      </c>
      <c r="F499" t="str">
        <f>_xlfn.XLOOKUP(tblOrders[[#This Row],[CustomerID]],tblCustomers[CustomerID],tblCustomers[Region],"not found")</f>
        <v>West</v>
      </c>
      <c r="G499">
        <v>1066</v>
      </c>
      <c r="H499" t="str">
        <f>_xlfn.XLOOKUP(tblOrders[[#This Row],[ProductID]],tblProducts[ProductID],tblProducts[ProductName],"not found")</f>
        <v>Although</v>
      </c>
      <c r="I499" t="str">
        <f>_xlfn.XLOOKUP(tblOrders[[#This Row],[ProductID]],tblProducts[ProductID],tblProducts[Category],"not found")</f>
        <v>Apparel</v>
      </c>
      <c r="J499">
        <f>_xlfn.XLOOKUP(tblOrders[[#This Row],[ProductID]],tblProducts[ProductID],tblProducts[UnitPrice],"not found")</f>
        <v>306.88</v>
      </c>
      <c r="K499" t="str">
        <f>_xlfn.XLOOKUP(tblOrders[[#This Row],[ProductID]],tblProducts[ProductID],tblProducts[Supplier],"not found")</f>
        <v>Green Ltd</v>
      </c>
      <c r="L499" s="1" t="s">
        <v>2206</v>
      </c>
      <c r="M4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45412</v>
      </c>
      <c r="N499">
        <v>6</v>
      </c>
      <c r="O499">
        <v>1841.28</v>
      </c>
      <c r="P499">
        <f>tblOrders[[#This Row],[Quantity]]*tblOrders[[#This Row],[Unit Price]]</f>
        <v>1841.28</v>
      </c>
      <c r="Q499">
        <f>tblOrders[[#This Row],[TotalSales]]-tblOrders[[#This Row],[Calculated Sales]]</f>
        <v>0</v>
      </c>
    </row>
    <row r="500" spans="1:17" x14ac:dyDescent="0.25">
      <c r="A500">
        <v>312</v>
      </c>
      <c r="B500">
        <v>951</v>
      </c>
      <c r="C500" t="str">
        <f>_xlfn.XLOOKUP(tblOrders[[#This Row],[CustomerID]],tblCustomers[CustomerID],tblCustomers[CustomerName],"not found")</f>
        <v>Christine Knight</v>
      </c>
      <c r="D500">
        <f>_xlfn.XLOOKUP(tblOrders[[#This Row],[CustomerID]],tblCustomers[CustomerID],tblCustomers[Age],"not found")</f>
        <v>62</v>
      </c>
      <c r="E500" t="str">
        <f>_xlfn.XLOOKUP(tblOrders[[#This Row],[CustomerID]],tblCustomers[CustomerID],tblCustomers[Gender],"not found")</f>
        <v>Female</v>
      </c>
      <c r="F500" t="str">
        <f>_xlfn.XLOOKUP(tblOrders[[#This Row],[CustomerID]],tblCustomers[CustomerID],tblCustomers[Region],"not found")</f>
        <v>North</v>
      </c>
      <c r="G500">
        <v>1066</v>
      </c>
      <c r="H500" t="str">
        <f>_xlfn.XLOOKUP(tblOrders[[#This Row],[ProductID]],tblProducts[ProductID],tblProducts[ProductName],"not found")</f>
        <v>Although</v>
      </c>
      <c r="I500" t="str">
        <f>_xlfn.XLOOKUP(tblOrders[[#This Row],[ProductID]],tblProducts[ProductID],tblProducts[Category],"not found")</f>
        <v>Apparel</v>
      </c>
      <c r="J500">
        <f>_xlfn.XLOOKUP(tblOrders[[#This Row],[ProductID]],tblProducts[ProductID],tblProducts[UnitPrice],"not found")</f>
        <v>306.88</v>
      </c>
      <c r="K500" t="str">
        <f>_xlfn.XLOOKUP(tblOrders[[#This Row],[ProductID]],tblProducts[ProductID],tblProducts[Supplier],"not found")</f>
        <v>Green Ltd</v>
      </c>
      <c r="L500" s="1" t="s">
        <v>2234</v>
      </c>
      <c r="M5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45156</v>
      </c>
      <c r="N500">
        <v>2</v>
      </c>
      <c r="O500">
        <v>613.76</v>
      </c>
      <c r="P500">
        <f>tblOrders[[#This Row],[Quantity]]*tblOrders[[#This Row],[Unit Price]]</f>
        <v>613.76</v>
      </c>
      <c r="Q500">
        <f>tblOrders[[#This Row],[TotalSales]]-tblOrders[[#This Row],[Calculated Sales]]</f>
        <v>0</v>
      </c>
    </row>
    <row r="501" spans="1:17" x14ac:dyDescent="0.25">
      <c r="A501">
        <v>362</v>
      </c>
      <c r="B501">
        <v>398</v>
      </c>
      <c r="C501" t="str">
        <f>_xlfn.XLOOKUP(tblOrders[[#This Row],[CustomerID]],tblCustomers[CustomerID],tblCustomers[CustomerName],"not found")</f>
        <v>Katie Hawkins</v>
      </c>
      <c r="D501">
        <f>_xlfn.XLOOKUP(tblOrders[[#This Row],[CustomerID]],tblCustomers[CustomerID],tblCustomers[Age],"not found")</f>
        <v>36</v>
      </c>
      <c r="E501" t="str">
        <f>_xlfn.XLOOKUP(tblOrders[[#This Row],[CustomerID]],tblCustomers[CustomerID],tblCustomers[Gender],"not found")</f>
        <v>Female</v>
      </c>
      <c r="F501" t="str">
        <f>_xlfn.XLOOKUP(tblOrders[[#This Row],[CustomerID]],tblCustomers[CustomerID],tblCustomers[Region],"not found")</f>
        <v>West</v>
      </c>
      <c r="G501">
        <v>1066</v>
      </c>
      <c r="H501" t="str">
        <f>_xlfn.XLOOKUP(tblOrders[[#This Row],[ProductID]],tblProducts[ProductID],tblProducts[ProductName],"not found")</f>
        <v>Although</v>
      </c>
      <c r="I501" t="str">
        <f>_xlfn.XLOOKUP(tblOrders[[#This Row],[ProductID]],tblProducts[ProductID],tblProducts[Category],"not found")</f>
        <v>Apparel</v>
      </c>
      <c r="J501">
        <f>_xlfn.XLOOKUP(tblOrders[[#This Row],[ProductID]],tblProducts[ProductID],tblProducts[UnitPrice],"not found")</f>
        <v>306.88</v>
      </c>
      <c r="K501" t="str">
        <f>_xlfn.XLOOKUP(tblOrders[[#This Row],[ProductID]],tblProducts[ProductID],tblProducts[Supplier],"not found")</f>
        <v>Green Ltd</v>
      </c>
      <c r="L501" s="1">
        <v>44967</v>
      </c>
      <c r="M5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44967</v>
      </c>
      <c r="N501">
        <v>4</v>
      </c>
      <c r="O501">
        <v>1227.52</v>
      </c>
      <c r="P501">
        <f>tblOrders[[#This Row],[Quantity]]*tblOrders[[#This Row],[Unit Price]]</f>
        <v>1227.52</v>
      </c>
      <c r="Q501">
        <f>tblOrders[[#This Row],[TotalSales]]-tblOrders[[#This Row],[Calculated Sales]]</f>
        <v>0</v>
      </c>
    </row>
    <row r="502" spans="1:17" x14ac:dyDescent="0.25">
      <c r="A502">
        <v>429</v>
      </c>
      <c r="B502">
        <v>971</v>
      </c>
      <c r="C502" t="str">
        <f>_xlfn.XLOOKUP(tblOrders[[#This Row],[CustomerID]],tblCustomers[CustomerID],tblCustomers[CustomerName],"not found")</f>
        <v>Angela Acevedo</v>
      </c>
      <c r="D502">
        <f>_xlfn.XLOOKUP(tblOrders[[#This Row],[CustomerID]],tblCustomers[CustomerID],tblCustomers[Age],"not found")</f>
        <v>53</v>
      </c>
      <c r="E502" t="str">
        <f>_xlfn.XLOOKUP(tblOrders[[#This Row],[CustomerID]],tblCustomers[CustomerID],tblCustomers[Gender],"not found")</f>
        <v>Male</v>
      </c>
      <c r="F502" t="str">
        <f>_xlfn.XLOOKUP(tblOrders[[#This Row],[CustomerID]],tblCustomers[CustomerID],tblCustomers[Region],"not found")</f>
        <v>South</v>
      </c>
      <c r="G502">
        <v>1066</v>
      </c>
      <c r="H502" t="str">
        <f>_xlfn.XLOOKUP(tblOrders[[#This Row],[ProductID]],tblProducts[ProductID],tblProducts[ProductName],"not found")</f>
        <v>Although</v>
      </c>
      <c r="I502" t="str">
        <f>_xlfn.XLOOKUP(tblOrders[[#This Row],[ProductID]],tblProducts[ProductID],tblProducts[Category],"not found")</f>
        <v>Apparel</v>
      </c>
      <c r="J502">
        <f>_xlfn.XLOOKUP(tblOrders[[#This Row],[ProductID]],tblProducts[ProductID],tblProducts[UnitPrice],"not found")</f>
        <v>306.88</v>
      </c>
      <c r="K502" t="str">
        <f>_xlfn.XLOOKUP(tblOrders[[#This Row],[ProductID]],tblProducts[ProductID],tblProducts[Supplier],"not found")</f>
        <v>Green Ltd</v>
      </c>
      <c r="L502" s="1" t="s">
        <v>2130</v>
      </c>
      <c r="M5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502">
        <v>7</v>
      </c>
      <c r="O502">
        <v>2148.16</v>
      </c>
      <c r="P502">
        <f>tblOrders[[#This Row],[Quantity]]*tblOrders[[#This Row],[Unit Price]]</f>
        <v>2148.16</v>
      </c>
      <c r="Q502">
        <f>tblOrders[[#This Row],[TotalSales]]-tblOrders[[#This Row],[Calculated Sales]]</f>
        <v>0</v>
      </c>
    </row>
    <row r="503" spans="1:17" x14ac:dyDescent="0.25">
      <c r="A503">
        <v>499</v>
      </c>
      <c r="B503">
        <v>353</v>
      </c>
      <c r="C503" t="str">
        <f>_xlfn.XLOOKUP(tblOrders[[#This Row],[CustomerID]],tblCustomers[CustomerID],tblCustomers[CustomerName],"not found")</f>
        <v>Virginia Hart</v>
      </c>
      <c r="D503">
        <f>_xlfn.XLOOKUP(tblOrders[[#This Row],[CustomerID]],tblCustomers[CustomerID],tblCustomers[Age],"not found")</f>
        <v>67</v>
      </c>
      <c r="E503" t="str">
        <f>_xlfn.XLOOKUP(tblOrders[[#This Row],[CustomerID]],tblCustomers[CustomerID],tblCustomers[Gender],"not found")</f>
        <v>Male</v>
      </c>
      <c r="F503" t="str">
        <f>_xlfn.XLOOKUP(tblOrders[[#This Row],[CustomerID]],tblCustomers[CustomerID],tblCustomers[Region],"not found")</f>
        <v>North</v>
      </c>
      <c r="G503">
        <v>1066</v>
      </c>
      <c r="H503" t="str">
        <f>_xlfn.XLOOKUP(tblOrders[[#This Row],[ProductID]],tblProducts[ProductID],tblProducts[ProductName],"not found")</f>
        <v>Although</v>
      </c>
      <c r="I503" t="str">
        <f>_xlfn.XLOOKUP(tblOrders[[#This Row],[ProductID]],tblProducts[ProductID],tblProducts[Category],"not found")</f>
        <v>Apparel</v>
      </c>
      <c r="J503">
        <f>_xlfn.XLOOKUP(tblOrders[[#This Row],[ProductID]],tblProducts[ProductID],tblProducts[UnitPrice],"not found")</f>
        <v>306.88</v>
      </c>
      <c r="K503" t="str">
        <f>_xlfn.XLOOKUP(tblOrders[[#This Row],[ProductID]],tblProducts[ProductID],tblProducts[Supplier],"not found")</f>
        <v>Green Ltd</v>
      </c>
      <c r="L503" s="1" t="s">
        <v>2235</v>
      </c>
      <c r="M5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45225</v>
      </c>
      <c r="N503">
        <v>2</v>
      </c>
      <c r="O503">
        <v>613.76</v>
      </c>
      <c r="P503">
        <f>tblOrders[[#This Row],[Quantity]]*tblOrders[[#This Row],[Unit Price]]</f>
        <v>613.76</v>
      </c>
      <c r="Q503">
        <f>tblOrders[[#This Row],[TotalSales]]-tblOrders[[#This Row],[Calculated Sales]]</f>
        <v>0</v>
      </c>
    </row>
    <row r="504" spans="1:17" x14ac:dyDescent="0.25">
      <c r="A504">
        <v>526</v>
      </c>
      <c r="B504">
        <v>383</v>
      </c>
      <c r="C504" t="str">
        <f>_xlfn.XLOOKUP(tblOrders[[#This Row],[CustomerID]],tblCustomers[CustomerID],tblCustomers[CustomerName],"not found")</f>
        <v>Karen Irwin</v>
      </c>
      <c r="D504">
        <f>_xlfn.XLOOKUP(tblOrders[[#This Row],[CustomerID]],tblCustomers[CustomerID],tblCustomers[Age],"not found")</f>
        <v>18</v>
      </c>
      <c r="E504" t="str">
        <f>_xlfn.XLOOKUP(tblOrders[[#This Row],[CustomerID]],tblCustomers[CustomerID],tblCustomers[Gender],"not found")</f>
        <v>Male</v>
      </c>
      <c r="F504" t="str">
        <f>_xlfn.XLOOKUP(tblOrders[[#This Row],[CustomerID]],tblCustomers[CustomerID],tblCustomers[Region],"not found")</f>
        <v>West</v>
      </c>
      <c r="G504">
        <v>1066</v>
      </c>
      <c r="H504" t="str">
        <f>_xlfn.XLOOKUP(tblOrders[[#This Row],[ProductID]],tblProducts[ProductID],tblProducts[ProductName],"not found")</f>
        <v>Although</v>
      </c>
      <c r="I504" t="str">
        <f>_xlfn.XLOOKUP(tblOrders[[#This Row],[ProductID]],tblProducts[ProductID],tblProducts[Category],"not found")</f>
        <v>Apparel</v>
      </c>
      <c r="J504">
        <f>_xlfn.XLOOKUP(tblOrders[[#This Row],[ProductID]],tblProducts[ProductID],tblProducts[UnitPrice],"not found")</f>
        <v>306.88</v>
      </c>
      <c r="K504" t="str">
        <f>_xlfn.XLOOKUP(tblOrders[[#This Row],[ProductID]],tblProducts[ProductID],tblProducts[Supplier],"not found")</f>
        <v>Green Ltd</v>
      </c>
      <c r="L504" s="1" t="s">
        <v>2174</v>
      </c>
      <c r="M5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45010</v>
      </c>
      <c r="N504">
        <v>5</v>
      </c>
      <c r="O504">
        <v>1534.4</v>
      </c>
      <c r="P504">
        <f>tblOrders[[#This Row],[Quantity]]*tblOrders[[#This Row],[Unit Price]]</f>
        <v>1534.4</v>
      </c>
      <c r="Q504">
        <f>tblOrders[[#This Row],[TotalSales]]-tblOrders[[#This Row],[Calculated Sales]]</f>
        <v>0</v>
      </c>
    </row>
    <row r="505" spans="1:17" x14ac:dyDescent="0.25">
      <c r="A505">
        <v>639</v>
      </c>
      <c r="B505">
        <v>977</v>
      </c>
      <c r="C505" t="str">
        <f>_xlfn.XLOOKUP(tblOrders[[#This Row],[CustomerID]],tblCustomers[CustomerID],tblCustomers[CustomerName],"not found")</f>
        <v>Christian Johnston</v>
      </c>
      <c r="D505">
        <f>_xlfn.XLOOKUP(tblOrders[[#This Row],[CustomerID]],tblCustomers[CustomerID],tblCustomers[Age],"not found")</f>
        <v>20</v>
      </c>
      <c r="E505" t="str">
        <f>_xlfn.XLOOKUP(tblOrders[[#This Row],[CustomerID]],tblCustomers[CustomerID],tblCustomers[Gender],"not found")</f>
        <v>Male</v>
      </c>
      <c r="F505" t="str">
        <f>_xlfn.XLOOKUP(tblOrders[[#This Row],[CustomerID]],tblCustomers[CustomerID],tblCustomers[Region],"not found")</f>
        <v>South</v>
      </c>
      <c r="G505">
        <v>1066</v>
      </c>
      <c r="H505" t="str">
        <f>_xlfn.XLOOKUP(tblOrders[[#This Row],[ProductID]],tblProducts[ProductID],tblProducts[ProductName],"not found")</f>
        <v>Although</v>
      </c>
      <c r="I505" t="str">
        <f>_xlfn.XLOOKUP(tblOrders[[#This Row],[ProductID]],tblProducts[ProductID],tblProducts[Category],"not found")</f>
        <v>Apparel</v>
      </c>
      <c r="J505">
        <f>_xlfn.XLOOKUP(tblOrders[[#This Row],[ProductID]],tblProducts[ProductID],tblProducts[UnitPrice],"not found")</f>
        <v>306.88</v>
      </c>
      <c r="K505" t="str">
        <f>_xlfn.XLOOKUP(tblOrders[[#This Row],[ProductID]],tblProducts[ProductID],tblProducts[Supplier],"not found")</f>
        <v>Green Ltd</v>
      </c>
      <c r="L505" s="1" t="s">
        <v>2236</v>
      </c>
      <c r="M5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45137</v>
      </c>
      <c r="N505">
        <v>1</v>
      </c>
      <c r="O505">
        <v>306.88</v>
      </c>
      <c r="P505">
        <f>tblOrders[[#This Row],[Quantity]]*tblOrders[[#This Row],[Unit Price]]</f>
        <v>306.88</v>
      </c>
      <c r="Q505">
        <f>tblOrders[[#This Row],[TotalSales]]-tblOrders[[#This Row],[Calculated Sales]]</f>
        <v>0</v>
      </c>
    </row>
    <row r="506" spans="1:17" x14ac:dyDescent="0.25">
      <c r="A506">
        <v>820</v>
      </c>
      <c r="B506">
        <v>645</v>
      </c>
      <c r="C506" t="str">
        <f>_xlfn.XLOOKUP(tblOrders[[#This Row],[CustomerID]],tblCustomers[CustomerID],tblCustomers[CustomerName],"not found")</f>
        <v>Tammie Moore</v>
      </c>
      <c r="D506">
        <f>_xlfn.XLOOKUP(tblOrders[[#This Row],[CustomerID]],tblCustomers[CustomerID],tblCustomers[Age],"not found")</f>
        <v>56</v>
      </c>
      <c r="E506" t="str">
        <f>_xlfn.XLOOKUP(tblOrders[[#This Row],[CustomerID]],tblCustomers[CustomerID],tblCustomers[Gender],"not found")</f>
        <v>Female</v>
      </c>
      <c r="F506" t="str">
        <f>_xlfn.XLOOKUP(tblOrders[[#This Row],[CustomerID]],tblCustomers[CustomerID],tblCustomers[Region],"not found")</f>
        <v>Central</v>
      </c>
      <c r="G506">
        <v>1066</v>
      </c>
      <c r="H506" t="str">
        <f>_xlfn.XLOOKUP(tblOrders[[#This Row],[ProductID]],tblProducts[ProductID],tblProducts[ProductName],"not found")</f>
        <v>Although</v>
      </c>
      <c r="I506" t="str">
        <f>_xlfn.XLOOKUP(tblOrders[[#This Row],[ProductID]],tblProducts[ProductID],tblProducts[Category],"not found")</f>
        <v>Apparel</v>
      </c>
      <c r="J506">
        <f>_xlfn.XLOOKUP(tblOrders[[#This Row],[ProductID]],tblProducts[ProductID],tblProducts[UnitPrice],"not found")</f>
        <v>306.88</v>
      </c>
      <c r="K506" t="str">
        <f>_xlfn.XLOOKUP(tblOrders[[#This Row],[ProductID]],tblProducts[ProductID],tblProducts[Supplier],"not found")</f>
        <v>Green Ltd</v>
      </c>
      <c r="L506" s="1">
        <v>45150</v>
      </c>
      <c r="M5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45150</v>
      </c>
      <c r="N506">
        <v>3</v>
      </c>
      <c r="O506">
        <v>920.64</v>
      </c>
      <c r="P506">
        <f>tblOrders[[#This Row],[Quantity]]*tblOrders[[#This Row],[Unit Price]]</f>
        <v>920.64</v>
      </c>
      <c r="Q506">
        <f>tblOrders[[#This Row],[TotalSales]]-tblOrders[[#This Row],[Calculated Sales]]</f>
        <v>0</v>
      </c>
    </row>
    <row r="507" spans="1:17" x14ac:dyDescent="0.25">
      <c r="A507">
        <v>933</v>
      </c>
      <c r="B507">
        <v>285</v>
      </c>
      <c r="C507" t="str">
        <f>_xlfn.XLOOKUP(tblOrders[[#This Row],[CustomerID]],tblCustomers[CustomerID],tblCustomers[CustomerName],"not found")</f>
        <v>Olivia Jackson</v>
      </c>
      <c r="D507">
        <f>_xlfn.XLOOKUP(tblOrders[[#This Row],[CustomerID]],tblCustomers[CustomerID],tblCustomers[Age],"not found")</f>
        <v>50</v>
      </c>
      <c r="E507" t="str">
        <f>_xlfn.XLOOKUP(tblOrders[[#This Row],[CustomerID]],tblCustomers[CustomerID],tblCustomers[Gender],"not found")</f>
        <v>Male</v>
      </c>
      <c r="F507" t="str">
        <f>_xlfn.XLOOKUP(tblOrders[[#This Row],[CustomerID]],tblCustomers[CustomerID],tblCustomers[Region],"not found")</f>
        <v>East</v>
      </c>
      <c r="G507">
        <v>1066</v>
      </c>
      <c r="H507" t="str">
        <f>_xlfn.XLOOKUP(tblOrders[[#This Row],[ProductID]],tblProducts[ProductID],tblProducts[ProductName],"not found")</f>
        <v>Although</v>
      </c>
      <c r="I507" t="str">
        <f>_xlfn.XLOOKUP(tblOrders[[#This Row],[ProductID]],tblProducts[ProductID],tblProducts[Category],"not found")</f>
        <v>Apparel</v>
      </c>
      <c r="J507">
        <f>_xlfn.XLOOKUP(tblOrders[[#This Row],[ProductID]],tblProducts[ProductID],tblProducts[UnitPrice],"not found")</f>
        <v>306.88</v>
      </c>
      <c r="K507" t="str">
        <f>_xlfn.XLOOKUP(tblOrders[[#This Row],[ProductID]],tblProducts[ProductID],tblProducts[Supplier],"not found")</f>
        <v>Green Ltd</v>
      </c>
      <c r="L507" s="1">
        <v>45417</v>
      </c>
      <c r="M5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45417</v>
      </c>
      <c r="N507">
        <v>6</v>
      </c>
      <c r="O507">
        <v>1841.28</v>
      </c>
      <c r="P507">
        <f>tblOrders[[#This Row],[Quantity]]*tblOrders[[#This Row],[Unit Price]]</f>
        <v>1841.28</v>
      </c>
      <c r="Q507">
        <f>tblOrders[[#This Row],[TotalSales]]-tblOrders[[#This Row],[Calculated Sales]]</f>
        <v>0</v>
      </c>
    </row>
    <row r="508" spans="1:17" x14ac:dyDescent="0.25">
      <c r="A508">
        <v>1028</v>
      </c>
      <c r="B508">
        <v>543</v>
      </c>
      <c r="C508" t="str">
        <f>_xlfn.XLOOKUP(tblOrders[[#This Row],[CustomerID]],tblCustomers[CustomerID],tblCustomers[CustomerName],"not found")</f>
        <v>Billy Allen</v>
      </c>
      <c r="D508">
        <f>_xlfn.XLOOKUP(tblOrders[[#This Row],[CustomerID]],tblCustomers[CustomerID],tblCustomers[Age],"not found")</f>
        <v>54</v>
      </c>
      <c r="E508" t="str">
        <f>_xlfn.XLOOKUP(tblOrders[[#This Row],[CustomerID]],tblCustomers[CustomerID],tblCustomers[Gender],"not found")</f>
        <v>Female</v>
      </c>
      <c r="F508" t="str">
        <f>_xlfn.XLOOKUP(tblOrders[[#This Row],[CustomerID]],tblCustomers[CustomerID],tblCustomers[Region],"not found")</f>
        <v>South</v>
      </c>
      <c r="G508">
        <v>1066</v>
      </c>
      <c r="H508" t="str">
        <f>_xlfn.XLOOKUP(tblOrders[[#This Row],[ProductID]],tblProducts[ProductID],tblProducts[ProductName],"not found")</f>
        <v>Although</v>
      </c>
      <c r="I508" t="str">
        <f>_xlfn.XLOOKUP(tblOrders[[#This Row],[ProductID]],tblProducts[ProductID],tblProducts[Category],"not found")</f>
        <v>Apparel</v>
      </c>
      <c r="J508">
        <f>_xlfn.XLOOKUP(tblOrders[[#This Row],[ProductID]],tblProducts[ProductID],tblProducts[UnitPrice],"not found")</f>
        <v>306.88</v>
      </c>
      <c r="K508" t="str">
        <f>_xlfn.XLOOKUP(tblOrders[[#This Row],[ProductID]],tblProducts[ProductID],tblProducts[Supplier],"not found")</f>
        <v>Green Ltd</v>
      </c>
      <c r="L508" s="1">
        <v>45022</v>
      </c>
      <c r="M5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45022</v>
      </c>
      <c r="N508">
        <v>2</v>
      </c>
      <c r="O508">
        <v>613.76</v>
      </c>
      <c r="P508">
        <f>tblOrders[[#This Row],[Quantity]]*tblOrders[[#This Row],[Unit Price]]</f>
        <v>613.76</v>
      </c>
      <c r="Q508">
        <f>tblOrders[[#This Row],[TotalSales]]-tblOrders[[#This Row],[Calculated Sales]]</f>
        <v>0</v>
      </c>
    </row>
    <row r="509" spans="1:17" x14ac:dyDescent="0.25">
      <c r="A509">
        <v>1300</v>
      </c>
      <c r="B509">
        <v>156</v>
      </c>
      <c r="C509" t="str">
        <f>_xlfn.XLOOKUP(tblOrders[[#This Row],[CustomerID]],tblCustomers[CustomerID],tblCustomers[CustomerName],"not found")</f>
        <v>Victor Osborn</v>
      </c>
      <c r="D509">
        <f>_xlfn.XLOOKUP(tblOrders[[#This Row],[CustomerID]],tblCustomers[CustomerID],tblCustomers[Age],"not found")</f>
        <v>53</v>
      </c>
      <c r="E509" t="str">
        <f>_xlfn.XLOOKUP(tblOrders[[#This Row],[CustomerID]],tblCustomers[CustomerID],tblCustomers[Gender],"not found")</f>
        <v>Female</v>
      </c>
      <c r="F509" t="str">
        <f>_xlfn.XLOOKUP(tblOrders[[#This Row],[CustomerID]],tblCustomers[CustomerID],tblCustomers[Region],"not found")</f>
        <v>East</v>
      </c>
      <c r="G509">
        <v>1066</v>
      </c>
      <c r="H509" t="str">
        <f>_xlfn.XLOOKUP(tblOrders[[#This Row],[ProductID]],tblProducts[ProductID],tblProducts[ProductName],"not found")</f>
        <v>Although</v>
      </c>
      <c r="I509" t="str">
        <f>_xlfn.XLOOKUP(tblOrders[[#This Row],[ProductID]],tblProducts[ProductID],tblProducts[Category],"not found")</f>
        <v>Apparel</v>
      </c>
      <c r="J509">
        <f>_xlfn.XLOOKUP(tblOrders[[#This Row],[ProductID]],tblProducts[ProductID],tblProducts[UnitPrice],"not found")</f>
        <v>306.88</v>
      </c>
      <c r="K509" t="str">
        <f>_xlfn.XLOOKUP(tblOrders[[#This Row],[ProductID]],tblProducts[ProductID],tblProducts[Supplier],"not found")</f>
        <v>Green Ltd</v>
      </c>
      <c r="L509" s="1" t="s">
        <v>2137</v>
      </c>
      <c r="M5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45501</v>
      </c>
      <c r="N509">
        <v>2</v>
      </c>
      <c r="O509">
        <v>613.76</v>
      </c>
      <c r="P509">
        <f>tblOrders[[#This Row],[Quantity]]*tblOrders[[#This Row],[Unit Price]]</f>
        <v>613.76</v>
      </c>
      <c r="Q509">
        <f>tblOrders[[#This Row],[TotalSales]]-tblOrders[[#This Row],[Calculated Sales]]</f>
        <v>0</v>
      </c>
    </row>
    <row r="510" spans="1:17" x14ac:dyDescent="0.25">
      <c r="A510">
        <v>1359</v>
      </c>
      <c r="B510">
        <v>175</v>
      </c>
      <c r="C510" t="str">
        <f>_xlfn.XLOOKUP(tblOrders[[#This Row],[CustomerID]],tblCustomers[CustomerID],tblCustomers[CustomerName],"not found")</f>
        <v>Jasmine Hamilton</v>
      </c>
      <c r="D510">
        <f>_xlfn.XLOOKUP(tblOrders[[#This Row],[CustomerID]],tblCustomers[CustomerID],tblCustomers[Age],"not found")</f>
        <v>48</v>
      </c>
      <c r="E510" t="str">
        <f>_xlfn.XLOOKUP(tblOrders[[#This Row],[CustomerID]],tblCustomers[CustomerID],tblCustomers[Gender],"not found")</f>
        <v>Female</v>
      </c>
      <c r="F510" t="str">
        <f>_xlfn.XLOOKUP(tblOrders[[#This Row],[CustomerID]],tblCustomers[CustomerID],tblCustomers[Region],"not found")</f>
        <v>West</v>
      </c>
      <c r="G510">
        <v>1066</v>
      </c>
      <c r="H510" t="str">
        <f>_xlfn.XLOOKUP(tblOrders[[#This Row],[ProductID]],tblProducts[ProductID],tblProducts[ProductName],"not found")</f>
        <v>Although</v>
      </c>
      <c r="I510" t="str">
        <f>_xlfn.XLOOKUP(tblOrders[[#This Row],[ProductID]],tblProducts[ProductID],tblProducts[Category],"not found")</f>
        <v>Apparel</v>
      </c>
      <c r="J510">
        <f>_xlfn.XLOOKUP(tblOrders[[#This Row],[ProductID]],tblProducts[ProductID],tblProducts[UnitPrice],"not found")</f>
        <v>306.88</v>
      </c>
      <c r="K510" t="str">
        <f>_xlfn.XLOOKUP(tblOrders[[#This Row],[ProductID]],tblProducts[ProductID],tblProducts[Supplier],"not found")</f>
        <v>Green Ltd</v>
      </c>
      <c r="L510" s="1" t="s">
        <v>2174</v>
      </c>
      <c r="M5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45010</v>
      </c>
      <c r="N510">
        <v>6</v>
      </c>
      <c r="O510">
        <v>1841.28</v>
      </c>
      <c r="P510">
        <f>tblOrders[[#This Row],[Quantity]]*tblOrders[[#This Row],[Unit Price]]</f>
        <v>1841.28</v>
      </c>
      <c r="Q510">
        <f>tblOrders[[#This Row],[TotalSales]]-tblOrders[[#This Row],[Calculated Sales]]</f>
        <v>0</v>
      </c>
    </row>
    <row r="511" spans="1:17" x14ac:dyDescent="0.25">
      <c r="A511">
        <v>1391</v>
      </c>
      <c r="B511">
        <v>154</v>
      </c>
      <c r="C511" t="str">
        <f>_xlfn.XLOOKUP(tblOrders[[#This Row],[CustomerID]],tblCustomers[CustomerID],tblCustomers[CustomerName],"not found")</f>
        <v>Dale Martin</v>
      </c>
      <c r="D511">
        <f>_xlfn.XLOOKUP(tblOrders[[#This Row],[CustomerID]],tblCustomers[CustomerID],tblCustomers[Age],"not found")</f>
        <v>50</v>
      </c>
      <c r="E511" t="str">
        <f>_xlfn.XLOOKUP(tblOrders[[#This Row],[CustomerID]],tblCustomers[CustomerID],tblCustomers[Gender],"not found")</f>
        <v>Male</v>
      </c>
      <c r="F511" t="str">
        <f>_xlfn.XLOOKUP(tblOrders[[#This Row],[CustomerID]],tblCustomers[CustomerID],tblCustomers[Region],"not found")</f>
        <v>North</v>
      </c>
      <c r="G511">
        <v>1066</v>
      </c>
      <c r="H511" t="str">
        <f>_xlfn.XLOOKUP(tblOrders[[#This Row],[ProductID]],tblProducts[ProductID],tblProducts[ProductName],"not found")</f>
        <v>Although</v>
      </c>
      <c r="I511" t="str">
        <f>_xlfn.XLOOKUP(tblOrders[[#This Row],[ProductID]],tblProducts[ProductID],tblProducts[Category],"not found")</f>
        <v>Apparel</v>
      </c>
      <c r="J511">
        <f>_xlfn.XLOOKUP(tblOrders[[#This Row],[ProductID]],tblProducts[ProductID],tblProducts[UnitPrice],"not found")</f>
        <v>306.88</v>
      </c>
      <c r="K511" t="str">
        <f>_xlfn.XLOOKUP(tblOrders[[#This Row],[ProductID]],tblProducts[ProductID],tblProducts[Supplier],"not found")</f>
        <v>Green Ltd</v>
      </c>
      <c r="L511" s="1">
        <v>45352</v>
      </c>
      <c r="M5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45352</v>
      </c>
      <c r="N511">
        <v>4</v>
      </c>
      <c r="O511">
        <v>1227.52</v>
      </c>
      <c r="P511">
        <f>tblOrders[[#This Row],[Quantity]]*tblOrders[[#This Row],[Unit Price]]</f>
        <v>1227.52</v>
      </c>
      <c r="Q511">
        <f>tblOrders[[#This Row],[TotalSales]]-tblOrders[[#This Row],[Calculated Sales]]</f>
        <v>0</v>
      </c>
    </row>
    <row r="512" spans="1:17" x14ac:dyDescent="0.25">
      <c r="A512">
        <v>1430</v>
      </c>
      <c r="B512">
        <v>775</v>
      </c>
      <c r="C512" t="str">
        <f>_xlfn.XLOOKUP(tblOrders[[#This Row],[CustomerID]],tblCustomers[CustomerID],tblCustomers[CustomerName],"not found")</f>
        <v>Casey Edwards</v>
      </c>
      <c r="D512">
        <f>_xlfn.XLOOKUP(tblOrders[[#This Row],[CustomerID]],tblCustomers[CustomerID],tblCustomers[Age],"not found")</f>
        <v>58</v>
      </c>
      <c r="E512" t="str">
        <f>_xlfn.XLOOKUP(tblOrders[[#This Row],[CustomerID]],tblCustomers[CustomerID],tblCustomers[Gender],"not found")</f>
        <v>Female</v>
      </c>
      <c r="F512" t="str">
        <f>_xlfn.XLOOKUP(tblOrders[[#This Row],[CustomerID]],tblCustomers[CustomerID],tblCustomers[Region],"not found")</f>
        <v>West</v>
      </c>
      <c r="G512">
        <v>1066</v>
      </c>
      <c r="H512" t="str">
        <f>_xlfn.XLOOKUP(tblOrders[[#This Row],[ProductID]],tblProducts[ProductID],tblProducts[ProductName],"not found")</f>
        <v>Although</v>
      </c>
      <c r="I512" t="str">
        <f>_xlfn.XLOOKUP(tblOrders[[#This Row],[ProductID]],tblProducts[ProductID],tblProducts[Category],"not found")</f>
        <v>Apparel</v>
      </c>
      <c r="J512">
        <f>_xlfn.XLOOKUP(tblOrders[[#This Row],[ProductID]],tblProducts[ProductID],tblProducts[UnitPrice],"not found")</f>
        <v>306.88</v>
      </c>
      <c r="K512" t="str">
        <f>_xlfn.XLOOKUP(tblOrders[[#This Row],[ProductID]],tblProducts[ProductID],tblProducts[Supplier],"not found")</f>
        <v>Green Ltd</v>
      </c>
      <c r="L512" s="1" t="s">
        <v>2237</v>
      </c>
      <c r="M5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45128</v>
      </c>
      <c r="N512">
        <v>9</v>
      </c>
      <c r="O512">
        <v>2761.92</v>
      </c>
      <c r="P512">
        <f>tblOrders[[#This Row],[Quantity]]*tblOrders[[#This Row],[Unit Price]]</f>
        <v>2761.92</v>
      </c>
      <c r="Q512">
        <f>tblOrders[[#This Row],[TotalSales]]-tblOrders[[#This Row],[Calculated Sales]]</f>
        <v>0</v>
      </c>
    </row>
    <row r="513" spans="1:17" x14ac:dyDescent="0.25">
      <c r="A513">
        <v>1459</v>
      </c>
      <c r="B513">
        <v>895</v>
      </c>
      <c r="C513" t="str">
        <f>_xlfn.XLOOKUP(tblOrders[[#This Row],[CustomerID]],tblCustomers[CustomerID],tblCustomers[CustomerName],"not found")</f>
        <v>Tommy Lambert</v>
      </c>
      <c r="D513">
        <f>_xlfn.XLOOKUP(tblOrders[[#This Row],[CustomerID]],tblCustomers[CustomerID],tblCustomers[Age],"not found")</f>
        <v>56</v>
      </c>
      <c r="E513" t="str">
        <f>_xlfn.XLOOKUP(tblOrders[[#This Row],[CustomerID]],tblCustomers[CustomerID],tblCustomers[Gender],"not found")</f>
        <v>Female</v>
      </c>
      <c r="F513" t="str">
        <f>_xlfn.XLOOKUP(tblOrders[[#This Row],[CustomerID]],tblCustomers[CustomerID],tblCustomers[Region],"not found")</f>
        <v>West</v>
      </c>
      <c r="G513">
        <v>1066</v>
      </c>
      <c r="H513" t="str">
        <f>_xlfn.XLOOKUP(tblOrders[[#This Row],[ProductID]],tblProducts[ProductID],tblProducts[ProductName],"not found")</f>
        <v>Although</v>
      </c>
      <c r="I513" t="str">
        <f>_xlfn.XLOOKUP(tblOrders[[#This Row],[ProductID]],tblProducts[ProductID],tblProducts[Category],"not found")</f>
        <v>Apparel</v>
      </c>
      <c r="J513">
        <f>_xlfn.XLOOKUP(tblOrders[[#This Row],[ProductID]],tblProducts[ProductID],tblProducts[UnitPrice],"not found")</f>
        <v>306.88</v>
      </c>
      <c r="K513" t="str">
        <f>_xlfn.XLOOKUP(tblOrders[[#This Row],[ProductID]],tblProducts[ProductID],tblProducts[Supplier],"not found")</f>
        <v>Green Ltd</v>
      </c>
      <c r="L513" s="1" t="s">
        <v>2148</v>
      </c>
      <c r="M5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45473</v>
      </c>
      <c r="N513">
        <v>9</v>
      </c>
      <c r="O513">
        <v>2761.92</v>
      </c>
      <c r="P513">
        <f>tblOrders[[#This Row],[Quantity]]*tblOrders[[#This Row],[Unit Price]]</f>
        <v>2761.92</v>
      </c>
      <c r="Q513">
        <f>tblOrders[[#This Row],[TotalSales]]-tblOrders[[#This Row],[Calculated Sales]]</f>
        <v>0</v>
      </c>
    </row>
    <row r="514" spans="1:17" x14ac:dyDescent="0.25">
      <c r="A514">
        <v>1691</v>
      </c>
      <c r="B514">
        <v>827</v>
      </c>
      <c r="C514" t="str">
        <f>_xlfn.XLOOKUP(tblOrders[[#This Row],[CustomerID]],tblCustomers[CustomerID],tblCustomers[CustomerName],"not found")</f>
        <v>Daniel Lewis</v>
      </c>
      <c r="D514">
        <f>_xlfn.XLOOKUP(tblOrders[[#This Row],[CustomerID]],tblCustomers[CustomerID],tblCustomers[Age],"not found")</f>
        <v>19</v>
      </c>
      <c r="E514" t="str">
        <f>_xlfn.XLOOKUP(tblOrders[[#This Row],[CustomerID]],tblCustomers[CustomerID],tblCustomers[Gender],"not found")</f>
        <v>Male</v>
      </c>
      <c r="F514" t="str">
        <f>_xlfn.XLOOKUP(tblOrders[[#This Row],[CustomerID]],tblCustomers[CustomerID],tblCustomers[Region],"not found")</f>
        <v>South</v>
      </c>
      <c r="G514">
        <v>1066</v>
      </c>
      <c r="H514" t="str">
        <f>_xlfn.XLOOKUP(tblOrders[[#This Row],[ProductID]],tblProducts[ProductID],tblProducts[ProductName],"not found")</f>
        <v>Although</v>
      </c>
      <c r="I514" t="str">
        <f>_xlfn.XLOOKUP(tblOrders[[#This Row],[ProductID]],tblProducts[ProductID],tblProducts[Category],"not found")</f>
        <v>Apparel</v>
      </c>
      <c r="J514">
        <f>_xlfn.XLOOKUP(tblOrders[[#This Row],[ProductID]],tblProducts[ProductID],tblProducts[UnitPrice],"not found")</f>
        <v>306.88</v>
      </c>
      <c r="K514" t="str">
        <f>_xlfn.XLOOKUP(tblOrders[[#This Row],[ProductID]],tblProducts[ProductID],tblProducts[Supplier],"not found")</f>
        <v>Green Ltd</v>
      </c>
      <c r="L514" s="1" t="s">
        <v>2167</v>
      </c>
      <c r="M5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45273</v>
      </c>
      <c r="N514">
        <v>6</v>
      </c>
      <c r="O514">
        <v>1841.28</v>
      </c>
      <c r="P514">
        <f>tblOrders[[#This Row],[Quantity]]*tblOrders[[#This Row],[Unit Price]]</f>
        <v>1841.28</v>
      </c>
      <c r="Q514">
        <f>tblOrders[[#This Row],[TotalSales]]-tblOrders[[#This Row],[Calculated Sales]]</f>
        <v>0</v>
      </c>
    </row>
    <row r="515" spans="1:17" x14ac:dyDescent="0.25">
      <c r="A515">
        <v>1700</v>
      </c>
      <c r="B515">
        <v>552</v>
      </c>
      <c r="C515" t="str">
        <f>_xlfn.XLOOKUP(tblOrders[[#This Row],[CustomerID]],tblCustomers[CustomerID],tblCustomers[CustomerName],"not found")</f>
        <v>Seth Boyd</v>
      </c>
      <c r="D515">
        <f>_xlfn.XLOOKUP(tblOrders[[#This Row],[CustomerID]],tblCustomers[CustomerID],tblCustomers[Age],"not found")</f>
        <v>32</v>
      </c>
      <c r="E515" t="str">
        <f>_xlfn.XLOOKUP(tblOrders[[#This Row],[CustomerID]],tblCustomers[CustomerID],tblCustomers[Gender],"not found")</f>
        <v>Male</v>
      </c>
      <c r="F515" t="str">
        <f>_xlfn.XLOOKUP(tblOrders[[#This Row],[CustomerID]],tblCustomers[CustomerID],tblCustomers[Region],"not found")</f>
        <v>Central</v>
      </c>
      <c r="G515">
        <v>1066</v>
      </c>
      <c r="H515" t="str">
        <f>_xlfn.XLOOKUP(tblOrders[[#This Row],[ProductID]],tblProducts[ProductID],tblProducts[ProductName],"not found")</f>
        <v>Although</v>
      </c>
      <c r="I515" t="str">
        <f>_xlfn.XLOOKUP(tblOrders[[#This Row],[ProductID]],tblProducts[ProductID],tblProducts[Category],"not found")</f>
        <v>Apparel</v>
      </c>
      <c r="J515">
        <f>_xlfn.XLOOKUP(tblOrders[[#This Row],[ProductID]],tblProducts[ProductID],tblProducts[UnitPrice],"not found")</f>
        <v>306.88</v>
      </c>
      <c r="K515" t="str">
        <f>_xlfn.XLOOKUP(tblOrders[[#This Row],[ProductID]],tblProducts[ProductID],tblProducts[Supplier],"not found")</f>
        <v>Green Ltd</v>
      </c>
      <c r="L515" s="1" t="s">
        <v>2099</v>
      </c>
      <c r="M5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45440</v>
      </c>
      <c r="N515">
        <v>9</v>
      </c>
      <c r="O515">
        <v>2761.92</v>
      </c>
      <c r="P515">
        <f>tblOrders[[#This Row],[Quantity]]*tblOrders[[#This Row],[Unit Price]]</f>
        <v>2761.92</v>
      </c>
      <c r="Q515">
        <f>tblOrders[[#This Row],[TotalSales]]-tblOrders[[#This Row],[Calculated Sales]]</f>
        <v>0</v>
      </c>
    </row>
    <row r="516" spans="1:17" x14ac:dyDescent="0.25">
      <c r="A516">
        <v>1786</v>
      </c>
      <c r="B516">
        <v>489</v>
      </c>
      <c r="C516" t="str">
        <f>_xlfn.XLOOKUP(tblOrders[[#This Row],[CustomerID]],tblCustomers[CustomerID],tblCustomers[CustomerName],"not found")</f>
        <v>Amber Lopez</v>
      </c>
      <c r="D516">
        <f>_xlfn.XLOOKUP(tblOrders[[#This Row],[CustomerID]],tblCustomers[CustomerID],tblCustomers[Age],"not found")</f>
        <v>33</v>
      </c>
      <c r="E516" t="str">
        <f>_xlfn.XLOOKUP(tblOrders[[#This Row],[CustomerID]],tblCustomers[CustomerID],tblCustomers[Gender],"not found")</f>
        <v>Female</v>
      </c>
      <c r="F516" t="str">
        <f>_xlfn.XLOOKUP(tblOrders[[#This Row],[CustomerID]],tblCustomers[CustomerID],tblCustomers[Region],"not found")</f>
        <v>East</v>
      </c>
      <c r="G516">
        <v>1066</v>
      </c>
      <c r="H516" t="str">
        <f>_xlfn.XLOOKUP(tblOrders[[#This Row],[ProductID]],tblProducts[ProductID],tblProducts[ProductName],"not found")</f>
        <v>Although</v>
      </c>
      <c r="I516" t="str">
        <f>_xlfn.XLOOKUP(tblOrders[[#This Row],[ProductID]],tblProducts[ProductID],tblProducts[Category],"not found")</f>
        <v>Apparel</v>
      </c>
      <c r="J516">
        <f>_xlfn.XLOOKUP(tblOrders[[#This Row],[ProductID]],tblProducts[ProductID],tblProducts[UnitPrice],"not found")</f>
        <v>306.88</v>
      </c>
      <c r="K516" t="str">
        <f>_xlfn.XLOOKUP(tblOrders[[#This Row],[ProductID]],tblProducts[ProductID],tblProducts[Supplier],"not found")</f>
        <v>Green Ltd</v>
      </c>
      <c r="L516" s="1">
        <v>45416</v>
      </c>
      <c r="M5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45416</v>
      </c>
      <c r="N516">
        <v>3</v>
      </c>
      <c r="O516">
        <v>920.64</v>
      </c>
      <c r="P516">
        <f>tblOrders[[#This Row],[Quantity]]*tblOrders[[#This Row],[Unit Price]]</f>
        <v>920.64</v>
      </c>
      <c r="Q516">
        <f>tblOrders[[#This Row],[TotalSales]]-tblOrders[[#This Row],[Calculated Sales]]</f>
        <v>0</v>
      </c>
    </row>
    <row r="517" spans="1:17" x14ac:dyDescent="0.25">
      <c r="A517">
        <v>1824</v>
      </c>
      <c r="B517">
        <v>13</v>
      </c>
      <c r="C517" t="str">
        <f>_xlfn.XLOOKUP(tblOrders[[#This Row],[CustomerID]],tblCustomers[CustomerID],tblCustomers[CustomerName],"not found")</f>
        <v>Chelsey Hunter</v>
      </c>
      <c r="D517">
        <f>_xlfn.XLOOKUP(tblOrders[[#This Row],[CustomerID]],tblCustomers[CustomerID],tblCustomers[Age],"not found")</f>
        <v>32</v>
      </c>
      <c r="E517" t="str">
        <f>_xlfn.XLOOKUP(tblOrders[[#This Row],[CustomerID]],tblCustomers[CustomerID],tblCustomers[Gender],"not found")</f>
        <v>Female</v>
      </c>
      <c r="F517" t="str">
        <f>_xlfn.XLOOKUP(tblOrders[[#This Row],[CustomerID]],tblCustomers[CustomerID],tblCustomers[Region],"not found")</f>
        <v>East</v>
      </c>
      <c r="G517">
        <v>1066</v>
      </c>
      <c r="H517" t="str">
        <f>_xlfn.XLOOKUP(tblOrders[[#This Row],[ProductID]],tblProducts[ProductID],tblProducts[ProductName],"not found")</f>
        <v>Although</v>
      </c>
      <c r="I517" t="str">
        <f>_xlfn.XLOOKUP(tblOrders[[#This Row],[ProductID]],tblProducts[ProductID],tblProducts[Category],"not found")</f>
        <v>Apparel</v>
      </c>
      <c r="J517">
        <f>_xlfn.XLOOKUP(tblOrders[[#This Row],[ProductID]],tblProducts[ProductID],tblProducts[UnitPrice],"not found")</f>
        <v>306.88</v>
      </c>
      <c r="K517" t="str">
        <f>_xlfn.XLOOKUP(tblOrders[[#This Row],[ProductID]],tblProducts[ProductID],tblProducts[Supplier],"not found")</f>
        <v>Green Ltd</v>
      </c>
      <c r="L517" s="1">
        <v>45416</v>
      </c>
      <c r="M5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45416</v>
      </c>
      <c r="N517">
        <v>2</v>
      </c>
      <c r="O517">
        <v>613.76</v>
      </c>
      <c r="P517">
        <f>tblOrders[[#This Row],[Quantity]]*tblOrders[[#This Row],[Unit Price]]</f>
        <v>613.76</v>
      </c>
      <c r="Q517">
        <f>tblOrders[[#This Row],[TotalSales]]-tblOrders[[#This Row],[Calculated Sales]]</f>
        <v>0</v>
      </c>
    </row>
    <row r="518" spans="1:17" x14ac:dyDescent="0.25">
      <c r="A518">
        <v>1867</v>
      </c>
      <c r="B518">
        <v>819</v>
      </c>
      <c r="C518" t="str">
        <f>_xlfn.XLOOKUP(tblOrders[[#This Row],[CustomerID]],tblCustomers[CustomerID],tblCustomers[CustomerName],"not found")</f>
        <v>Jesse Bennett</v>
      </c>
      <c r="D518">
        <f>_xlfn.XLOOKUP(tblOrders[[#This Row],[CustomerID]],tblCustomers[CustomerID],tblCustomers[Age],"not found")</f>
        <v>62</v>
      </c>
      <c r="E518" t="str">
        <f>_xlfn.XLOOKUP(tblOrders[[#This Row],[CustomerID]],tblCustomers[CustomerID],tblCustomers[Gender],"not found")</f>
        <v>Female</v>
      </c>
      <c r="F518" t="str">
        <f>_xlfn.XLOOKUP(tblOrders[[#This Row],[CustomerID]],tblCustomers[CustomerID],tblCustomers[Region],"not found")</f>
        <v>West</v>
      </c>
      <c r="G518">
        <v>1066</v>
      </c>
      <c r="H518" t="str">
        <f>_xlfn.XLOOKUP(tblOrders[[#This Row],[ProductID]],tblProducts[ProductID],tblProducts[ProductName],"not found")</f>
        <v>Although</v>
      </c>
      <c r="I518" t="str">
        <f>_xlfn.XLOOKUP(tblOrders[[#This Row],[ProductID]],tblProducts[ProductID],tblProducts[Category],"not found")</f>
        <v>Apparel</v>
      </c>
      <c r="J518">
        <f>_xlfn.XLOOKUP(tblOrders[[#This Row],[ProductID]],tblProducts[ProductID],tblProducts[UnitPrice],"not found")</f>
        <v>306.88</v>
      </c>
      <c r="K518" t="str">
        <f>_xlfn.XLOOKUP(tblOrders[[#This Row],[ProductID]],tblProducts[ProductID],tblProducts[Supplier],"not found")</f>
        <v>Green Ltd</v>
      </c>
      <c r="L518" s="1" t="s">
        <v>2238</v>
      </c>
      <c r="M5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45548</v>
      </c>
      <c r="N518">
        <v>9</v>
      </c>
      <c r="O518">
        <v>2761.92</v>
      </c>
      <c r="P518">
        <f>tblOrders[[#This Row],[Quantity]]*tblOrders[[#This Row],[Unit Price]]</f>
        <v>2761.92</v>
      </c>
      <c r="Q518">
        <f>tblOrders[[#This Row],[TotalSales]]-tblOrders[[#This Row],[Calculated Sales]]</f>
        <v>0</v>
      </c>
    </row>
    <row r="519" spans="1:17" x14ac:dyDescent="0.25">
      <c r="A519">
        <v>1975</v>
      </c>
      <c r="B519">
        <v>259</v>
      </c>
      <c r="C519" t="str">
        <f>_xlfn.XLOOKUP(tblOrders[[#This Row],[CustomerID]],tblCustomers[CustomerID],tblCustomers[CustomerName],"not found")</f>
        <v>Nicholas Nichols</v>
      </c>
      <c r="D519">
        <f>_xlfn.XLOOKUP(tblOrders[[#This Row],[CustomerID]],tblCustomers[CustomerID],tblCustomers[Age],"not found")</f>
        <v>67</v>
      </c>
      <c r="E519" t="str">
        <f>_xlfn.XLOOKUP(tblOrders[[#This Row],[CustomerID]],tblCustomers[CustomerID],tblCustomers[Gender],"not found")</f>
        <v>Female</v>
      </c>
      <c r="F519" t="str">
        <f>_xlfn.XLOOKUP(tblOrders[[#This Row],[CustomerID]],tblCustomers[CustomerID],tblCustomers[Region],"not found")</f>
        <v>South</v>
      </c>
      <c r="G519">
        <v>1066</v>
      </c>
      <c r="H519" t="str">
        <f>_xlfn.XLOOKUP(tblOrders[[#This Row],[ProductID]],tblProducts[ProductID],tblProducts[ProductName],"not found")</f>
        <v>Although</v>
      </c>
      <c r="I519" t="str">
        <f>_xlfn.XLOOKUP(tblOrders[[#This Row],[ProductID]],tblProducts[ProductID],tblProducts[Category],"not found")</f>
        <v>Apparel</v>
      </c>
      <c r="J519">
        <f>_xlfn.XLOOKUP(tblOrders[[#This Row],[ProductID]],tblProducts[ProductID],tblProducts[UnitPrice],"not found")</f>
        <v>306.88</v>
      </c>
      <c r="K519" t="str">
        <f>_xlfn.XLOOKUP(tblOrders[[#This Row],[ProductID]],tblProducts[ProductID],tblProducts[Supplier],"not found")</f>
        <v>Green Ltd</v>
      </c>
      <c r="L519" s="1" t="s">
        <v>2232</v>
      </c>
      <c r="M5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45151</v>
      </c>
      <c r="N519">
        <v>9</v>
      </c>
      <c r="O519">
        <v>2761.92</v>
      </c>
      <c r="P519">
        <f>tblOrders[[#This Row],[Quantity]]*tblOrders[[#This Row],[Unit Price]]</f>
        <v>2761.92</v>
      </c>
      <c r="Q519">
        <f>tblOrders[[#This Row],[TotalSales]]-tblOrders[[#This Row],[Calculated Sales]]</f>
        <v>0</v>
      </c>
    </row>
    <row r="520" spans="1:17" x14ac:dyDescent="0.25">
      <c r="A520">
        <v>1988</v>
      </c>
      <c r="B520">
        <v>540</v>
      </c>
      <c r="C520" t="str">
        <f>_xlfn.XLOOKUP(tblOrders[[#This Row],[CustomerID]],tblCustomers[CustomerID],tblCustomers[CustomerName],"not found")</f>
        <v>Zachary Carlson</v>
      </c>
      <c r="D520">
        <f>_xlfn.XLOOKUP(tblOrders[[#This Row],[CustomerID]],tblCustomers[CustomerID],tblCustomers[Age],"not found")</f>
        <v>68</v>
      </c>
      <c r="E520" t="str">
        <f>_xlfn.XLOOKUP(tblOrders[[#This Row],[CustomerID]],tblCustomers[CustomerID],tblCustomers[Gender],"not found")</f>
        <v>Female</v>
      </c>
      <c r="F520" t="str">
        <f>_xlfn.XLOOKUP(tblOrders[[#This Row],[CustomerID]],tblCustomers[CustomerID],tblCustomers[Region],"not found")</f>
        <v>Central</v>
      </c>
      <c r="G520">
        <v>1066</v>
      </c>
      <c r="H520" t="str">
        <f>_xlfn.XLOOKUP(tblOrders[[#This Row],[ProductID]],tblProducts[ProductID],tblProducts[ProductName],"not found")</f>
        <v>Although</v>
      </c>
      <c r="I520" t="str">
        <f>_xlfn.XLOOKUP(tblOrders[[#This Row],[ProductID]],tblProducts[ProductID],tblProducts[Category],"not found")</f>
        <v>Apparel</v>
      </c>
      <c r="J520">
        <f>_xlfn.XLOOKUP(tblOrders[[#This Row],[ProductID]],tblProducts[ProductID],tblProducts[UnitPrice],"not found")</f>
        <v>306.88</v>
      </c>
      <c r="K520" t="str">
        <f>_xlfn.XLOOKUP(tblOrders[[#This Row],[ProductID]],tblProducts[ProductID],tblProducts[Supplier],"not found")</f>
        <v>Green Ltd</v>
      </c>
      <c r="L520" s="1" t="s">
        <v>2239</v>
      </c>
      <c r="M5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45155</v>
      </c>
      <c r="N520">
        <v>5</v>
      </c>
      <c r="O520">
        <v>1534.4</v>
      </c>
      <c r="P520">
        <f>tblOrders[[#This Row],[Quantity]]*tblOrders[[#This Row],[Unit Price]]</f>
        <v>1534.4</v>
      </c>
      <c r="Q520">
        <f>tblOrders[[#This Row],[TotalSales]]-tblOrders[[#This Row],[Calculated Sales]]</f>
        <v>0</v>
      </c>
    </row>
    <row r="521" spans="1:17" x14ac:dyDescent="0.25">
      <c r="A521">
        <v>26</v>
      </c>
      <c r="B521">
        <v>907</v>
      </c>
      <c r="C521" t="str">
        <f>_xlfn.XLOOKUP(tblOrders[[#This Row],[CustomerID]],tblCustomers[CustomerID],tblCustomers[CustomerName],"not found")</f>
        <v>Edgar Lewis</v>
      </c>
      <c r="D521">
        <f>_xlfn.XLOOKUP(tblOrders[[#This Row],[CustomerID]],tblCustomers[CustomerID],tblCustomers[Age],"not found")</f>
        <v>48</v>
      </c>
      <c r="E521" t="str">
        <f>_xlfn.XLOOKUP(tblOrders[[#This Row],[CustomerID]],tblCustomers[CustomerID],tblCustomers[Gender],"not found")</f>
        <v>Female</v>
      </c>
      <c r="F521" t="str">
        <f>_xlfn.XLOOKUP(tblOrders[[#This Row],[CustomerID]],tblCustomers[CustomerID],tblCustomers[Region],"not found")</f>
        <v>Central</v>
      </c>
      <c r="G521">
        <v>1086</v>
      </c>
      <c r="H521" t="str">
        <f>_xlfn.XLOOKUP(tblOrders[[#This Row],[ProductID]],tblProducts[ProductID],tblProducts[ProductName],"not found")</f>
        <v>Can</v>
      </c>
      <c r="I521" t="str">
        <f>_xlfn.XLOOKUP(tblOrders[[#This Row],[ProductID]],tblProducts[ProductID],tblProducts[Category],"not found")</f>
        <v>Toys</v>
      </c>
      <c r="J521">
        <f>_xlfn.XLOOKUP(tblOrders[[#This Row],[ProductID]],tblProducts[ProductID],tblProducts[UnitPrice],"not found")</f>
        <v>185.36</v>
      </c>
      <c r="K521" t="str">
        <f>_xlfn.XLOOKUP(tblOrders[[#This Row],[ProductID]],tblProducts[ProductID],tblProducts[Supplier],"not found")</f>
        <v>Larson PLC</v>
      </c>
      <c r="L521" s="1">
        <v>45474</v>
      </c>
      <c r="M5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45474</v>
      </c>
      <c r="N521">
        <v>4</v>
      </c>
      <c r="O521">
        <v>741.44</v>
      </c>
      <c r="P521">
        <f>tblOrders[[#This Row],[Quantity]]*tblOrders[[#This Row],[Unit Price]]</f>
        <v>741.44</v>
      </c>
      <c r="Q521">
        <f>tblOrders[[#This Row],[TotalSales]]-tblOrders[[#This Row],[Calculated Sales]]</f>
        <v>0</v>
      </c>
    </row>
    <row r="522" spans="1:17" x14ac:dyDescent="0.25">
      <c r="A522">
        <v>144</v>
      </c>
      <c r="B522">
        <v>501</v>
      </c>
      <c r="C522" t="str">
        <f>_xlfn.XLOOKUP(tblOrders[[#This Row],[CustomerID]],tblCustomers[CustomerID],tblCustomers[CustomerName],"not found")</f>
        <v>Kristen Sullivan</v>
      </c>
      <c r="D522">
        <f>_xlfn.XLOOKUP(tblOrders[[#This Row],[CustomerID]],tblCustomers[CustomerID],tblCustomers[Age],"not found")</f>
        <v>49</v>
      </c>
      <c r="E522" t="str">
        <f>_xlfn.XLOOKUP(tblOrders[[#This Row],[CustomerID]],tblCustomers[CustomerID],tblCustomers[Gender],"not found")</f>
        <v>Female</v>
      </c>
      <c r="F522" t="str">
        <f>_xlfn.XLOOKUP(tblOrders[[#This Row],[CustomerID]],tblCustomers[CustomerID],tblCustomers[Region],"not found")</f>
        <v>East</v>
      </c>
      <c r="G522">
        <v>1086</v>
      </c>
      <c r="H522" t="str">
        <f>_xlfn.XLOOKUP(tblOrders[[#This Row],[ProductID]],tblProducts[ProductID],tblProducts[ProductName],"not found")</f>
        <v>Can</v>
      </c>
      <c r="I522" t="str">
        <f>_xlfn.XLOOKUP(tblOrders[[#This Row],[ProductID]],tblProducts[ProductID],tblProducts[Category],"not found")</f>
        <v>Toys</v>
      </c>
      <c r="J522">
        <f>_xlfn.XLOOKUP(tblOrders[[#This Row],[ProductID]],tblProducts[ProductID],tblProducts[UnitPrice],"not found")</f>
        <v>185.36</v>
      </c>
      <c r="K522" t="str">
        <f>_xlfn.XLOOKUP(tblOrders[[#This Row],[ProductID]],tblProducts[ProductID],tblProducts[Supplier],"not found")</f>
        <v>Larson PLC</v>
      </c>
      <c r="L522" s="1">
        <v>45631</v>
      </c>
      <c r="M5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45631</v>
      </c>
      <c r="N522">
        <v>4</v>
      </c>
      <c r="O522">
        <v>741.44</v>
      </c>
      <c r="P522">
        <f>tblOrders[[#This Row],[Quantity]]*tblOrders[[#This Row],[Unit Price]]</f>
        <v>741.44</v>
      </c>
      <c r="Q522">
        <f>tblOrders[[#This Row],[TotalSales]]-tblOrders[[#This Row],[Calculated Sales]]</f>
        <v>0</v>
      </c>
    </row>
    <row r="523" spans="1:17" x14ac:dyDescent="0.25">
      <c r="A523">
        <v>546</v>
      </c>
      <c r="B523">
        <v>533</v>
      </c>
      <c r="C523" t="str">
        <f>_xlfn.XLOOKUP(tblOrders[[#This Row],[CustomerID]],tblCustomers[CustomerID],tblCustomers[CustomerName],"not found")</f>
        <v>Daniel May</v>
      </c>
      <c r="D523">
        <f>_xlfn.XLOOKUP(tblOrders[[#This Row],[CustomerID]],tblCustomers[CustomerID],tblCustomers[Age],"not found")</f>
        <v>43</v>
      </c>
      <c r="E523" t="str">
        <f>_xlfn.XLOOKUP(tblOrders[[#This Row],[CustomerID]],tblCustomers[CustomerID],tblCustomers[Gender],"not found")</f>
        <v>Female</v>
      </c>
      <c r="F523" t="str">
        <f>_xlfn.XLOOKUP(tblOrders[[#This Row],[CustomerID]],tblCustomers[CustomerID],tblCustomers[Region],"not found")</f>
        <v>Central</v>
      </c>
      <c r="G523">
        <v>1086</v>
      </c>
      <c r="H523" t="str">
        <f>_xlfn.XLOOKUP(tblOrders[[#This Row],[ProductID]],tblProducts[ProductID],tblProducts[ProductName],"not found")</f>
        <v>Can</v>
      </c>
      <c r="I523" t="str">
        <f>_xlfn.XLOOKUP(tblOrders[[#This Row],[ProductID]],tblProducts[ProductID],tblProducts[Category],"not found")</f>
        <v>Toys</v>
      </c>
      <c r="J523">
        <f>_xlfn.XLOOKUP(tblOrders[[#This Row],[ProductID]],tblProducts[ProductID],tblProducts[UnitPrice],"not found")</f>
        <v>185.36</v>
      </c>
      <c r="K523" t="str">
        <f>_xlfn.XLOOKUP(tblOrders[[#This Row],[ProductID]],tblProducts[ProductID],tblProducts[Supplier],"not found")</f>
        <v>Larson PLC</v>
      </c>
      <c r="L523" s="1">
        <v>45083</v>
      </c>
      <c r="M5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45083</v>
      </c>
      <c r="N523">
        <v>3</v>
      </c>
      <c r="O523">
        <v>556.08000000000004</v>
      </c>
      <c r="P523">
        <f>tblOrders[[#This Row],[Quantity]]*tblOrders[[#This Row],[Unit Price]]</f>
        <v>556.08000000000004</v>
      </c>
      <c r="Q523">
        <f>tblOrders[[#This Row],[TotalSales]]-tblOrders[[#This Row],[Calculated Sales]]</f>
        <v>0</v>
      </c>
    </row>
    <row r="524" spans="1:17" x14ac:dyDescent="0.25">
      <c r="A524">
        <v>550</v>
      </c>
      <c r="B524">
        <v>658</v>
      </c>
      <c r="C524" t="str">
        <f>_xlfn.XLOOKUP(tblOrders[[#This Row],[CustomerID]],tblCustomers[CustomerID],tblCustomers[CustomerName],"not found")</f>
        <v>Anne Nolan</v>
      </c>
      <c r="D524">
        <f>_xlfn.XLOOKUP(tblOrders[[#This Row],[CustomerID]],tblCustomers[CustomerID],tblCustomers[Age],"not found")</f>
        <v>66</v>
      </c>
      <c r="E524" t="str">
        <f>_xlfn.XLOOKUP(tblOrders[[#This Row],[CustomerID]],tblCustomers[CustomerID],tblCustomers[Gender],"not found")</f>
        <v>Female</v>
      </c>
      <c r="F524" t="str">
        <f>_xlfn.XLOOKUP(tblOrders[[#This Row],[CustomerID]],tblCustomers[CustomerID],tblCustomers[Region],"not found")</f>
        <v>Central</v>
      </c>
      <c r="G524">
        <v>1086</v>
      </c>
      <c r="H524" t="str">
        <f>_xlfn.XLOOKUP(tblOrders[[#This Row],[ProductID]],tblProducts[ProductID],tblProducts[ProductName],"not found")</f>
        <v>Can</v>
      </c>
      <c r="I524" t="str">
        <f>_xlfn.XLOOKUP(tblOrders[[#This Row],[ProductID]],tblProducts[ProductID],tblProducts[Category],"not found")</f>
        <v>Toys</v>
      </c>
      <c r="J524">
        <f>_xlfn.XLOOKUP(tblOrders[[#This Row],[ProductID]],tblProducts[ProductID],tblProducts[UnitPrice],"not found")</f>
        <v>185.36</v>
      </c>
      <c r="K524" t="str">
        <f>_xlfn.XLOOKUP(tblOrders[[#This Row],[ProductID]],tblProducts[ProductID],tblProducts[Supplier],"not found")</f>
        <v>Larson PLC</v>
      </c>
      <c r="L524" s="1" t="s">
        <v>2211</v>
      </c>
      <c r="M5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45557</v>
      </c>
      <c r="N524">
        <v>9</v>
      </c>
      <c r="O524">
        <v>1668.24</v>
      </c>
      <c r="P524">
        <f>tblOrders[[#This Row],[Quantity]]*tblOrders[[#This Row],[Unit Price]]</f>
        <v>1668.2400000000002</v>
      </c>
      <c r="Q524">
        <f>tblOrders[[#This Row],[TotalSales]]-tblOrders[[#This Row],[Calculated Sales]]</f>
        <v>0</v>
      </c>
    </row>
    <row r="525" spans="1:17" x14ac:dyDescent="0.25">
      <c r="A525">
        <v>962</v>
      </c>
      <c r="B525">
        <v>862</v>
      </c>
      <c r="C525" t="str">
        <f>_xlfn.XLOOKUP(tblOrders[[#This Row],[CustomerID]],tblCustomers[CustomerID],tblCustomers[CustomerName],"not found")</f>
        <v>Elizabeth Oconnor</v>
      </c>
      <c r="D525">
        <f>_xlfn.XLOOKUP(tblOrders[[#This Row],[CustomerID]],tblCustomers[CustomerID],tblCustomers[Age],"not found")</f>
        <v>36</v>
      </c>
      <c r="E525" t="str">
        <f>_xlfn.XLOOKUP(tblOrders[[#This Row],[CustomerID]],tblCustomers[CustomerID],tblCustomers[Gender],"not found")</f>
        <v>Female</v>
      </c>
      <c r="F525" t="str">
        <f>_xlfn.XLOOKUP(tblOrders[[#This Row],[CustomerID]],tblCustomers[CustomerID],tblCustomers[Region],"not found")</f>
        <v>East</v>
      </c>
      <c r="G525">
        <v>1086</v>
      </c>
      <c r="H525" t="str">
        <f>_xlfn.XLOOKUP(tblOrders[[#This Row],[ProductID]],tblProducts[ProductID],tblProducts[ProductName],"not found")</f>
        <v>Can</v>
      </c>
      <c r="I525" t="str">
        <f>_xlfn.XLOOKUP(tblOrders[[#This Row],[ProductID]],tblProducts[ProductID],tblProducts[Category],"not found")</f>
        <v>Toys</v>
      </c>
      <c r="J525">
        <f>_xlfn.XLOOKUP(tblOrders[[#This Row],[ProductID]],tblProducts[ProductID],tblProducts[UnitPrice],"not found")</f>
        <v>185.36</v>
      </c>
      <c r="K525" t="str">
        <f>_xlfn.XLOOKUP(tblOrders[[#This Row],[ProductID]],tblProducts[ProductID],tblProducts[Supplier],"not found")</f>
        <v>Larson PLC</v>
      </c>
      <c r="L525" s="1">
        <v>45451</v>
      </c>
      <c r="M5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525">
        <v>1</v>
      </c>
      <c r="O525">
        <v>185.36</v>
      </c>
      <c r="P525">
        <f>tblOrders[[#This Row],[Quantity]]*tblOrders[[#This Row],[Unit Price]]</f>
        <v>185.36</v>
      </c>
      <c r="Q525">
        <f>tblOrders[[#This Row],[TotalSales]]-tblOrders[[#This Row],[Calculated Sales]]</f>
        <v>0</v>
      </c>
    </row>
    <row r="526" spans="1:17" x14ac:dyDescent="0.25">
      <c r="A526">
        <v>1005</v>
      </c>
      <c r="B526">
        <v>614</v>
      </c>
      <c r="C526" t="str">
        <f>_xlfn.XLOOKUP(tblOrders[[#This Row],[CustomerID]],tblCustomers[CustomerID],tblCustomers[CustomerName],"not found")</f>
        <v>Kenneth Mays</v>
      </c>
      <c r="D526">
        <f>_xlfn.XLOOKUP(tblOrders[[#This Row],[CustomerID]],tblCustomers[CustomerID],tblCustomers[Age],"not found")</f>
        <v>37</v>
      </c>
      <c r="E526" t="str">
        <f>_xlfn.XLOOKUP(tblOrders[[#This Row],[CustomerID]],tblCustomers[CustomerID],tblCustomers[Gender],"not found")</f>
        <v>Male</v>
      </c>
      <c r="F526" t="str">
        <f>_xlfn.XLOOKUP(tblOrders[[#This Row],[CustomerID]],tblCustomers[CustomerID],tblCustomers[Region],"not found")</f>
        <v>South</v>
      </c>
      <c r="G526">
        <v>1086</v>
      </c>
      <c r="H526" t="str">
        <f>_xlfn.XLOOKUP(tblOrders[[#This Row],[ProductID]],tblProducts[ProductID],tblProducts[ProductName],"not found")</f>
        <v>Can</v>
      </c>
      <c r="I526" t="str">
        <f>_xlfn.XLOOKUP(tblOrders[[#This Row],[ProductID]],tblProducts[ProductID],tblProducts[Category],"not found")</f>
        <v>Toys</v>
      </c>
      <c r="J526">
        <f>_xlfn.XLOOKUP(tblOrders[[#This Row],[ProductID]],tblProducts[ProductID],tblProducts[UnitPrice],"not found")</f>
        <v>185.36</v>
      </c>
      <c r="K526" t="str">
        <f>_xlfn.XLOOKUP(tblOrders[[#This Row],[ProductID]],tblProducts[ProductID],tblProducts[Supplier],"not found")</f>
        <v>Larson PLC</v>
      </c>
      <c r="L526" s="1">
        <v>45569</v>
      </c>
      <c r="M5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45569</v>
      </c>
      <c r="N526">
        <v>3</v>
      </c>
      <c r="O526">
        <v>556.08000000000004</v>
      </c>
      <c r="P526">
        <f>tblOrders[[#This Row],[Quantity]]*tblOrders[[#This Row],[Unit Price]]</f>
        <v>556.08000000000004</v>
      </c>
      <c r="Q526">
        <f>tblOrders[[#This Row],[TotalSales]]-tblOrders[[#This Row],[Calculated Sales]]</f>
        <v>0</v>
      </c>
    </row>
    <row r="527" spans="1:17" x14ac:dyDescent="0.25">
      <c r="A527">
        <v>1016</v>
      </c>
      <c r="B527">
        <v>155</v>
      </c>
      <c r="C527" t="str">
        <f>_xlfn.XLOOKUP(tblOrders[[#This Row],[CustomerID]],tblCustomers[CustomerID],tblCustomers[CustomerName],"not found")</f>
        <v>Theresa Johnson</v>
      </c>
      <c r="D527">
        <f>_xlfn.XLOOKUP(tblOrders[[#This Row],[CustomerID]],tblCustomers[CustomerID],tblCustomers[Age],"not found")</f>
        <v>50</v>
      </c>
      <c r="E527" t="str">
        <f>_xlfn.XLOOKUP(tblOrders[[#This Row],[CustomerID]],tblCustomers[CustomerID],tblCustomers[Gender],"not found")</f>
        <v>Female</v>
      </c>
      <c r="F527" t="str">
        <f>_xlfn.XLOOKUP(tblOrders[[#This Row],[CustomerID]],tblCustomers[CustomerID],tblCustomers[Region],"not found")</f>
        <v>East</v>
      </c>
      <c r="G527">
        <v>1086</v>
      </c>
      <c r="H527" t="str">
        <f>_xlfn.XLOOKUP(tblOrders[[#This Row],[ProductID]],tblProducts[ProductID],tblProducts[ProductName],"not found")</f>
        <v>Can</v>
      </c>
      <c r="I527" t="str">
        <f>_xlfn.XLOOKUP(tblOrders[[#This Row],[ProductID]],tblProducts[ProductID],tblProducts[Category],"not found")</f>
        <v>Toys</v>
      </c>
      <c r="J527">
        <f>_xlfn.XLOOKUP(tblOrders[[#This Row],[ProductID]],tblProducts[ProductID],tblProducts[UnitPrice],"not found")</f>
        <v>185.36</v>
      </c>
      <c r="K527" t="str">
        <f>_xlfn.XLOOKUP(tblOrders[[#This Row],[ProductID]],tblProducts[ProductID],tblProducts[Supplier],"not found")</f>
        <v>Larson PLC</v>
      </c>
      <c r="L527" s="1" t="s">
        <v>2240</v>
      </c>
      <c r="M5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45037</v>
      </c>
      <c r="N527">
        <v>9</v>
      </c>
      <c r="O527">
        <v>1668.24</v>
      </c>
      <c r="P527">
        <f>tblOrders[[#This Row],[Quantity]]*tblOrders[[#This Row],[Unit Price]]</f>
        <v>1668.2400000000002</v>
      </c>
      <c r="Q527">
        <f>tblOrders[[#This Row],[TotalSales]]-tblOrders[[#This Row],[Calculated Sales]]</f>
        <v>0</v>
      </c>
    </row>
    <row r="528" spans="1:17" x14ac:dyDescent="0.25">
      <c r="A528">
        <v>1182</v>
      </c>
      <c r="B528">
        <v>56</v>
      </c>
      <c r="C528" t="str">
        <f>_xlfn.XLOOKUP(tblOrders[[#This Row],[CustomerID]],tblCustomers[CustomerID],tblCustomers[CustomerName],"not found")</f>
        <v>Susan Sanders</v>
      </c>
      <c r="D528">
        <f>_xlfn.XLOOKUP(tblOrders[[#This Row],[CustomerID]],tblCustomers[CustomerID],tblCustomers[Age],"not found")</f>
        <v>63</v>
      </c>
      <c r="E528" t="str">
        <f>_xlfn.XLOOKUP(tblOrders[[#This Row],[CustomerID]],tblCustomers[CustomerID],tblCustomers[Gender],"not found")</f>
        <v>Male</v>
      </c>
      <c r="F528" t="str">
        <f>_xlfn.XLOOKUP(tblOrders[[#This Row],[CustomerID]],tblCustomers[CustomerID],tblCustomers[Region],"not found")</f>
        <v>South</v>
      </c>
      <c r="G528">
        <v>1086</v>
      </c>
      <c r="H528" t="str">
        <f>_xlfn.XLOOKUP(tblOrders[[#This Row],[ProductID]],tblProducts[ProductID],tblProducts[ProductName],"not found")</f>
        <v>Can</v>
      </c>
      <c r="I528" t="str">
        <f>_xlfn.XLOOKUP(tblOrders[[#This Row],[ProductID]],tblProducts[ProductID],tblProducts[Category],"not found")</f>
        <v>Toys</v>
      </c>
      <c r="J528">
        <f>_xlfn.XLOOKUP(tblOrders[[#This Row],[ProductID]],tblProducts[ProductID],tblProducts[UnitPrice],"not found")</f>
        <v>185.36</v>
      </c>
      <c r="K528" t="str">
        <f>_xlfn.XLOOKUP(tblOrders[[#This Row],[ProductID]],tblProducts[ProductID],tblProducts[Supplier],"not found")</f>
        <v>Larson PLC</v>
      </c>
      <c r="L528" s="1" t="s">
        <v>2169</v>
      </c>
      <c r="M5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45167</v>
      </c>
      <c r="N528">
        <v>7</v>
      </c>
      <c r="O528">
        <v>1297.52</v>
      </c>
      <c r="P528">
        <f>tblOrders[[#This Row],[Quantity]]*tblOrders[[#This Row],[Unit Price]]</f>
        <v>1297.52</v>
      </c>
      <c r="Q528">
        <f>tblOrders[[#This Row],[TotalSales]]-tblOrders[[#This Row],[Calculated Sales]]</f>
        <v>0</v>
      </c>
    </row>
    <row r="529" spans="1:17" x14ac:dyDescent="0.25">
      <c r="A529">
        <v>1286</v>
      </c>
      <c r="B529">
        <v>316</v>
      </c>
      <c r="C529" t="str">
        <f>_xlfn.XLOOKUP(tblOrders[[#This Row],[CustomerID]],tblCustomers[CustomerID],tblCustomers[CustomerName],"not found")</f>
        <v>Joseph Lawrence</v>
      </c>
      <c r="D529">
        <f>_xlfn.XLOOKUP(tblOrders[[#This Row],[CustomerID]],tblCustomers[CustomerID],tblCustomers[Age],"not found")</f>
        <v>62</v>
      </c>
      <c r="E529" t="str">
        <f>_xlfn.XLOOKUP(tblOrders[[#This Row],[CustomerID]],tblCustomers[CustomerID],tblCustomers[Gender],"not found")</f>
        <v>Female</v>
      </c>
      <c r="F529" t="str">
        <f>_xlfn.XLOOKUP(tblOrders[[#This Row],[CustomerID]],tblCustomers[CustomerID],tblCustomers[Region],"not found")</f>
        <v>South</v>
      </c>
      <c r="G529">
        <v>1086</v>
      </c>
      <c r="H529" t="str">
        <f>_xlfn.XLOOKUP(tblOrders[[#This Row],[ProductID]],tblProducts[ProductID],tblProducts[ProductName],"not found")</f>
        <v>Can</v>
      </c>
      <c r="I529" t="str">
        <f>_xlfn.XLOOKUP(tblOrders[[#This Row],[ProductID]],tblProducts[ProductID],tblProducts[Category],"not found")</f>
        <v>Toys</v>
      </c>
      <c r="J529">
        <f>_xlfn.XLOOKUP(tblOrders[[#This Row],[ProductID]],tblProducts[ProductID],tblProducts[UnitPrice],"not found")</f>
        <v>185.36</v>
      </c>
      <c r="K529" t="str">
        <f>_xlfn.XLOOKUP(tblOrders[[#This Row],[ProductID]],tblProducts[ProductID],tblProducts[Supplier],"not found")</f>
        <v>Larson PLC</v>
      </c>
      <c r="L529" s="1" t="s">
        <v>2241</v>
      </c>
      <c r="M5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45183</v>
      </c>
      <c r="N529">
        <v>8</v>
      </c>
      <c r="O529">
        <v>1482.88</v>
      </c>
      <c r="P529">
        <f>tblOrders[[#This Row],[Quantity]]*tblOrders[[#This Row],[Unit Price]]</f>
        <v>1482.88</v>
      </c>
      <c r="Q529">
        <f>tblOrders[[#This Row],[TotalSales]]-tblOrders[[#This Row],[Calculated Sales]]</f>
        <v>0</v>
      </c>
    </row>
    <row r="530" spans="1:17" x14ac:dyDescent="0.25">
      <c r="A530">
        <v>1332</v>
      </c>
      <c r="B530">
        <v>839</v>
      </c>
      <c r="C530" t="str">
        <f>_xlfn.XLOOKUP(tblOrders[[#This Row],[CustomerID]],tblCustomers[CustomerID],tblCustomers[CustomerName],"not found")</f>
        <v>Jeffery Simmons</v>
      </c>
      <c r="D530">
        <f>_xlfn.XLOOKUP(tblOrders[[#This Row],[CustomerID]],tblCustomers[CustomerID],tblCustomers[Age],"not found")</f>
        <v>53</v>
      </c>
      <c r="E530" t="str">
        <f>_xlfn.XLOOKUP(tblOrders[[#This Row],[CustomerID]],tblCustomers[CustomerID],tblCustomers[Gender],"not found")</f>
        <v>Female</v>
      </c>
      <c r="F530" t="str">
        <f>_xlfn.XLOOKUP(tblOrders[[#This Row],[CustomerID]],tblCustomers[CustomerID],tblCustomers[Region],"not found")</f>
        <v>West</v>
      </c>
      <c r="G530">
        <v>1086</v>
      </c>
      <c r="H530" t="str">
        <f>_xlfn.XLOOKUP(tblOrders[[#This Row],[ProductID]],tblProducts[ProductID],tblProducts[ProductName],"not found")</f>
        <v>Can</v>
      </c>
      <c r="I530" t="str">
        <f>_xlfn.XLOOKUP(tblOrders[[#This Row],[ProductID]],tblProducts[ProductID],tblProducts[Category],"not found")</f>
        <v>Toys</v>
      </c>
      <c r="J530">
        <f>_xlfn.XLOOKUP(tblOrders[[#This Row],[ProductID]],tblProducts[ProductID],tblProducts[UnitPrice],"not found")</f>
        <v>185.36</v>
      </c>
      <c r="K530" t="str">
        <f>_xlfn.XLOOKUP(tblOrders[[#This Row],[ProductID]],tblProducts[ProductID],tblProducts[Supplier],"not found")</f>
        <v>Larson PLC</v>
      </c>
      <c r="L530" s="1" t="s">
        <v>2242</v>
      </c>
      <c r="M5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45438</v>
      </c>
      <c r="N530">
        <v>4</v>
      </c>
      <c r="O530">
        <v>741.44</v>
      </c>
      <c r="P530">
        <f>tblOrders[[#This Row],[Quantity]]*tblOrders[[#This Row],[Unit Price]]</f>
        <v>741.44</v>
      </c>
      <c r="Q530">
        <f>tblOrders[[#This Row],[TotalSales]]-tblOrders[[#This Row],[Calculated Sales]]</f>
        <v>0</v>
      </c>
    </row>
    <row r="531" spans="1:17" x14ac:dyDescent="0.25">
      <c r="A531">
        <v>1582</v>
      </c>
      <c r="B531">
        <v>170</v>
      </c>
      <c r="C531" t="str">
        <f>_xlfn.XLOOKUP(tblOrders[[#This Row],[CustomerID]],tblCustomers[CustomerID],tblCustomers[CustomerName],"not found")</f>
        <v>Sheryl Rose</v>
      </c>
      <c r="D531">
        <f>_xlfn.XLOOKUP(tblOrders[[#This Row],[CustomerID]],tblCustomers[CustomerID],tblCustomers[Age],"not found")</f>
        <v>33</v>
      </c>
      <c r="E531" t="str">
        <f>_xlfn.XLOOKUP(tblOrders[[#This Row],[CustomerID]],tblCustomers[CustomerID],tblCustomers[Gender],"not found")</f>
        <v>Female</v>
      </c>
      <c r="F531" t="str">
        <f>_xlfn.XLOOKUP(tblOrders[[#This Row],[CustomerID]],tblCustomers[CustomerID],tblCustomers[Region],"not found")</f>
        <v>North</v>
      </c>
      <c r="G531">
        <v>1086</v>
      </c>
      <c r="H531" t="str">
        <f>_xlfn.XLOOKUP(tblOrders[[#This Row],[ProductID]],tblProducts[ProductID],tblProducts[ProductName],"not found")</f>
        <v>Can</v>
      </c>
      <c r="I531" t="str">
        <f>_xlfn.XLOOKUP(tblOrders[[#This Row],[ProductID]],tblProducts[ProductID],tblProducts[Category],"not found")</f>
        <v>Toys</v>
      </c>
      <c r="J531">
        <f>_xlfn.XLOOKUP(tblOrders[[#This Row],[ProductID]],tblProducts[ProductID],tblProducts[UnitPrice],"not found")</f>
        <v>185.36</v>
      </c>
      <c r="K531" t="str">
        <f>_xlfn.XLOOKUP(tblOrders[[#This Row],[ProductID]],tblProducts[ProductID],tblProducts[Supplier],"not found")</f>
        <v>Larson PLC</v>
      </c>
      <c r="L531" s="1" t="s">
        <v>2205</v>
      </c>
      <c r="M5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44894</v>
      </c>
      <c r="N531">
        <v>6</v>
      </c>
      <c r="O531">
        <v>1112.1600000000001</v>
      </c>
      <c r="P531">
        <f>tblOrders[[#This Row],[Quantity]]*tblOrders[[#This Row],[Unit Price]]</f>
        <v>1112.1600000000001</v>
      </c>
      <c r="Q531">
        <f>tblOrders[[#This Row],[TotalSales]]-tblOrders[[#This Row],[Calculated Sales]]</f>
        <v>0</v>
      </c>
    </row>
    <row r="532" spans="1:17" x14ac:dyDescent="0.25">
      <c r="A532">
        <v>1621</v>
      </c>
      <c r="B532">
        <v>748</v>
      </c>
      <c r="C532" t="str">
        <f>_xlfn.XLOOKUP(tblOrders[[#This Row],[CustomerID]],tblCustomers[CustomerID],tblCustomers[CustomerName],"not found")</f>
        <v>Heather Carter</v>
      </c>
      <c r="D532">
        <f>_xlfn.XLOOKUP(tblOrders[[#This Row],[CustomerID]],tblCustomers[CustomerID],tblCustomers[Age],"not found")</f>
        <v>37</v>
      </c>
      <c r="E532" t="str">
        <f>_xlfn.XLOOKUP(tblOrders[[#This Row],[CustomerID]],tblCustomers[CustomerID],tblCustomers[Gender],"not found")</f>
        <v>Male</v>
      </c>
      <c r="F532" t="str">
        <f>_xlfn.XLOOKUP(tblOrders[[#This Row],[CustomerID]],tblCustomers[CustomerID],tblCustomers[Region],"not found")</f>
        <v>Central</v>
      </c>
      <c r="G532">
        <v>1086</v>
      </c>
      <c r="H532" t="str">
        <f>_xlfn.XLOOKUP(tblOrders[[#This Row],[ProductID]],tblProducts[ProductID],tblProducts[ProductName],"not found")</f>
        <v>Can</v>
      </c>
      <c r="I532" t="str">
        <f>_xlfn.XLOOKUP(tblOrders[[#This Row],[ProductID]],tblProducts[ProductID],tblProducts[Category],"not found")</f>
        <v>Toys</v>
      </c>
      <c r="J532">
        <f>_xlfn.XLOOKUP(tblOrders[[#This Row],[ProductID]],tblProducts[ProductID],tblProducts[UnitPrice],"not found")</f>
        <v>185.36</v>
      </c>
      <c r="K532" t="str">
        <f>_xlfn.XLOOKUP(tblOrders[[#This Row],[ProductID]],tblProducts[ProductID],tblProducts[Supplier],"not found")</f>
        <v>Larson PLC</v>
      </c>
      <c r="L532" s="1">
        <v>45021</v>
      </c>
      <c r="M5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45021</v>
      </c>
      <c r="N532">
        <v>2</v>
      </c>
      <c r="O532">
        <v>370.72</v>
      </c>
      <c r="P532">
        <f>tblOrders[[#This Row],[Quantity]]*tblOrders[[#This Row],[Unit Price]]</f>
        <v>370.72</v>
      </c>
      <c r="Q532">
        <f>tblOrders[[#This Row],[TotalSales]]-tblOrders[[#This Row],[Calculated Sales]]</f>
        <v>0</v>
      </c>
    </row>
    <row r="533" spans="1:17" x14ac:dyDescent="0.25">
      <c r="A533">
        <v>1783</v>
      </c>
      <c r="B533">
        <v>581</v>
      </c>
      <c r="C533" t="str">
        <f>_xlfn.XLOOKUP(tblOrders[[#This Row],[CustomerID]],tblCustomers[CustomerID],tblCustomers[CustomerName],"not found")</f>
        <v>Preston Hall</v>
      </c>
      <c r="D533">
        <f>_xlfn.XLOOKUP(tblOrders[[#This Row],[CustomerID]],tblCustomers[CustomerID],tblCustomers[Age],"not found")</f>
        <v>52</v>
      </c>
      <c r="E533" t="str">
        <f>_xlfn.XLOOKUP(tblOrders[[#This Row],[CustomerID]],tblCustomers[CustomerID],tblCustomers[Gender],"not found")</f>
        <v>Female</v>
      </c>
      <c r="F533" t="str">
        <f>_xlfn.XLOOKUP(tblOrders[[#This Row],[CustomerID]],tblCustomers[CustomerID],tblCustomers[Region],"not found")</f>
        <v>Central</v>
      </c>
      <c r="G533">
        <v>1086</v>
      </c>
      <c r="H533" t="str">
        <f>_xlfn.XLOOKUP(tblOrders[[#This Row],[ProductID]],tblProducts[ProductID],tblProducts[ProductName],"not found")</f>
        <v>Can</v>
      </c>
      <c r="I533" t="str">
        <f>_xlfn.XLOOKUP(tblOrders[[#This Row],[ProductID]],tblProducts[ProductID],tblProducts[Category],"not found")</f>
        <v>Toys</v>
      </c>
      <c r="J533">
        <f>_xlfn.XLOOKUP(tblOrders[[#This Row],[ProductID]],tblProducts[ProductID],tblProducts[UnitPrice],"not found")</f>
        <v>185.36</v>
      </c>
      <c r="K533" t="str">
        <f>_xlfn.XLOOKUP(tblOrders[[#This Row],[ProductID]],tblProducts[ProductID],tblProducts[Supplier],"not found")</f>
        <v>Larson PLC</v>
      </c>
      <c r="L533" s="1">
        <v>45597</v>
      </c>
      <c r="M5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533">
        <v>1</v>
      </c>
      <c r="O533">
        <v>185.36</v>
      </c>
      <c r="P533">
        <f>tblOrders[[#This Row],[Quantity]]*tblOrders[[#This Row],[Unit Price]]</f>
        <v>185.36</v>
      </c>
      <c r="Q533">
        <f>tblOrders[[#This Row],[TotalSales]]-tblOrders[[#This Row],[Calculated Sales]]</f>
        <v>0</v>
      </c>
    </row>
    <row r="534" spans="1:17" x14ac:dyDescent="0.25">
      <c r="A534">
        <v>1850</v>
      </c>
      <c r="B534">
        <v>592</v>
      </c>
      <c r="C534" t="str">
        <f>_xlfn.XLOOKUP(tblOrders[[#This Row],[CustomerID]],tblCustomers[CustomerID],tblCustomers[CustomerName],"not found")</f>
        <v>Christopher Banks</v>
      </c>
      <c r="D534">
        <f>_xlfn.XLOOKUP(tblOrders[[#This Row],[CustomerID]],tblCustomers[CustomerID],tblCustomers[Age],"not found")</f>
        <v>57</v>
      </c>
      <c r="E534" t="str">
        <f>_xlfn.XLOOKUP(tblOrders[[#This Row],[CustomerID]],tblCustomers[CustomerID],tblCustomers[Gender],"not found")</f>
        <v>Male</v>
      </c>
      <c r="F534" t="str">
        <f>_xlfn.XLOOKUP(tblOrders[[#This Row],[CustomerID]],tblCustomers[CustomerID],tblCustomers[Region],"not found")</f>
        <v>North</v>
      </c>
      <c r="G534">
        <v>1086</v>
      </c>
      <c r="H534" t="str">
        <f>_xlfn.XLOOKUP(tblOrders[[#This Row],[ProductID]],tblProducts[ProductID],tblProducts[ProductName],"not found")</f>
        <v>Can</v>
      </c>
      <c r="I534" t="str">
        <f>_xlfn.XLOOKUP(tblOrders[[#This Row],[ProductID]],tblProducts[ProductID],tblProducts[Category],"not found")</f>
        <v>Toys</v>
      </c>
      <c r="J534">
        <f>_xlfn.XLOOKUP(tblOrders[[#This Row],[ProductID]],tblProducts[ProductID],tblProducts[UnitPrice],"not found")</f>
        <v>185.36</v>
      </c>
      <c r="K534" t="str">
        <f>_xlfn.XLOOKUP(tblOrders[[#This Row],[ProductID]],tblProducts[ProductID],tblProducts[Supplier],"not found")</f>
        <v>Larson PLC</v>
      </c>
      <c r="L534" s="1">
        <v>45569</v>
      </c>
      <c r="M5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45569</v>
      </c>
      <c r="N534">
        <v>3</v>
      </c>
      <c r="O534">
        <v>556.08000000000004</v>
      </c>
      <c r="P534">
        <f>tblOrders[[#This Row],[Quantity]]*tblOrders[[#This Row],[Unit Price]]</f>
        <v>556.08000000000004</v>
      </c>
      <c r="Q534">
        <f>tblOrders[[#This Row],[TotalSales]]-tblOrders[[#This Row],[Calculated Sales]]</f>
        <v>0</v>
      </c>
    </row>
    <row r="535" spans="1:17" x14ac:dyDescent="0.25">
      <c r="A535">
        <v>1874</v>
      </c>
      <c r="B535">
        <v>201</v>
      </c>
      <c r="C535" t="str">
        <f>_xlfn.XLOOKUP(tblOrders[[#This Row],[CustomerID]],tblCustomers[CustomerID],tblCustomers[CustomerName],"not found")</f>
        <v>Caroline Miller</v>
      </c>
      <c r="D535">
        <f>_xlfn.XLOOKUP(tblOrders[[#This Row],[CustomerID]],tblCustomers[CustomerID],tblCustomers[Age],"not found")</f>
        <v>23</v>
      </c>
      <c r="E535" t="str">
        <f>_xlfn.XLOOKUP(tblOrders[[#This Row],[CustomerID]],tblCustomers[CustomerID],tblCustomers[Gender],"not found")</f>
        <v>Male</v>
      </c>
      <c r="F535" t="str">
        <f>_xlfn.XLOOKUP(tblOrders[[#This Row],[CustomerID]],tblCustomers[CustomerID],tblCustomers[Region],"not found")</f>
        <v>South</v>
      </c>
      <c r="G535">
        <v>1086</v>
      </c>
      <c r="H535" t="str">
        <f>_xlfn.XLOOKUP(tblOrders[[#This Row],[ProductID]],tblProducts[ProductID],tblProducts[ProductName],"not found")</f>
        <v>Can</v>
      </c>
      <c r="I535" t="str">
        <f>_xlfn.XLOOKUP(tblOrders[[#This Row],[ProductID]],tblProducts[ProductID],tblProducts[Category],"not found")</f>
        <v>Toys</v>
      </c>
      <c r="J535">
        <f>_xlfn.XLOOKUP(tblOrders[[#This Row],[ProductID]],tblProducts[ProductID],tblProducts[UnitPrice],"not found")</f>
        <v>185.36</v>
      </c>
      <c r="K535" t="str">
        <f>_xlfn.XLOOKUP(tblOrders[[#This Row],[ProductID]],tblProducts[ProductID],tblProducts[Supplier],"not found")</f>
        <v>Larson PLC</v>
      </c>
      <c r="L535" s="1">
        <v>45542</v>
      </c>
      <c r="M5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45542</v>
      </c>
      <c r="N535">
        <v>7</v>
      </c>
      <c r="O535">
        <v>1297.52</v>
      </c>
      <c r="P535">
        <f>tblOrders[[#This Row],[Quantity]]*tblOrders[[#This Row],[Unit Price]]</f>
        <v>1297.52</v>
      </c>
      <c r="Q535">
        <f>tblOrders[[#This Row],[TotalSales]]-tblOrders[[#This Row],[Calculated Sales]]</f>
        <v>0</v>
      </c>
    </row>
    <row r="536" spans="1:17" x14ac:dyDescent="0.25">
      <c r="A536">
        <v>1889</v>
      </c>
      <c r="B536">
        <v>944</v>
      </c>
      <c r="C536" t="str">
        <f>_xlfn.XLOOKUP(tblOrders[[#This Row],[CustomerID]],tblCustomers[CustomerID],tblCustomers[CustomerName],"not found")</f>
        <v>Sarah Jones</v>
      </c>
      <c r="D536">
        <f>_xlfn.XLOOKUP(tblOrders[[#This Row],[CustomerID]],tblCustomers[CustomerID],tblCustomers[Age],"not found")</f>
        <v>24</v>
      </c>
      <c r="E536" t="str">
        <f>_xlfn.XLOOKUP(tblOrders[[#This Row],[CustomerID]],tblCustomers[CustomerID],tblCustomers[Gender],"not found")</f>
        <v>Female</v>
      </c>
      <c r="F536" t="str">
        <f>_xlfn.XLOOKUP(tblOrders[[#This Row],[CustomerID]],tblCustomers[CustomerID],tblCustomers[Region],"not found")</f>
        <v>West</v>
      </c>
      <c r="G536">
        <v>1086</v>
      </c>
      <c r="H536" t="str">
        <f>_xlfn.XLOOKUP(tblOrders[[#This Row],[ProductID]],tblProducts[ProductID],tblProducts[ProductName],"not found")</f>
        <v>Can</v>
      </c>
      <c r="I536" t="str">
        <f>_xlfn.XLOOKUP(tblOrders[[#This Row],[ProductID]],tblProducts[ProductID],tblProducts[Category],"not found")</f>
        <v>Toys</v>
      </c>
      <c r="J536">
        <f>_xlfn.XLOOKUP(tblOrders[[#This Row],[ProductID]],tblProducts[ProductID],tblProducts[UnitPrice],"not found")</f>
        <v>185.36</v>
      </c>
      <c r="K536" t="str">
        <f>_xlfn.XLOOKUP(tblOrders[[#This Row],[ProductID]],tblProducts[ProductID],tblProducts[Supplier],"not found")</f>
        <v>Larson PLC</v>
      </c>
      <c r="L536" s="1" t="s">
        <v>2243</v>
      </c>
      <c r="M5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536">
        <v>3</v>
      </c>
      <c r="O536">
        <v>556.08000000000004</v>
      </c>
      <c r="P536">
        <f>tblOrders[[#This Row],[Quantity]]*tblOrders[[#This Row],[Unit Price]]</f>
        <v>556.08000000000004</v>
      </c>
      <c r="Q536">
        <f>tblOrders[[#This Row],[TotalSales]]-tblOrders[[#This Row],[Calculated Sales]]</f>
        <v>0</v>
      </c>
    </row>
    <row r="537" spans="1:17" x14ac:dyDescent="0.25">
      <c r="A537">
        <v>27</v>
      </c>
      <c r="B537">
        <v>751</v>
      </c>
      <c r="C537" t="str">
        <f>_xlfn.XLOOKUP(tblOrders[[#This Row],[CustomerID]],tblCustomers[CustomerID],tblCustomers[CustomerName],"not found")</f>
        <v>Christina Morris</v>
      </c>
      <c r="D537">
        <f>_xlfn.XLOOKUP(tblOrders[[#This Row],[CustomerID]],tblCustomers[CustomerID],tblCustomers[Age],"not found")</f>
        <v>49</v>
      </c>
      <c r="E537" t="str">
        <f>_xlfn.XLOOKUP(tblOrders[[#This Row],[CustomerID]],tblCustomers[CustomerID],tblCustomers[Gender],"not found")</f>
        <v>Male</v>
      </c>
      <c r="F537" t="str">
        <f>_xlfn.XLOOKUP(tblOrders[[#This Row],[CustomerID]],tblCustomers[CustomerID],tblCustomers[Region],"not found")</f>
        <v>West</v>
      </c>
      <c r="G537">
        <v>1070</v>
      </c>
      <c r="H537" t="str">
        <f>_xlfn.XLOOKUP(tblOrders[[#This Row],[ProductID]],tblProducts[ProductID],tblProducts[ProductName],"not found")</f>
        <v>Indeed</v>
      </c>
      <c r="I537" t="str">
        <f>_xlfn.XLOOKUP(tblOrders[[#This Row],[ProductID]],tblProducts[ProductID],tblProducts[Category],"not found")</f>
        <v>Beauty</v>
      </c>
      <c r="J537">
        <f>_xlfn.XLOOKUP(tblOrders[[#This Row],[ProductID]],tblProducts[ProductID],tblProducts[UnitPrice],"not found")</f>
        <v>149.4</v>
      </c>
      <c r="K537" t="str">
        <f>_xlfn.XLOOKUP(tblOrders[[#This Row],[ProductID]],tblProducts[ProductID],tblProducts[Supplier],"not found")</f>
        <v>Bradshaw-Stafford</v>
      </c>
      <c r="L537" s="1" t="s">
        <v>2082</v>
      </c>
      <c r="M5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45377</v>
      </c>
      <c r="N537">
        <v>8</v>
      </c>
      <c r="O537">
        <v>1195.2</v>
      </c>
      <c r="P537">
        <f>tblOrders[[#This Row],[Quantity]]*tblOrders[[#This Row],[Unit Price]]</f>
        <v>1195.2</v>
      </c>
      <c r="Q537">
        <f>tblOrders[[#This Row],[TotalSales]]-tblOrders[[#This Row],[Calculated Sales]]</f>
        <v>0</v>
      </c>
    </row>
    <row r="538" spans="1:17" x14ac:dyDescent="0.25">
      <c r="A538">
        <v>137</v>
      </c>
      <c r="B538">
        <v>516</v>
      </c>
      <c r="C538" t="str">
        <f>_xlfn.XLOOKUP(tblOrders[[#This Row],[CustomerID]],tblCustomers[CustomerID],tblCustomers[CustomerName],"not found")</f>
        <v>Mr. Carlos Harrell</v>
      </c>
      <c r="D538">
        <f>_xlfn.XLOOKUP(tblOrders[[#This Row],[CustomerID]],tblCustomers[CustomerID],tblCustomers[Age],"not found")</f>
        <v>36</v>
      </c>
      <c r="E538" t="str">
        <f>_xlfn.XLOOKUP(tblOrders[[#This Row],[CustomerID]],tblCustomers[CustomerID],tblCustomers[Gender],"not found")</f>
        <v>Female</v>
      </c>
      <c r="F538" t="str">
        <f>_xlfn.XLOOKUP(tblOrders[[#This Row],[CustomerID]],tblCustomers[CustomerID],tblCustomers[Region],"not found")</f>
        <v>East</v>
      </c>
      <c r="G538">
        <v>1070</v>
      </c>
      <c r="H538" t="str">
        <f>_xlfn.XLOOKUP(tblOrders[[#This Row],[ProductID]],tblProducts[ProductID],tblProducts[ProductName],"not found")</f>
        <v>Indeed</v>
      </c>
      <c r="I538" t="str">
        <f>_xlfn.XLOOKUP(tblOrders[[#This Row],[ProductID]],tblProducts[ProductID],tblProducts[Category],"not found")</f>
        <v>Beauty</v>
      </c>
      <c r="J538">
        <f>_xlfn.XLOOKUP(tblOrders[[#This Row],[ProductID]],tblProducts[ProductID],tblProducts[UnitPrice],"not found")</f>
        <v>149.4</v>
      </c>
      <c r="K538" t="str">
        <f>_xlfn.XLOOKUP(tblOrders[[#This Row],[ProductID]],tblProducts[ProductID],tblProducts[Supplier],"not found")</f>
        <v>Bradshaw-Stafford</v>
      </c>
      <c r="L538" s="1" t="s">
        <v>2046</v>
      </c>
      <c r="M5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45061</v>
      </c>
      <c r="N538">
        <v>3</v>
      </c>
      <c r="O538">
        <v>448.2</v>
      </c>
      <c r="P538">
        <f>tblOrders[[#This Row],[Quantity]]*tblOrders[[#This Row],[Unit Price]]</f>
        <v>448.20000000000005</v>
      </c>
      <c r="Q538">
        <f>tblOrders[[#This Row],[TotalSales]]-tblOrders[[#This Row],[Calculated Sales]]</f>
        <v>0</v>
      </c>
    </row>
    <row r="539" spans="1:17" x14ac:dyDescent="0.25">
      <c r="A539">
        <v>261</v>
      </c>
      <c r="B539">
        <v>826</v>
      </c>
      <c r="C539" t="str">
        <f>_xlfn.XLOOKUP(tblOrders[[#This Row],[CustomerID]],tblCustomers[CustomerID],tblCustomers[CustomerName],"not found")</f>
        <v>Kathleen Rivas</v>
      </c>
      <c r="D539">
        <f>_xlfn.XLOOKUP(tblOrders[[#This Row],[CustomerID]],tblCustomers[CustomerID],tblCustomers[Age],"not found")</f>
        <v>21</v>
      </c>
      <c r="E539" t="str">
        <f>_xlfn.XLOOKUP(tblOrders[[#This Row],[CustomerID]],tblCustomers[CustomerID],tblCustomers[Gender],"not found")</f>
        <v>Male</v>
      </c>
      <c r="F539" t="str">
        <f>_xlfn.XLOOKUP(tblOrders[[#This Row],[CustomerID]],tblCustomers[CustomerID],tblCustomers[Region],"not found")</f>
        <v>Central</v>
      </c>
      <c r="G539">
        <v>1070</v>
      </c>
      <c r="H539" t="str">
        <f>_xlfn.XLOOKUP(tblOrders[[#This Row],[ProductID]],tblProducts[ProductID],tblProducts[ProductName],"not found")</f>
        <v>Indeed</v>
      </c>
      <c r="I539" t="str">
        <f>_xlfn.XLOOKUP(tblOrders[[#This Row],[ProductID]],tblProducts[ProductID],tblProducts[Category],"not found")</f>
        <v>Beauty</v>
      </c>
      <c r="J539">
        <f>_xlfn.XLOOKUP(tblOrders[[#This Row],[ProductID]],tblProducts[ProductID],tblProducts[UnitPrice],"not found")</f>
        <v>149.4</v>
      </c>
      <c r="K539" t="str">
        <f>_xlfn.XLOOKUP(tblOrders[[#This Row],[ProductID]],tblProducts[ProductID],tblProducts[Supplier],"not found")</f>
        <v>Bradshaw-Stafford</v>
      </c>
      <c r="L539" s="1">
        <v>45390</v>
      </c>
      <c r="M5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45390</v>
      </c>
      <c r="N539">
        <v>8</v>
      </c>
      <c r="O539">
        <v>1195.2</v>
      </c>
      <c r="P539">
        <f>tblOrders[[#This Row],[Quantity]]*tblOrders[[#This Row],[Unit Price]]</f>
        <v>1195.2</v>
      </c>
      <c r="Q539">
        <f>tblOrders[[#This Row],[TotalSales]]-tblOrders[[#This Row],[Calculated Sales]]</f>
        <v>0</v>
      </c>
    </row>
    <row r="540" spans="1:17" x14ac:dyDescent="0.25">
      <c r="A540">
        <v>278</v>
      </c>
      <c r="B540">
        <v>615</v>
      </c>
      <c r="C540" t="str">
        <f>_xlfn.XLOOKUP(tblOrders[[#This Row],[CustomerID]],tblCustomers[CustomerID],tblCustomers[CustomerName],"not found")</f>
        <v>Christopher Poole</v>
      </c>
      <c r="D540">
        <f>_xlfn.XLOOKUP(tblOrders[[#This Row],[CustomerID]],tblCustomers[CustomerID],tblCustomers[Age],"not found")</f>
        <v>63</v>
      </c>
      <c r="E540" t="str">
        <f>_xlfn.XLOOKUP(tblOrders[[#This Row],[CustomerID]],tblCustomers[CustomerID],tblCustomers[Gender],"not found")</f>
        <v>Female</v>
      </c>
      <c r="F540" t="str">
        <f>_xlfn.XLOOKUP(tblOrders[[#This Row],[CustomerID]],tblCustomers[CustomerID],tblCustomers[Region],"not found")</f>
        <v>East</v>
      </c>
      <c r="G540">
        <v>1070</v>
      </c>
      <c r="H540" t="str">
        <f>_xlfn.XLOOKUP(tblOrders[[#This Row],[ProductID]],tblProducts[ProductID],tblProducts[ProductName],"not found")</f>
        <v>Indeed</v>
      </c>
      <c r="I540" t="str">
        <f>_xlfn.XLOOKUP(tblOrders[[#This Row],[ProductID]],tblProducts[ProductID],tblProducts[Category],"not found")</f>
        <v>Beauty</v>
      </c>
      <c r="J540">
        <f>_xlfn.XLOOKUP(tblOrders[[#This Row],[ProductID]],tblProducts[ProductID],tblProducts[UnitPrice],"not found")</f>
        <v>149.4</v>
      </c>
      <c r="K540" t="str">
        <f>_xlfn.XLOOKUP(tblOrders[[#This Row],[ProductID]],tblProducts[ProductID],tblProducts[Supplier],"not found")</f>
        <v>Bradshaw-Stafford</v>
      </c>
      <c r="L540" s="1">
        <v>44936</v>
      </c>
      <c r="M5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540">
        <v>8</v>
      </c>
      <c r="O540">
        <v>1195.2</v>
      </c>
      <c r="P540">
        <f>tblOrders[[#This Row],[Quantity]]*tblOrders[[#This Row],[Unit Price]]</f>
        <v>1195.2</v>
      </c>
      <c r="Q540">
        <f>tblOrders[[#This Row],[TotalSales]]-tblOrders[[#This Row],[Calculated Sales]]</f>
        <v>0</v>
      </c>
    </row>
    <row r="541" spans="1:17" x14ac:dyDescent="0.25">
      <c r="A541">
        <v>374</v>
      </c>
      <c r="B541">
        <v>649</v>
      </c>
      <c r="C541" t="str">
        <f>_xlfn.XLOOKUP(tblOrders[[#This Row],[CustomerID]],tblCustomers[CustomerID],tblCustomers[CustomerName],"not found")</f>
        <v>Anthony Scott</v>
      </c>
      <c r="D541">
        <f>_xlfn.XLOOKUP(tblOrders[[#This Row],[CustomerID]],tblCustomers[CustomerID],tblCustomers[Age],"not found")</f>
        <v>29</v>
      </c>
      <c r="E541" t="str">
        <f>_xlfn.XLOOKUP(tblOrders[[#This Row],[CustomerID]],tblCustomers[CustomerID],tblCustomers[Gender],"not found")</f>
        <v>Male</v>
      </c>
      <c r="F541" t="str">
        <f>_xlfn.XLOOKUP(tblOrders[[#This Row],[CustomerID]],tblCustomers[CustomerID],tblCustomers[Region],"not found")</f>
        <v>East</v>
      </c>
      <c r="G541">
        <v>1070</v>
      </c>
      <c r="H541" t="str">
        <f>_xlfn.XLOOKUP(tblOrders[[#This Row],[ProductID]],tblProducts[ProductID],tblProducts[ProductName],"not found")</f>
        <v>Indeed</v>
      </c>
      <c r="I541" t="str">
        <f>_xlfn.XLOOKUP(tblOrders[[#This Row],[ProductID]],tblProducts[ProductID],tblProducts[Category],"not found")</f>
        <v>Beauty</v>
      </c>
      <c r="J541">
        <f>_xlfn.XLOOKUP(tblOrders[[#This Row],[ProductID]],tblProducts[ProductID],tblProducts[UnitPrice],"not found")</f>
        <v>149.4</v>
      </c>
      <c r="K541" t="str">
        <f>_xlfn.XLOOKUP(tblOrders[[#This Row],[ProductID]],tblProducts[ProductID],tblProducts[Supplier],"not found")</f>
        <v>Bradshaw-Stafford</v>
      </c>
      <c r="L541" s="1">
        <v>45481</v>
      </c>
      <c r="M5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45481</v>
      </c>
      <c r="N541">
        <v>3</v>
      </c>
      <c r="O541">
        <v>448.2</v>
      </c>
      <c r="P541">
        <f>tblOrders[[#This Row],[Quantity]]*tblOrders[[#This Row],[Unit Price]]</f>
        <v>448.20000000000005</v>
      </c>
      <c r="Q541">
        <f>tblOrders[[#This Row],[TotalSales]]-tblOrders[[#This Row],[Calculated Sales]]</f>
        <v>0</v>
      </c>
    </row>
    <row r="542" spans="1:17" x14ac:dyDescent="0.25">
      <c r="A542">
        <v>439</v>
      </c>
      <c r="B542">
        <v>383</v>
      </c>
      <c r="C542" t="str">
        <f>_xlfn.XLOOKUP(tblOrders[[#This Row],[CustomerID]],tblCustomers[CustomerID],tblCustomers[CustomerName],"not found")</f>
        <v>Karen Irwin</v>
      </c>
      <c r="D542">
        <f>_xlfn.XLOOKUP(tblOrders[[#This Row],[CustomerID]],tblCustomers[CustomerID],tblCustomers[Age],"not found")</f>
        <v>18</v>
      </c>
      <c r="E542" t="str">
        <f>_xlfn.XLOOKUP(tblOrders[[#This Row],[CustomerID]],tblCustomers[CustomerID],tblCustomers[Gender],"not found")</f>
        <v>Male</v>
      </c>
      <c r="F542" t="str">
        <f>_xlfn.XLOOKUP(tblOrders[[#This Row],[CustomerID]],tblCustomers[CustomerID],tblCustomers[Region],"not found")</f>
        <v>West</v>
      </c>
      <c r="G542">
        <v>1070</v>
      </c>
      <c r="H542" t="str">
        <f>_xlfn.XLOOKUP(tblOrders[[#This Row],[ProductID]],tblProducts[ProductID],tblProducts[ProductName],"not found")</f>
        <v>Indeed</v>
      </c>
      <c r="I542" t="str">
        <f>_xlfn.XLOOKUP(tblOrders[[#This Row],[ProductID]],tblProducts[ProductID],tblProducts[Category],"not found")</f>
        <v>Beauty</v>
      </c>
      <c r="J542">
        <f>_xlfn.XLOOKUP(tblOrders[[#This Row],[ProductID]],tblProducts[ProductID],tblProducts[UnitPrice],"not found")</f>
        <v>149.4</v>
      </c>
      <c r="K542" t="str">
        <f>_xlfn.XLOOKUP(tblOrders[[#This Row],[ProductID]],tblProducts[ProductID],tblProducts[Supplier],"not found")</f>
        <v>Bradshaw-Stafford</v>
      </c>
      <c r="L542" s="1" t="s">
        <v>2112</v>
      </c>
      <c r="M5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45436</v>
      </c>
      <c r="N542">
        <v>2</v>
      </c>
      <c r="O542">
        <v>298.8</v>
      </c>
      <c r="P542">
        <f>tblOrders[[#This Row],[Quantity]]*tblOrders[[#This Row],[Unit Price]]</f>
        <v>298.8</v>
      </c>
      <c r="Q542">
        <f>tblOrders[[#This Row],[TotalSales]]-tblOrders[[#This Row],[Calculated Sales]]</f>
        <v>0</v>
      </c>
    </row>
    <row r="543" spans="1:17" x14ac:dyDescent="0.25">
      <c r="A543">
        <v>512</v>
      </c>
      <c r="B543">
        <v>672</v>
      </c>
      <c r="C543" t="str">
        <f>_xlfn.XLOOKUP(tblOrders[[#This Row],[CustomerID]],tblCustomers[CustomerID],tblCustomers[CustomerName],"not found")</f>
        <v>Tara Graves</v>
      </c>
      <c r="D543">
        <f>_xlfn.XLOOKUP(tblOrders[[#This Row],[CustomerID]],tblCustomers[CustomerID],tblCustomers[Age],"not found")</f>
        <v>37</v>
      </c>
      <c r="E543" t="str">
        <f>_xlfn.XLOOKUP(tblOrders[[#This Row],[CustomerID]],tblCustomers[CustomerID],tblCustomers[Gender],"not found")</f>
        <v>Male</v>
      </c>
      <c r="F543" t="str">
        <f>_xlfn.XLOOKUP(tblOrders[[#This Row],[CustomerID]],tblCustomers[CustomerID],tblCustomers[Region],"not found")</f>
        <v>East</v>
      </c>
      <c r="G543">
        <v>1070</v>
      </c>
      <c r="H543" t="str">
        <f>_xlfn.XLOOKUP(tblOrders[[#This Row],[ProductID]],tblProducts[ProductID],tblProducts[ProductName],"not found")</f>
        <v>Indeed</v>
      </c>
      <c r="I543" t="str">
        <f>_xlfn.XLOOKUP(tblOrders[[#This Row],[ProductID]],tblProducts[ProductID],tblProducts[Category],"not found")</f>
        <v>Beauty</v>
      </c>
      <c r="J543">
        <f>_xlfn.XLOOKUP(tblOrders[[#This Row],[ProductID]],tblProducts[ProductID],tblProducts[UnitPrice],"not found")</f>
        <v>149.4</v>
      </c>
      <c r="K543" t="str">
        <f>_xlfn.XLOOKUP(tblOrders[[#This Row],[ProductID]],tblProducts[ProductID],tblProducts[Supplier],"not found")</f>
        <v>Bradshaw-Stafford</v>
      </c>
      <c r="L543" s="1">
        <v>45447</v>
      </c>
      <c r="M5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45447</v>
      </c>
      <c r="N543">
        <v>9</v>
      </c>
      <c r="O543">
        <v>1344.6</v>
      </c>
      <c r="P543">
        <f>tblOrders[[#This Row],[Quantity]]*tblOrders[[#This Row],[Unit Price]]</f>
        <v>1344.6000000000001</v>
      </c>
      <c r="Q543">
        <f>tblOrders[[#This Row],[TotalSales]]-tblOrders[[#This Row],[Calculated Sales]]</f>
        <v>0</v>
      </c>
    </row>
    <row r="544" spans="1:17" x14ac:dyDescent="0.25">
      <c r="A544">
        <v>681</v>
      </c>
      <c r="B544">
        <v>423</v>
      </c>
      <c r="C544" t="str">
        <f>_xlfn.XLOOKUP(tblOrders[[#This Row],[CustomerID]],tblCustomers[CustomerID],tblCustomers[CustomerName],"not found")</f>
        <v>Cheyenne Ferguson</v>
      </c>
      <c r="D544">
        <f>_xlfn.XLOOKUP(tblOrders[[#This Row],[CustomerID]],tblCustomers[CustomerID],tblCustomers[Age],"not found")</f>
        <v>50</v>
      </c>
      <c r="E544" t="str">
        <f>_xlfn.XLOOKUP(tblOrders[[#This Row],[CustomerID]],tblCustomers[CustomerID],tblCustomers[Gender],"not found")</f>
        <v>Male</v>
      </c>
      <c r="F544" t="str">
        <f>_xlfn.XLOOKUP(tblOrders[[#This Row],[CustomerID]],tblCustomers[CustomerID],tblCustomers[Region],"not found")</f>
        <v>West</v>
      </c>
      <c r="G544">
        <v>1070</v>
      </c>
      <c r="H544" t="str">
        <f>_xlfn.XLOOKUP(tblOrders[[#This Row],[ProductID]],tblProducts[ProductID],tblProducts[ProductName],"not found")</f>
        <v>Indeed</v>
      </c>
      <c r="I544" t="str">
        <f>_xlfn.XLOOKUP(tblOrders[[#This Row],[ProductID]],tblProducts[ProductID],tblProducts[Category],"not found")</f>
        <v>Beauty</v>
      </c>
      <c r="J544">
        <f>_xlfn.XLOOKUP(tblOrders[[#This Row],[ProductID]],tblProducts[ProductID],tblProducts[UnitPrice],"not found")</f>
        <v>149.4</v>
      </c>
      <c r="K544" t="str">
        <f>_xlfn.XLOOKUP(tblOrders[[#This Row],[ProductID]],tblProducts[ProductID],tblProducts[Supplier],"not found")</f>
        <v>Bradshaw-Stafford</v>
      </c>
      <c r="L544" s="1" t="s">
        <v>2023</v>
      </c>
      <c r="M5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45312</v>
      </c>
      <c r="N544">
        <v>9</v>
      </c>
      <c r="O544">
        <v>1344.6</v>
      </c>
      <c r="P544">
        <f>tblOrders[[#This Row],[Quantity]]*tblOrders[[#This Row],[Unit Price]]</f>
        <v>1344.6000000000001</v>
      </c>
      <c r="Q544">
        <f>tblOrders[[#This Row],[TotalSales]]-tblOrders[[#This Row],[Calculated Sales]]</f>
        <v>0</v>
      </c>
    </row>
    <row r="545" spans="1:17" x14ac:dyDescent="0.25">
      <c r="A545">
        <v>723</v>
      </c>
      <c r="B545">
        <v>913</v>
      </c>
      <c r="C545" t="str">
        <f>_xlfn.XLOOKUP(tblOrders[[#This Row],[CustomerID]],tblCustomers[CustomerID],tblCustomers[CustomerName],"not found")</f>
        <v>Johnny Howe</v>
      </c>
      <c r="D545">
        <f>_xlfn.XLOOKUP(tblOrders[[#This Row],[CustomerID]],tblCustomers[CustomerID],tblCustomers[Age],"not found")</f>
        <v>42</v>
      </c>
      <c r="E545" t="str">
        <f>_xlfn.XLOOKUP(tblOrders[[#This Row],[CustomerID]],tblCustomers[CustomerID],tblCustomers[Gender],"not found")</f>
        <v>Male</v>
      </c>
      <c r="F545" t="str">
        <f>_xlfn.XLOOKUP(tblOrders[[#This Row],[CustomerID]],tblCustomers[CustomerID],tblCustomers[Region],"not found")</f>
        <v>West</v>
      </c>
      <c r="G545">
        <v>1070</v>
      </c>
      <c r="H545" t="str">
        <f>_xlfn.XLOOKUP(tblOrders[[#This Row],[ProductID]],tblProducts[ProductID],tblProducts[ProductName],"not found")</f>
        <v>Indeed</v>
      </c>
      <c r="I545" t="str">
        <f>_xlfn.XLOOKUP(tblOrders[[#This Row],[ProductID]],tblProducts[ProductID],tblProducts[Category],"not found")</f>
        <v>Beauty</v>
      </c>
      <c r="J545">
        <f>_xlfn.XLOOKUP(tblOrders[[#This Row],[ProductID]],tblProducts[ProductID],tblProducts[UnitPrice],"not found")</f>
        <v>149.4</v>
      </c>
      <c r="K545" t="str">
        <f>_xlfn.XLOOKUP(tblOrders[[#This Row],[ProductID]],tblProducts[ProductID],tblProducts[Supplier],"not found")</f>
        <v>Bradshaw-Stafford</v>
      </c>
      <c r="L545" s="1" t="s">
        <v>2244</v>
      </c>
      <c r="M5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45498</v>
      </c>
      <c r="N545">
        <v>8</v>
      </c>
      <c r="O545">
        <v>1195.2</v>
      </c>
      <c r="P545">
        <f>tblOrders[[#This Row],[Quantity]]*tblOrders[[#This Row],[Unit Price]]</f>
        <v>1195.2</v>
      </c>
      <c r="Q545">
        <f>tblOrders[[#This Row],[TotalSales]]-tblOrders[[#This Row],[Calculated Sales]]</f>
        <v>0</v>
      </c>
    </row>
    <row r="546" spans="1:17" x14ac:dyDescent="0.25">
      <c r="A546">
        <v>824</v>
      </c>
      <c r="B546">
        <v>320</v>
      </c>
      <c r="C546" t="str">
        <f>_xlfn.XLOOKUP(tblOrders[[#This Row],[CustomerID]],tblCustomers[CustomerID],tblCustomers[CustomerName],"not found")</f>
        <v>Bryan Higgins</v>
      </c>
      <c r="D546">
        <f>_xlfn.XLOOKUP(tblOrders[[#This Row],[CustomerID]],tblCustomers[CustomerID],tblCustomers[Age],"not found")</f>
        <v>23</v>
      </c>
      <c r="E546" t="str">
        <f>_xlfn.XLOOKUP(tblOrders[[#This Row],[CustomerID]],tblCustomers[CustomerID],tblCustomers[Gender],"not found")</f>
        <v>Female</v>
      </c>
      <c r="F546" t="str">
        <f>_xlfn.XLOOKUP(tblOrders[[#This Row],[CustomerID]],tblCustomers[CustomerID],tblCustomers[Region],"not found")</f>
        <v>Central</v>
      </c>
      <c r="G546">
        <v>1070</v>
      </c>
      <c r="H546" t="str">
        <f>_xlfn.XLOOKUP(tblOrders[[#This Row],[ProductID]],tblProducts[ProductID],tblProducts[ProductName],"not found")</f>
        <v>Indeed</v>
      </c>
      <c r="I546" t="str">
        <f>_xlfn.XLOOKUP(tblOrders[[#This Row],[ProductID]],tblProducts[ProductID],tblProducts[Category],"not found")</f>
        <v>Beauty</v>
      </c>
      <c r="J546">
        <f>_xlfn.XLOOKUP(tblOrders[[#This Row],[ProductID]],tblProducts[ProductID],tblProducts[UnitPrice],"not found")</f>
        <v>149.4</v>
      </c>
      <c r="K546" t="str">
        <f>_xlfn.XLOOKUP(tblOrders[[#This Row],[ProductID]],tblProducts[ProductID],tblProducts[Supplier],"not found")</f>
        <v>Bradshaw-Stafford</v>
      </c>
      <c r="L546" s="1">
        <v>45232</v>
      </c>
      <c r="M5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45232</v>
      </c>
      <c r="N546">
        <v>5</v>
      </c>
      <c r="O546">
        <v>747</v>
      </c>
      <c r="P546">
        <f>tblOrders[[#This Row],[Quantity]]*tblOrders[[#This Row],[Unit Price]]</f>
        <v>747</v>
      </c>
      <c r="Q546">
        <f>tblOrders[[#This Row],[TotalSales]]-tblOrders[[#This Row],[Calculated Sales]]</f>
        <v>0</v>
      </c>
    </row>
    <row r="547" spans="1:17" x14ac:dyDescent="0.25">
      <c r="A547">
        <v>836</v>
      </c>
      <c r="B547">
        <v>964</v>
      </c>
      <c r="C547" t="str">
        <f>_xlfn.XLOOKUP(tblOrders[[#This Row],[CustomerID]],tblCustomers[CustomerID],tblCustomers[CustomerName],"not found")</f>
        <v>Jorge Bowman</v>
      </c>
      <c r="D547">
        <f>_xlfn.XLOOKUP(tblOrders[[#This Row],[CustomerID]],tblCustomers[CustomerID],tblCustomers[Age],"not found")</f>
        <v>62</v>
      </c>
      <c r="E547" t="str">
        <f>_xlfn.XLOOKUP(tblOrders[[#This Row],[CustomerID]],tblCustomers[CustomerID],tblCustomers[Gender],"not found")</f>
        <v>Male</v>
      </c>
      <c r="F547" t="str">
        <f>_xlfn.XLOOKUP(tblOrders[[#This Row],[CustomerID]],tblCustomers[CustomerID],tblCustomers[Region],"not found")</f>
        <v>East</v>
      </c>
      <c r="G547">
        <v>1070</v>
      </c>
      <c r="H547" t="str">
        <f>_xlfn.XLOOKUP(tblOrders[[#This Row],[ProductID]],tblProducts[ProductID],tblProducts[ProductName],"not found")</f>
        <v>Indeed</v>
      </c>
      <c r="I547" t="str">
        <f>_xlfn.XLOOKUP(tblOrders[[#This Row],[ProductID]],tblProducts[ProductID],tblProducts[Category],"not found")</f>
        <v>Beauty</v>
      </c>
      <c r="J547">
        <f>_xlfn.XLOOKUP(tblOrders[[#This Row],[ProductID]],tblProducts[ProductID],tblProducts[UnitPrice],"not found")</f>
        <v>149.4</v>
      </c>
      <c r="K547" t="str">
        <f>_xlfn.XLOOKUP(tblOrders[[#This Row],[ProductID]],tblProducts[ProductID],tblProducts[Supplier],"not found")</f>
        <v>Bradshaw-Stafford</v>
      </c>
      <c r="L547" s="1" t="s">
        <v>2210</v>
      </c>
      <c r="M5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45374</v>
      </c>
      <c r="N547">
        <v>2</v>
      </c>
      <c r="O547">
        <v>298.8</v>
      </c>
      <c r="P547">
        <f>tblOrders[[#This Row],[Quantity]]*tblOrders[[#This Row],[Unit Price]]</f>
        <v>298.8</v>
      </c>
      <c r="Q547">
        <f>tblOrders[[#This Row],[TotalSales]]-tblOrders[[#This Row],[Calculated Sales]]</f>
        <v>0</v>
      </c>
    </row>
    <row r="548" spans="1:17" x14ac:dyDescent="0.25">
      <c r="A548">
        <v>857</v>
      </c>
      <c r="B548">
        <v>638</v>
      </c>
      <c r="C548" t="str">
        <f>_xlfn.XLOOKUP(tblOrders[[#This Row],[CustomerID]],tblCustomers[CustomerID],tblCustomers[CustomerName],"not found")</f>
        <v>Donna Foster</v>
      </c>
      <c r="D548">
        <f>_xlfn.XLOOKUP(tblOrders[[#This Row],[CustomerID]],tblCustomers[CustomerID],tblCustomers[Age],"not found")</f>
        <v>62</v>
      </c>
      <c r="E548" t="str">
        <f>_xlfn.XLOOKUP(tblOrders[[#This Row],[CustomerID]],tblCustomers[CustomerID],tblCustomers[Gender],"not found")</f>
        <v>Female</v>
      </c>
      <c r="F548" t="str">
        <f>_xlfn.XLOOKUP(tblOrders[[#This Row],[CustomerID]],tblCustomers[CustomerID],tblCustomers[Region],"not found")</f>
        <v>East</v>
      </c>
      <c r="G548">
        <v>1070</v>
      </c>
      <c r="H548" t="str">
        <f>_xlfn.XLOOKUP(tblOrders[[#This Row],[ProductID]],tblProducts[ProductID],tblProducts[ProductName],"not found")</f>
        <v>Indeed</v>
      </c>
      <c r="I548" t="str">
        <f>_xlfn.XLOOKUP(tblOrders[[#This Row],[ProductID]],tblProducts[ProductID],tblProducts[Category],"not found")</f>
        <v>Beauty</v>
      </c>
      <c r="J548">
        <f>_xlfn.XLOOKUP(tblOrders[[#This Row],[ProductID]],tblProducts[ProductID],tblProducts[UnitPrice],"not found")</f>
        <v>149.4</v>
      </c>
      <c r="K548" t="str">
        <f>_xlfn.XLOOKUP(tblOrders[[#This Row],[ProductID]],tblProducts[ProductID],tblProducts[Supplier],"not found")</f>
        <v>Bradshaw-Stafford</v>
      </c>
      <c r="L548" s="1" t="s">
        <v>2059</v>
      </c>
      <c r="M5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45290</v>
      </c>
      <c r="N548">
        <v>7</v>
      </c>
      <c r="O548">
        <v>1045.8</v>
      </c>
      <c r="P548">
        <f>tblOrders[[#This Row],[Quantity]]*tblOrders[[#This Row],[Unit Price]]</f>
        <v>1045.8</v>
      </c>
      <c r="Q548">
        <f>tblOrders[[#This Row],[TotalSales]]-tblOrders[[#This Row],[Calculated Sales]]</f>
        <v>0</v>
      </c>
    </row>
    <row r="549" spans="1:17" x14ac:dyDescent="0.25">
      <c r="A549">
        <v>1190</v>
      </c>
      <c r="B549">
        <v>919</v>
      </c>
      <c r="C549" t="str">
        <f>_xlfn.XLOOKUP(tblOrders[[#This Row],[CustomerID]],tblCustomers[CustomerID],tblCustomers[CustomerName],"not found")</f>
        <v>Gabriella Johnson</v>
      </c>
      <c r="D549">
        <f>_xlfn.XLOOKUP(tblOrders[[#This Row],[CustomerID]],tblCustomers[CustomerID],tblCustomers[Age],"not found")</f>
        <v>25</v>
      </c>
      <c r="E549" t="str">
        <f>_xlfn.XLOOKUP(tblOrders[[#This Row],[CustomerID]],tblCustomers[CustomerID],tblCustomers[Gender],"not found")</f>
        <v>Male</v>
      </c>
      <c r="F549" t="str">
        <f>_xlfn.XLOOKUP(tblOrders[[#This Row],[CustomerID]],tblCustomers[CustomerID],tblCustomers[Region],"not found")</f>
        <v>West</v>
      </c>
      <c r="G549">
        <v>1070</v>
      </c>
      <c r="H549" t="str">
        <f>_xlfn.XLOOKUP(tblOrders[[#This Row],[ProductID]],tblProducts[ProductID],tblProducts[ProductName],"not found")</f>
        <v>Indeed</v>
      </c>
      <c r="I549" t="str">
        <f>_xlfn.XLOOKUP(tblOrders[[#This Row],[ProductID]],tblProducts[ProductID],tblProducts[Category],"not found")</f>
        <v>Beauty</v>
      </c>
      <c r="J549">
        <f>_xlfn.XLOOKUP(tblOrders[[#This Row],[ProductID]],tblProducts[ProductID],tblProducts[UnitPrice],"not found")</f>
        <v>149.4</v>
      </c>
      <c r="K549" t="str">
        <f>_xlfn.XLOOKUP(tblOrders[[#This Row],[ProductID]],tblProducts[ProductID],tblProducts[Supplier],"not found")</f>
        <v>Bradshaw-Stafford</v>
      </c>
      <c r="L549" s="1" t="s">
        <v>2208</v>
      </c>
      <c r="M5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45594</v>
      </c>
      <c r="N549">
        <v>9</v>
      </c>
      <c r="O549">
        <v>1344.6</v>
      </c>
      <c r="P549">
        <f>tblOrders[[#This Row],[Quantity]]*tblOrders[[#This Row],[Unit Price]]</f>
        <v>1344.6000000000001</v>
      </c>
      <c r="Q549">
        <f>tblOrders[[#This Row],[TotalSales]]-tblOrders[[#This Row],[Calculated Sales]]</f>
        <v>0</v>
      </c>
    </row>
    <row r="550" spans="1:17" x14ac:dyDescent="0.25">
      <c r="A550">
        <v>1194</v>
      </c>
      <c r="B550">
        <v>533</v>
      </c>
      <c r="C550" t="str">
        <f>_xlfn.XLOOKUP(tblOrders[[#This Row],[CustomerID]],tblCustomers[CustomerID],tblCustomers[CustomerName],"not found")</f>
        <v>Daniel May</v>
      </c>
      <c r="D550">
        <f>_xlfn.XLOOKUP(tblOrders[[#This Row],[CustomerID]],tblCustomers[CustomerID],tblCustomers[Age],"not found")</f>
        <v>43</v>
      </c>
      <c r="E550" t="str">
        <f>_xlfn.XLOOKUP(tblOrders[[#This Row],[CustomerID]],tblCustomers[CustomerID],tblCustomers[Gender],"not found")</f>
        <v>Female</v>
      </c>
      <c r="F550" t="str">
        <f>_xlfn.XLOOKUP(tblOrders[[#This Row],[CustomerID]],tblCustomers[CustomerID],tblCustomers[Region],"not found")</f>
        <v>Central</v>
      </c>
      <c r="G550">
        <v>1070</v>
      </c>
      <c r="H550" t="str">
        <f>_xlfn.XLOOKUP(tblOrders[[#This Row],[ProductID]],tblProducts[ProductID],tblProducts[ProductName],"not found")</f>
        <v>Indeed</v>
      </c>
      <c r="I550" t="str">
        <f>_xlfn.XLOOKUP(tblOrders[[#This Row],[ProductID]],tblProducts[ProductID],tblProducts[Category],"not found")</f>
        <v>Beauty</v>
      </c>
      <c r="J550">
        <f>_xlfn.XLOOKUP(tblOrders[[#This Row],[ProductID]],tblProducts[ProductID],tblProducts[UnitPrice],"not found")</f>
        <v>149.4</v>
      </c>
      <c r="K550" t="str">
        <f>_xlfn.XLOOKUP(tblOrders[[#This Row],[ProductID]],tblProducts[ProductID],tblProducts[Supplier],"not found")</f>
        <v>Bradshaw-Stafford</v>
      </c>
      <c r="L550" s="1" t="s">
        <v>2245</v>
      </c>
      <c r="M5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45425</v>
      </c>
      <c r="N550">
        <v>3</v>
      </c>
      <c r="O550">
        <v>448.2</v>
      </c>
      <c r="P550">
        <f>tblOrders[[#This Row],[Quantity]]*tblOrders[[#This Row],[Unit Price]]</f>
        <v>448.20000000000005</v>
      </c>
      <c r="Q550">
        <f>tblOrders[[#This Row],[TotalSales]]-tblOrders[[#This Row],[Calculated Sales]]</f>
        <v>0</v>
      </c>
    </row>
    <row r="551" spans="1:17" x14ac:dyDescent="0.25">
      <c r="A551">
        <v>1423</v>
      </c>
      <c r="B551">
        <v>483</v>
      </c>
      <c r="C551" t="str">
        <f>_xlfn.XLOOKUP(tblOrders[[#This Row],[CustomerID]],tblCustomers[CustomerID],tblCustomers[CustomerName],"not found")</f>
        <v>Amanda Phillips</v>
      </c>
      <c r="D551">
        <f>_xlfn.XLOOKUP(tblOrders[[#This Row],[CustomerID]],tblCustomers[CustomerID],tblCustomers[Age],"not found")</f>
        <v>54</v>
      </c>
      <c r="E551" t="str">
        <f>_xlfn.XLOOKUP(tblOrders[[#This Row],[CustomerID]],tblCustomers[CustomerID],tblCustomers[Gender],"not found")</f>
        <v>Female</v>
      </c>
      <c r="F551" t="str">
        <f>_xlfn.XLOOKUP(tblOrders[[#This Row],[CustomerID]],tblCustomers[CustomerID],tblCustomers[Region],"not found")</f>
        <v>North</v>
      </c>
      <c r="G551">
        <v>1070</v>
      </c>
      <c r="H551" t="str">
        <f>_xlfn.XLOOKUP(tblOrders[[#This Row],[ProductID]],tblProducts[ProductID],tblProducts[ProductName],"not found")</f>
        <v>Indeed</v>
      </c>
      <c r="I551" t="str">
        <f>_xlfn.XLOOKUP(tblOrders[[#This Row],[ProductID]],tblProducts[ProductID],tblProducts[Category],"not found")</f>
        <v>Beauty</v>
      </c>
      <c r="J551">
        <f>_xlfn.XLOOKUP(tblOrders[[#This Row],[ProductID]],tblProducts[ProductID],tblProducts[UnitPrice],"not found")</f>
        <v>149.4</v>
      </c>
      <c r="K551" t="str">
        <f>_xlfn.XLOOKUP(tblOrders[[#This Row],[ProductID]],tblProducts[ProductID],tblProducts[Supplier],"not found")</f>
        <v>Bradshaw-Stafford</v>
      </c>
      <c r="L551" s="1" t="s">
        <v>2010</v>
      </c>
      <c r="M5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44886</v>
      </c>
      <c r="N551">
        <v>6</v>
      </c>
      <c r="O551">
        <v>896.4</v>
      </c>
      <c r="P551">
        <f>tblOrders[[#This Row],[Quantity]]*tblOrders[[#This Row],[Unit Price]]</f>
        <v>896.40000000000009</v>
      </c>
      <c r="Q551">
        <f>tblOrders[[#This Row],[TotalSales]]-tblOrders[[#This Row],[Calculated Sales]]</f>
        <v>0</v>
      </c>
    </row>
    <row r="552" spans="1:17" x14ac:dyDescent="0.25">
      <c r="A552">
        <v>1530</v>
      </c>
      <c r="B552">
        <v>627</v>
      </c>
      <c r="C552" t="str">
        <f>_xlfn.XLOOKUP(tblOrders[[#This Row],[CustomerID]],tblCustomers[CustomerID],tblCustomers[CustomerName],"not found")</f>
        <v>Kimberly Roberson</v>
      </c>
      <c r="D552">
        <f>_xlfn.XLOOKUP(tblOrders[[#This Row],[CustomerID]],tblCustomers[CustomerID],tblCustomers[Age],"not found")</f>
        <v>44</v>
      </c>
      <c r="E552" t="str">
        <f>_xlfn.XLOOKUP(tblOrders[[#This Row],[CustomerID]],tblCustomers[CustomerID],tblCustomers[Gender],"not found")</f>
        <v>Male</v>
      </c>
      <c r="F552" t="str">
        <f>_xlfn.XLOOKUP(tblOrders[[#This Row],[CustomerID]],tblCustomers[CustomerID],tblCustomers[Region],"not found")</f>
        <v>West</v>
      </c>
      <c r="G552">
        <v>1070</v>
      </c>
      <c r="H552" t="str">
        <f>_xlfn.XLOOKUP(tblOrders[[#This Row],[ProductID]],tblProducts[ProductID],tblProducts[ProductName],"not found")</f>
        <v>Indeed</v>
      </c>
      <c r="I552" t="str">
        <f>_xlfn.XLOOKUP(tblOrders[[#This Row],[ProductID]],tblProducts[ProductID],tblProducts[Category],"not found")</f>
        <v>Beauty</v>
      </c>
      <c r="J552">
        <f>_xlfn.XLOOKUP(tblOrders[[#This Row],[ProductID]],tblProducts[ProductID],tblProducts[UnitPrice],"not found")</f>
        <v>149.4</v>
      </c>
      <c r="K552" t="str">
        <f>_xlfn.XLOOKUP(tblOrders[[#This Row],[ProductID]],tblProducts[ProductID],tblProducts[Supplier],"not found")</f>
        <v>Bradshaw-Stafford</v>
      </c>
      <c r="L552" s="1" t="s">
        <v>2230</v>
      </c>
      <c r="M5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45212</v>
      </c>
      <c r="N552">
        <v>9</v>
      </c>
      <c r="O552">
        <v>1344.6</v>
      </c>
      <c r="P552">
        <f>tblOrders[[#This Row],[Quantity]]*tblOrders[[#This Row],[Unit Price]]</f>
        <v>1344.6000000000001</v>
      </c>
      <c r="Q552">
        <f>tblOrders[[#This Row],[TotalSales]]-tblOrders[[#This Row],[Calculated Sales]]</f>
        <v>0</v>
      </c>
    </row>
    <row r="553" spans="1:17" x14ac:dyDescent="0.25">
      <c r="A553">
        <v>1788</v>
      </c>
      <c r="B553">
        <v>701</v>
      </c>
      <c r="C553" t="str">
        <f>_xlfn.XLOOKUP(tblOrders[[#This Row],[CustomerID]],tblCustomers[CustomerID],tblCustomers[CustomerName],"not found")</f>
        <v>Richard Brown</v>
      </c>
      <c r="D553">
        <f>_xlfn.XLOOKUP(tblOrders[[#This Row],[CustomerID]],tblCustomers[CustomerID],tblCustomers[Age],"not found")</f>
        <v>49</v>
      </c>
      <c r="E553" t="str">
        <f>_xlfn.XLOOKUP(tblOrders[[#This Row],[CustomerID]],tblCustomers[CustomerID],tblCustomers[Gender],"not found")</f>
        <v>Male</v>
      </c>
      <c r="F553" t="str">
        <f>_xlfn.XLOOKUP(tblOrders[[#This Row],[CustomerID]],tblCustomers[CustomerID],tblCustomers[Region],"not found")</f>
        <v>East</v>
      </c>
      <c r="G553">
        <v>1070</v>
      </c>
      <c r="H553" t="str">
        <f>_xlfn.XLOOKUP(tblOrders[[#This Row],[ProductID]],tblProducts[ProductID],tblProducts[ProductName],"not found")</f>
        <v>Indeed</v>
      </c>
      <c r="I553" t="str">
        <f>_xlfn.XLOOKUP(tblOrders[[#This Row],[ProductID]],tblProducts[ProductID],tblProducts[Category],"not found")</f>
        <v>Beauty</v>
      </c>
      <c r="J553">
        <f>_xlfn.XLOOKUP(tblOrders[[#This Row],[ProductID]],tblProducts[ProductID],tblProducts[UnitPrice],"not found")</f>
        <v>149.4</v>
      </c>
      <c r="K553" t="str">
        <f>_xlfn.XLOOKUP(tblOrders[[#This Row],[ProductID]],tblProducts[ProductID],tblProducts[Supplier],"not found")</f>
        <v>Bradshaw-Stafford</v>
      </c>
      <c r="L553" s="1">
        <v>45024</v>
      </c>
      <c r="M5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45024</v>
      </c>
      <c r="N553">
        <v>2</v>
      </c>
      <c r="O553">
        <v>298.8</v>
      </c>
      <c r="P553">
        <f>tblOrders[[#This Row],[Quantity]]*tblOrders[[#This Row],[Unit Price]]</f>
        <v>298.8</v>
      </c>
      <c r="Q553">
        <f>tblOrders[[#This Row],[TotalSales]]-tblOrders[[#This Row],[Calculated Sales]]</f>
        <v>0</v>
      </c>
    </row>
    <row r="554" spans="1:17" x14ac:dyDescent="0.25">
      <c r="A554">
        <v>1941</v>
      </c>
      <c r="B554">
        <v>313</v>
      </c>
      <c r="C554" t="str">
        <f>_xlfn.XLOOKUP(tblOrders[[#This Row],[CustomerID]],tblCustomers[CustomerID],tblCustomers[CustomerName],"not found")</f>
        <v>Toni Sullivan</v>
      </c>
      <c r="D554">
        <f>_xlfn.XLOOKUP(tblOrders[[#This Row],[CustomerID]],tblCustomers[CustomerID],tblCustomers[Age],"not found")</f>
        <v>18</v>
      </c>
      <c r="E554" t="str">
        <f>_xlfn.XLOOKUP(tblOrders[[#This Row],[CustomerID]],tblCustomers[CustomerID],tblCustomers[Gender],"not found")</f>
        <v>Female</v>
      </c>
      <c r="F554" t="str">
        <f>_xlfn.XLOOKUP(tblOrders[[#This Row],[CustomerID]],tblCustomers[CustomerID],tblCustomers[Region],"not found")</f>
        <v>Central</v>
      </c>
      <c r="G554">
        <v>1070</v>
      </c>
      <c r="H554" t="str">
        <f>_xlfn.XLOOKUP(tblOrders[[#This Row],[ProductID]],tblProducts[ProductID],tblProducts[ProductName],"not found")</f>
        <v>Indeed</v>
      </c>
      <c r="I554" t="str">
        <f>_xlfn.XLOOKUP(tblOrders[[#This Row],[ProductID]],tblProducts[ProductID],tblProducts[Category],"not found")</f>
        <v>Beauty</v>
      </c>
      <c r="J554">
        <f>_xlfn.XLOOKUP(tblOrders[[#This Row],[ProductID]],tblProducts[ProductID],tblProducts[UnitPrice],"not found")</f>
        <v>149.4</v>
      </c>
      <c r="K554" t="str">
        <f>_xlfn.XLOOKUP(tblOrders[[#This Row],[ProductID]],tblProducts[ProductID],tblProducts[Supplier],"not found")</f>
        <v>Bradshaw-Stafford</v>
      </c>
      <c r="L554" s="1" t="s">
        <v>2246</v>
      </c>
      <c r="M5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45589</v>
      </c>
      <c r="N554">
        <v>7</v>
      </c>
      <c r="O554">
        <v>1045.8</v>
      </c>
      <c r="P554">
        <f>tblOrders[[#This Row],[Quantity]]*tblOrders[[#This Row],[Unit Price]]</f>
        <v>1045.8</v>
      </c>
      <c r="Q554">
        <f>tblOrders[[#This Row],[TotalSales]]-tblOrders[[#This Row],[Calculated Sales]]</f>
        <v>0</v>
      </c>
    </row>
    <row r="555" spans="1:17" x14ac:dyDescent="0.25">
      <c r="A555">
        <v>28</v>
      </c>
      <c r="B555">
        <v>680</v>
      </c>
      <c r="C555" t="str">
        <f>_xlfn.XLOOKUP(tblOrders[[#This Row],[CustomerID]],tblCustomers[CustomerID],tblCustomers[CustomerName],"not found")</f>
        <v>Katrina Miller</v>
      </c>
      <c r="D555">
        <f>_xlfn.XLOOKUP(tblOrders[[#This Row],[CustomerID]],tblCustomers[CustomerID],tblCustomers[Age],"not found")</f>
        <v>63</v>
      </c>
      <c r="E555" t="str">
        <f>_xlfn.XLOOKUP(tblOrders[[#This Row],[CustomerID]],tblCustomers[CustomerID],tblCustomers[Gender],"not found")</f>
        <v>Male</v>
      </c>
      <c r="F555" t="str">
        <f>_xlfn.XLOOKUP(tblOrders[[#This Row],[CustomerID]],tblCustomers[CustomerID],tblCustomers[Region],"not found")</f>
        <v>West</v>
      </c>
      <c r="G555">
        <v>1079</v>
      </c>
      <c r="H555" t="str">
        <f>_xlfn.XLOOKUP(tblOrders[[#This Row],[ProductID]],tblProducts[ProductID],tblProducts[ProductName],"not found")</f>
        <v>Clear</v>
      </c>
      <c r="I555" t="str">
        <f>_xlfn.XLOOKUP(tblOrders[[#This Row],[ProductID]],tblProducts[ProductID],tblProducts[Category],"not found")</f>
        <v>Apparel</v>
      </c>
      <c r="J555">
        <f>_xlfn.XLOOKUP(tblOrders[[#This Row],[ProductID]],tblProducts[ProductID],tblProducts[UnitPrice],"not found")</f>
        <v>230.9</v>
      </c>
      <c r="K555" t="str">
        <f>_xlfn.XLOOKUP(tblOrders[[#This Row],[ProductID]],tblProducts[ProductID],tblProducts[Supplier],"not found")</f>
        <v>Edwards, Williams and Blackwell</v>
      </c>
      <c r="L555" s="1" t="s">
        <v>2041</v>
      </c>
      <c r="M5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45164</v>
      </c>
      <c r="N555">
        <v>7</v>
      </c>
      <c r="O555">
        <v>1616.3</v>
      </c>
      <c r="P555">
        <f>tblOrders[[#This Row],[Quantity]]*tblOrders[[#This Row],[Unit Price]]</f>
        <v>1616.3</v>
      </c>
      <c r="Q555">
        <f>tblOrders[[#This Row],[TotalSales]]-tblOrders[[#This Row],[Calculated Sales]]</f>
        <v>0</v>
      </c>
    </row>
    <row r="556" spans="1:17" x14ac:dyDescent="0.25">
      <c r="A556">
        <v>68</v>
      </c>
      <c r="B556">
        <v>118</v>
      </c>
      <c r="C556" t="str">
        <f>_xlfn.XLOOKUP(tblOrders[[#This Row],[CustomerID]],tblCustomers[CustomerID],tblCustomers[CustomerName],"not found")</f>
        <v>Donald Brown</v>
      </c>
      <c r="D556">
        <f>_xlfn.XLOOKUP(tblOrders[[#This Row],[CustomerID]],tblCustomers[CustomerID],tblCustomers[Age],"not found")</f>
        <v>49</v>
      </c>
      <c r="E556" t="str">
        <f>_xlfn.XLOOKUP(tblOrders[[#This Row],[CustomerID]],tblCustomers[CustomerID],tblCustomers[Gender],"not found")</f>
        <v>Male</v>
      </c>
      <c r="F556" t="str">
        <f>_xlfn.XLOOKUP(tblOrders[[#This Row],[CustomerID]],tblCustomers[CustomerID],tblCustomers[Region],"not found")</f>
        <v>East</v>
      </c>
      <c r="G556">
        <v>1079</v>
      </c>
      <c r="H556" t="str">
        <f>_xlfn.XLOOKUP(tblOrders[[#This Row],[ProductID]],tblProducts[ProductID],tblProducts[ProductName],"not found")</f>
        <v>Clear</v>
      </c>
      <c r="I556" t="str">
        <f>_xlfn.XLOOKUP(tblOrders[[#This Row],[ProductID]],tblProducts[ProductID],tblProducts[Category],"not found")</f>
        <v>Apparel</v>
      </c>
      <c r="J556">
        <f>_xlfn.XLOOKUP(tblOrders[[#This Row],[ProductID]],tblProducts[ProductID],tblProducts[UnitPrice],"not found")</f>
        <v>230.9</v>
      </c>
      <c r="K556" t="str">
        <f>_xlfn.XLOOKUP(tblOrders[[#This Row],[ProductID]],tblProducts[ProductID],tblProducts[Supplier],"not found")</f>
        <v>Edwards, Williams and Blackwell</v>
      </c>
      <c r="L556" s="1">
        <v>45088</v>
      </c>
      <c r="M5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45088</v>
      </c>
      <c r="N556">
        <v>5</v>
      </c>
      <c r="O556">
        <v>1154.5</v>
      </c>
      <c r="P556">
        <f>tblOrders[[#This Row],[Quantity]]*tblOrders[[#This Row],[Unit Price]]</f>
        <v>1154.5</v>
      </c>
      <c r="Q556">
        <f>tblOrders[[#This Row],[TotalSales]]-tblOrders[[#This Row],[Calculated Sales]]</f>
        <v>0</v>
      </c>
    </row>
    <row r="557" spans="1:17" x14ac:dyDescent="0.25">
      <c r="A557">
        <v>81</v>
      </c>
      <c r="B557">
        <v>363</v>
      </c>
      <c r="C557" t="str">
        <f>_xlfn.XLOOKUP(tblOrders[[#This Row],[CustomerID]],tblCustomers[CustomerID],tblCustomers[CustomerName],"not found")</f>
        <v>Dale Black</v>
      </c>
      <c r="D557">
        <f>_xlfn.XLOOKUP(tblOrders[[#This Row],[CustomerID]],tblCustomers[CustomerID],tblCustomers[Age],"not found")</f>
        <v>33</v>
      </c>
      <c r="E557" t="str">
        <f>_xlfn.XLOOKUP(tblOrders[[#This Row],[CustomerID]],tblCustomers[CustomerID],tblCustomers[Gender],"not found")</f>
        <v>Female</v>
      </c>
      <c r="F557" t="str">
        <f>_xlfn.XLOOKUP(tblOrders[[#This Row],[CustomerID]],tblCustomers[CustomerID],tblCustomers[Region],"not found")</f>
        <v>Central</v>
      </c>
      <c r="G557">
        <v>1079</v>
      </c>
      <c r="H557" t="str">
        <f>_xlfn.XLOOKUP(tblOrders[[#This Row],[ProductID]],tblProducts[ProductID],tblProducts[ProductName],"not found")</f>
        <v>Clear</v>
      </c>
      <c r="I557" t="str">
        <f>_xlfn.XLOOKUP(tblOrders[[#This Row],[ProductID]],tblProducts[ProductID],tblProducts[Category],"not found")</f>
        <v>Apparel</v>
      </c>
      <c r="J557">
        <f>_xlfn.XLOOKUP(tblOrders[[#This Row],[ProductID]],tblProducts[ProductID],tblProducts[UnitPrice],"not found")</f>
        <v>230.9</v>
      </c>
      <c r="K557" t="str">
        <f>_xlfn.XLOOKUP(tblOrders[[#This Row],[ProductID]],tblProducts[ProductID],tblProducts[Supplier],"not found")</f>
        <v>Edwards, Williams and Blackwell</v>
      </c>
      <c r="L557" s="1">
        <v>45570</v>
      </c>
      <c r="M5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45570</v>
      </c>
      <c r="N557">
        <v>4</v>
      </c>
      <c r="O557">
        <v>923.6</v>
      </c>
      <c r="P557">
        <f>tblOrders[[#This Row],[Quantity]]*tblOrders[[#This Row],[Unit Price]]</f>
        <v>923.6</v>
      </c>
      <c r="Q557">
        <f>tblOrders[[#This Row],[TotalSales]]-tblOrders[[#This Row],[Calculated Sales]]</f>
        <v>0</v>
      </c>
    </row>
    <row r="558" spans="1:17" x14ac:dyDescent="0.25">
      <c r="A558">
        <v>113</v>
      </c>
      <c r="B558">
        <v>938</v>
      </c>
      <c r="C558" t="str">
        <f>_xlfn.XLOOKUP(tblOrders[[#This Row],[CustomerID]],tblCustomers[CustomerID],tblCustomers[CustomerName],"not found")</f>
        <v>Tracey Taylor</v>
      </c>
      <c r="D558">
        <f>_xlfn.XLOOKUP(tblOrders[[#This Row],[CustomerID]],tblCustomers[CustomerID],tblCustomers[Age],"not found")</f>
        <v>25</v>
      </c>
      <c r="E558" t="str">
        <f>_xlfn.XLOOKUP(tblOrders[[#This Row],[CustomerID]],tblCustomers[CustomerID],tblCustomers[Gender],"not found")</f>
        <v>Male</v>
      </c>
      <c r="F558" t="str">
        <f>_xlfn.XLOOKUP(tblOrders[[#This Row],[CustomerID]],tblCustomers[CustomerID],tblCustomers[Region],"not found")</f>
        <v>South</v>
      </c>
      <c r="G558">
        <v>1079</v>
      </c>
      <c r="H558" t="str">
        <f>_xlfn.XLOOKUP(tblOrders[[#This Row],[ProductID]],tblProducts[ProductID],tblProducts[ProductName],"not found")</f>
        <v>Clear</v>
      </c>
      <c r="I558" t="str">
        <f>_xlfn.XLOOKUP(tblOrders[[#This Row],[ProductID]],tblProducts[ProductID],tblProducts[Category],"not found")</f>
        <v>Apparel</v>
      </c>
      <c r="J558">
        <f>_xlfn.XLOOKUP(tblOrders[[#This Row],[ProductID]],tblProducts[ProductID],tblProducts[UnitPrice],"not found")</f>
        <v>230.9</v>
      </c>
      <c r="K558" t="str">
        <f>_xlfn.XLOOKUP(tblOrders[[#This Row],[ProductID]],tblProducts[ProductID],tblProducts[Supplier],"not found")</f>
        <v>Edwards, Williams and Blackwell</v>
      </c>
      <c r="L558" s="1" t="s">
        <v>2247</v>
      </c>
      <c r="M5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45306</v>
      </c>
      <c r="N558">
        <v>9</v>
      </c>
      <c r="O558">
        <v>2078.1</v>
      </c>
      <c r="P558">
        <f>tblOrders[[#This Row],[Quantity]]*tblOrders[[#This Row],[Unit Price]]</f>
        <v>2078.1</v>
      </c>
      <c r="Q558">
        <f>tblOrders[[#This Row],[TotalSales]]-tblOrders[[#This Row],[Calculated Sales]]</f>
        <v>0</v>
      </c>
    </row>
    <row r="559" spans="1:17" x14ac:dyDescent="0.25">
      <c r="A559">
        <v>151</v>
      </c>
      <c r="B559">
        <v>725</v>
      </c>
      <c r="C559" t="str">
        <f>_xlfn.XLOOKUP(tblOrders[[#This Row],[CustomerID]],tblCustomers[CustomerID],tblCustomers[CustomerName],"not found")</f>
        <v>Maria Sparks</v>
      </c>
      <c r="D559">
        <f>_xlfn.XLOOKUP(tblOrders[[#This Row],[CustomerID]],tblCustomers[CustomerID],tblCustomers[Age],"not found")</f>
        <v>68</v>
      </c>
      <c r="E559" t="str">
        <f>_xlfn.XLOOKUP(tblOrders[[#This Row],[CustomerID]],tblCustomers[CustomerID],tblCustomers[Gender],"not found")</f>
        <v>Female</v>
      </c>
      <c r="F559" t="str">
        <f>_xlfn.XLOOKUP(tblOrders[[#This Row],[CustomerID]],tblCustomers[CustomerID],tblCustomers[Region],"not found")</f>
        <v>South</v>
      </c>
      <c r="G559">
        <v>1079</v>
      </c>
      <c r="H559" t="str">
        <f>_xlfn.XLOOKUP(tblOrders[[#This Row],[ProductID]],tblProducts[ProductID],tblProducts[ProductName],"not found")</f>
        <v>Clear</v>
      </c>
      <c r="I559" t="str">
        <f>_xlfn.XLOOKUP(tblOrders[[#This Row],[ProductID]],tblProducts[ProductID],tblProducts[Category],"not found")</f>
        <v>Apparel</v>
      </c>
      <c r="J559">
        <f>_xlfn.XLOOKUP(tblOrders[[#This Row],[ProductID]],tblProducts[ProductID],tblProducts[UnitPrice],"not found")</f>
        <v>230.9</v>
      </c>
      <c r="K559" t="str">
        <f>_xlfn.XLOOKUP(tblOrders[[#This Row],[ProductID]],tblProducts[ProductID],tblProducts[Supplier],"not found")</f>
        <v>Edwards, Williams and Blackwell</v>
      </c>
      <c r="L559" s="1" t="s">
        <v>2130</v>
      </c>
      <c r="M5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559">
        <v>5</v>
      </c>
      <c r="O559">
        <v>1154.5</v>
      </c>
      <c r="P559">
        <f>tblOrders[[#This Row],[Quantity]]*tblOrders[[#This Row],[Unit Price]]</f>
        <v>1154.5</v>
      </c>
      <c r="Q559">
        <f>tblOrders[[#This Row],[TotalSales]]-tblOrders[[#This Row],[Calculated Sales]]</f>
        <v>0</v>
      </c>
    </row>
    <row r="560" spans="1:17" x14ac:dyDescent="0.25">
      <c r="A560">
        <v>177</v>
      </c>
      <c r="B560">
        <v>426</v>
      </c>
      <c r="C560" t="str">
        <f>_xlfn.XLOOKUP(tblOrders[[#This Row],[CustomerID]],tblCustomers[CustomerID],tblCustomers[CustomerName],"not found")</f>
        <v>Kevin Garcia</v>
      </c>
      <c r="D560">
        <f>_xlfn.XLOOKUP(tblOrders[[#This Row],[CustomerID]],tblCustomers[CustomerID],tblCustomers[Age],"not found")</f>
        <v>53</v>
      </c>
      <c r="E560" t="str">
        <f>_xlfn.XLOOKUP(tblOrders[[#This Row],[CustomerID]],tblCustomers[CustomerID],tblCustomers[Gender],"not found")</f>
        <v>Male</v>
      </c>
      <c r="F560" t="str">
        <f>_xlfn.XLOOKUP(tblOrders[[#This Row],[CustomerID]],tblCustomers[CustomerID],tblCustomers[Region],"not found")</f>
        <v>South</v>
      </c>
      <c r="G560">
        <v>1079</v>
      </c>
      <c r="H560" t="str">
        <f>_xlfn.XLOOKUP(tblOrders[[#This Row],[ProductID]],tblProducts[ProductID],tblProducts[ProductName],"not found")</f>
        <v>Clear</v>
      </c>
      <c r="I560" t="str">
        <f>_xlfn.XLOOKUP(tblOrders[[#This Row],[ProductID]],tblProducts[ProductID],tblProducts[Category],"not found")</f>
        <v>Apparel</v>
      </c>
      <c r="J560">
        <f>_xlfn.XLOOKUP(tblOrders[[#This Row],[ProductID]],tblProducts[ProductID],tblProducts[UnitPrice],"not found")</f>
        <v>230.9</v>
      </c>
      <c r="K560" t="str">
        <f>_xlfn.XLOOKUP(tblOrders[[#This Row],[ProductID]],tblProducts[ProductID],tblProducts[Supplier],"not found")</f>
        <v>Edwards, Williams and Blackwell</v>
      </c>
      <c r="L560" s="1">
        <v>45207</v>
      </c>
      <c r="M5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45207</v>
      </c>
      <c r="N560">
        <v>9</v>
      </c>
      <c r="O560">
        <v>2078.1</v>
      </c>
      <c r="P560">
        <f>tblOrders[[#This Row],[Quantity]]*tblOrders[[#This Row],[Unit Price]]</f>
        <v>2078.1</v>
      </c>
      <c r="Q560">
        <f>tblOrders[[#This Row],[TotalSales]]-tblOrders[[#This Row],[Calculated Sales]]</f>
        <v>0</v>
      </c>
    </row>
    <row r="561" spans="1:17" x14ac:dyDescent="0.25">
      <c r="A561">
        <v>400</v>
      </c>
      <c r="B561">
        <v>733</v>
      </c>
      <c r="C561" t="str">
        <f>_xlfn.XLOOKUP(tblOrders[[#This Row],[CustomerID]],tblCustomers[CustomerID],tblCustomers[CustomerName],"not found")</f>
        <v>Breanna Rodriguez</v>
      </c>
      <c r="D561">
        <f>_xlfn.XLOOKUP(tblOrders[[#This Row],[CustomerID]],tblCustomers[CustomerID],tblCustomers[Age],"not found")</f>
        <v>27</v>
      </c>
      <c r="E561" t="str">
        <f>_xlfn.XLOOKUP(tblOrders[[#This Row],[CustomerID]],tblCustomers[CustomerID],tblCustomers[Gender],"not found")</f>
        <v>Male</v>
      </c>
      <c r="F561" t="str">
        <f>_xlfn.XLOOKUP(tblOrders[[#This Row],[CustomerID]],tblCustomers[CustomerID],tblCustomers[Region],"not found")</f>
        <v>East</v>
      </c>
      <c r="G561">
        <v>1079</v>
      </c>
      <c r="H561" t="str">
        <f>_xlfn.XLOOKUP(tblOrders[[#This Row],[ProductID]],tblProducts[ProductID],tblProducts[ProductName],"not found")</f>
        <v>Clear</v>
      </c>
      <c r="I561" t="str">
        <f>_xlfn.XLOOKUP(tblOrders[[#This Row],[ProductID]],tblProducts[ProductID],tblProducts[Category],"not found")</f>
        <v>Apparel</v>
      </c>
      <c r="J561">
        <f>_xlfn.XLOOKUP(tblOrders[[#This Row],[ProductID]],tblProducts[ProductID],tblProducts[UnitPrice],"not found")</f>
        <v>230.9</v>
      </c>
      <c r="K561" t="str">
        <f>_xlfn.XLOOKUP(tblOrders[[#This Row],[ProductID]],tblProducts[ProductID],tblProducts[Supplier],"not found")</f>
        <v>Edwards, Williams and Blackwell</v>
      </c>
      <c r="L561" s="1">
        <v>44935</v>
      </c>
      <c r="M5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44935</v>
      </c>
      <c r="N561">
        <v>2</v>
      </c>
      <c r="O561">
        <v>461.8</v>
      </c>
      <c r="P561">
        <f>tblOrders[[#This Row],[Quantity]]*tblOrders[[#This Row],[Unit Price]]</f>
        <v>461.8</v>
      </c>
      <c r="Q561">
        <f>tblOrders[[#This Row],[TotalSales]]-tblOrders[[#This Row],[Calculated Sales]]</f>
        <v>0</v>
      </c>
    </row>
    <row r="562" spans="1:17" x14ac:dyDescent="0.25">
      <c r="A562">
        <v>402</v>
      </c>
      <c r="B562">
        <v>609</v>
      </c>
      <c r="C562" t="str">
        <f>_xlfn.XLOOKUP(tblOrders[[#This Row],[CustomerID]],tblCustomers[CustomerID],tblCustomers[CustomerName],"not found")</f>
        <v>Jeffrey Harris</v>
      </c>
      <c r="D562">
        <f>_xlfn.XLOOKUP(tblOrders[[#This Row],[CustomerID]],tblCustomers[CustomerID],tblCustomers[Age],"not found")</f>
        <v>62</v>
      </c>
      <c r="E562" t="str">
        <f>_xlfn.XLOOKUP(tblOrders[[#This Row],[CustomerID]],tblCustomers[CustomerID],tblCustomers[Gender],"not found")</f>
        <v>Male</v>
      </c>
      <c r="F562" t="str">
        <f>_xlfn.XLOOKUP(tblOrders[[#This Row],[CustomerID]],tblCustomers[CustomerID],tblCustomers[Region],"not found")</f>
        <v>East</v>
      </c>
      <c r="G562">
        <v>1079</v>
      </c>
      <c r="H562" t="str">
        <f>_xlfn.XLOOKUP(tblOrders[[#This Row],[ProductID]],tblProducts[ProductID],tblProducts[ProductName],"not found")</f>
        <v>Clear</v>
      </c>
      <c r="I562" t="str">
        <f>_xlfn.XLOOKUP(tblOrders[[#This Row],[ProductID]],tblProducts[ProductID],tblProducts[Category],"not found")</f>
        <v>Apparel</v>
      </c>
      <c r="J562">
        <f>_xlfn.XLOOKUP(tblOrders[[#This Row],[ProductID]],tblProducts[ProductID],tblProducts[UnitPrice],"not found")</f>
        <v>230.9</v>
      </c>
      <c r="K562" t="str">
        <f>_xlfn.XLOOKUP(tblOrders[[#This Row],[ProductID]],tblProducts[ProductID],tblProducts[Supplier],"not found")</f>
        <v>Edwards, Williams and Blackwell</v>
      </c>
      <c r="L562" s="1" t="s">
        <v>2248</v>
      </c>
      <c r="M5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45535</v>
      </c>
      <c r="N562">
        <v>6</v>
      </c>
      <c r="O562">
        <v>1385.4</v>
      </c>
      <c r="P562">
        <f>tblOrders[[#This Row],[Quantity]]*tblOrders[[#This Row],[Unit Price]]</f>
        <v>1385.4</v>
      </c>
      <c r="Q562">
        <f>tblOrders[[#This Row],[TotalSales]]-tblOrders[[#This Row],[Calculated Sales]]</f>
        <v>0</v>
      </c>
    </row>
    <row r="563" spans="1:17" x14ac:dyDescent="0.25">
      <c r="A563">
        <v>432</v>
      </c>
      <c r="B563">
        <v>422</v>
      </c>
      <c r="C563" t="str">
        <f>_xlfn.XLOOKUP(tblOrders[[#This Row],[CustomerID]],tblCustomers[CustomerID],tblCustomers[CustomerName],"not found")</f>
        <v>Kerry Harris</v>
      </c>
      <c r="D563">
        <f>_xlfn.XLOOKUP(tblOrders[[#This Row],[CustomerID]],tblCustomers[CustomerID],tblCustomers[Age],"not found")</f>
        <v>64</v>
      </c>
      <c r="E563" t="str">
        <f>_xlfn.XLOOKUP(tblOrders[[#This Row],[CustomerID]],tblCustomers[CustomerID],tblCustomers[Gender],"not found")</f>
        <v>Female</v>
      </c>
      <c r="F563" t="str">
        <f>_xlfn.XLOOKUP(tblOrders[[#This Row],[CustomerID]],tblCustomers[CustomerID],tblCustomers[Region],"not found")</f>
        <v>North</v>
      </c>
      <c r="G563">
        <v>1079</v>
      </c>
      <c r="H563" t="str">
        <f>_xlfn.XLOOKUP(tblOrders[[#This Row],[ProductID]],tblProducts[ProductID],tblProducts[ProductName],"not found")</f>
        <v>Clear</v>
      </c>
      <c r="I563" t="str">
        <f>_xlfn.XLOOKUP(tblOrders[[#This Row],[ProductID]],tblProducts[ProductID],tblProducts[Category],"not found")</f>
        <v>Apparel</v>
      </c>
      <c r="J563">
        <f>_xlfn.XLOOKUP(tblOrders[[#This Row],[ProductID]],tblProducts[ProductID],tblProducts[UnitPrice],"not found")</f>
        <v>230.9</v>
      </c>
      <c r="K563" t="str">
        <f>_xlfn.XLOOKUP(tblOrders[[#This Row],[ProductID]],tblProducts[ProductID],tblProducts[Supplier],"not found")</f>
        <v>Edwards, Williams and Blackwell</v>
      </c>
      <c r="L563" s="1" t="s">
        <v>2249</v>
      </c>
      <c r="M5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44920</v>
      </c>
      <c r="N563">
        <v>9</v>
      </c>
      <c r="O563">
        <v>2078.1</v>
      </c>
      <c r="P563">
        <f>tblOrders[[#This Row],[Quantity]]*tblOrders[[#This Row],[Unit Price]]</f>
        <v>2078.1</v>
      </c>
      <c r="Q563">
        <f>tblOrders[[#This Row],[TotalSales]]-tblOrders[[#This Row],[Calculated Sales]]</f>
        <v>0</v>
      </c>
    </row>
    <row r="564" spans="1:17" x14ac:dyDescent="0.25">
      <c r="A564">
        <v>784</v>
      </c>
      <c r="B564">
        <v>637</v>
      </c>
      <c r="C564" t="str">
        <f>_xlfn.XLOOKUP(tblOrders[[#This Row],[CustomerID]],tblCustomers[CustomerID],tblCustomers[CustomerName],"not found")</f>
        <v>Diana Silva</v>
      </c>
      <c r="D564">
        <f>_xlfn.XLOOKUP(tblOrders[[#This Row],[CustomerID]],tblCustomers[CustomerID],tblCustomers[Age],"not found")</f>
        <v>22</v>
      </c>
      <c r="E564" t="str">
        <f>_xlfn.XLOOKUP(tblOrders[[#This Row],[CustomerID]],tblCustomers[CustomerID],tblCustomers[Gender],"not found")</f>
        <v>Female</v>
      </c>
      <c r="F564" t="str">
        <f>_xlfn.XLOOKUP(tblOrders[[#This Row],[CustomerID]],tblCustomers[CustomerID],tblCustomers[Region],"not found")</f>
        <v>North</v>
      </c>
      <c r="G564">
        <v>1079</v>
      </c>
      <c r="H564" t="str">
        <f>_xlfn.XLOOKUP(tblOrders[[#This Row],[ProductID]],tblProducts[ProductID],tblProducts[ProductName],"not found")</f>
        <v>Clear</v>
      </c>
      <c r="I564" t="str">
        <f>_xlfn.XLOOKUP(tblOrders[[#This Row],[ProductID]],tblProducts[ProductID],tblProducts[Category],"not found")</f>
        <v>Apparel</v>
      </c>
      <c r="J564">
        <f>_xlfn.XLOOKUP(tblOrders[[#This Row],[ProductID]],tblProducts[ProductID],tblProducts[UnitPrice],"not found")</f>
        <v>230.9</v>
      </c>
      <c r="K564" t="str">
        <f>_xlfn.XLOOKUP(tblOrders[[#This Row],[ProductID]],tblProducts[ProductID],tblProducts[Supplier],"not found")</f>
        <v>Edwards, Williams and Blackwell</v>
      </c>
      <c r="L564" s="1">
        <v>45417</v>
      </c>
      <c r="M5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45417</v>
      </c>
      <c r="N564">
        <v>1</v>
      </c>
      <c r="O564">
        <v>230.9</v>
      </c>
      <c r="P564">
        <f>tblOrders[[#This Row],[Quantity]]*tblOrders[[#This Row],[Unit Price]]</f>
        <v>230.9</v>
      </c>
      <c r="Q564">
        <f>tblOrders[[#This Row],[TotalSales]]-tblOrders[[#This Row],[Calculated Sales]]</f>
        <v>0</v>
      </c>
    </row>
    <row r="565" spans="1:17" x14ac:dyDescent="0.25">
      <c r="A565">
        <v>786</v>
      </c>
      <c r="B565">
        <v>149</v>
      </c>
      <c r="C565" t="str">
        <f>_xlfn.XLOOKUP(tblOrders[[#This Row],[CustomerID]],tblCustomers[CustomerID],tblCustomers[CustomerName],"not found")</f>
        <v>Sandra Lane</v>
      </c>
      <c r="D565">
        <f>_xlfn.XLOOKUP(tblOrders[[#This Row],[CustomerID]],tblCustomers[CustomerID],tblCustomers[Age],"not found")</f>
        <v>28</v>
      </c>
      <c r="E565" t="str">
        <f>_xlfn.XLOOKUP(tblOrders[[#This Row],[CustomerID]],tblCustomers[CustomerID],tblCustomers[Gender],"not found")</f>
        <v>Female</v>
      </c>
      <c r="F565" t="str">
        <f>_xlfn.XLOOKUP(tblOrders[[#This Row],[CustomerID]],tblCustomers[CustomerID],tblCustomers[Region],"not found")</f>
        <v>East</v>
      </c>
      <c r="G565">
        <v>1079</v>
      </c>
      <c r="H565" t="str">
        <f>_xlfn.XLOOKUP(tblOrders[[#This Row],[ProductID]],tblProducts[ProductID],tblProducts[ProductName],"not found")</f>
        <v>Clear</v>
      </c>
      <c r="I565" t="str">
        <f>_xlfn.XLOOKUP(tblOrders[[#This Row],[ProductID]],tblProducts[ProductID],tblProducts[Category],"not found")</f>
        <v>Apparel</v>
      </c>
      <c r="J565">
        <f>_xlfn.XLOOKUP(tblOrders[[#This Row],[ProductID]],tblProducts[ProductID],tblProducts[UnitPrice],"not found")</f>
        <v>230.9</v>
      </c>
      <c r="K565" t="str">
        <f>_xlfn.XLOOKUP(tblOrders[[#This Row],[ProductID]],tblProducts[ProductID],tblProducts[Supplier],"not found")</f>
        <v>Edwards, Williams and Blackwell</v>
      </c>
      <c r="L565" s="1" t="s">
        <v>2250</v>
      </c>
      <c r="M5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45338</v>
      </c>
      <c r="N565">
        <v>1</v>
      </c>
      <c r="O565">
        <v>230.9</v>
      </c>
      <c r="P565">
        <f>tblOrders[[#This Row],[Quantity]]*tblOrders[[#This Row],[Unit Price]]</f>
        <v>230.9</v>
      </c>
      <c r="Q565">
        <f>tblOrders[[#This Row],[TotalSales]]-tblOrders[[#This Row],[Calculated Sales]]</f>
        <v>0</v>
      </c>
    </row>
    <row r="566" spans="1:17" x14ac:dyDescent="0.25">
      <c r="A566">
        <v>809</v>
      </c>
      <c r="B566">
        <v>456</v>
      </c>
      <c r="C566" t="str">
        <f>_xlfn.XLOOKUP(tblOrders[[#This Row],[CustomerID]],tblCustomers[CustomerID],tblCustomers[CustomerName],"not found")</f>
        <v>Valerie Mays</v>
      </c>
      <c r="D566">
        <f>_xlfn.XLOOKUP(tblOrders[[#This Row],[CustomerID]],tblCustomers[CustomerID],tblCustomers[Age],"not found")</f>
        <v>50</v>
      </c>
      <c r="E566" t="str">
        <f>_xlfn.XLOOKUP(tblOrders[[#This Row],[CustomerID]],tblCustomers[CustomerID],tblCustomers[Gender],"not found")</f>
        <v>Male</v>
      </c>
      <c r="F566" t="str">
        <f>_xlfn.XLOOKUP(tblOrders[[#This Row],[CustomerID]],tblCustomers[CustomerID],tblCustomers[Region],"not found")</f>
        <v>West</v>
      </c>
      <c r="G566">
        <v>1079</v>
      </c>
      <c r="H566" t="str">
        <f>_xlfn.XLOOKUP(tblOrders[[#This Row],[ProductID]],tblProducts[ProductID],tblProducts[ProductName],"not found")</f>
        <v>Clear</v>
      </c>
      <c r="I566" t="str">
        <f>_xlfn.XLOOKUP(tblOrders[[#This Row],[ProductID]],tblProducts[ProductID],tblProducts[Category],"not found")</f>
        <v>Apparel</v>
      </c>
      <c r="J566">
        <f>_xlfn.XLOOKUP(tblOrders[[#This Row],[ProductID]],tblProducts[ProductID],tblProducts[UnitPrice],"not found")</f>
        <v>230.9</v>
      </c>
      <c r="K566" t="str">
        <f>_xlfn.XLOOKUP(tblOrders[[#This Row],[ProductID]],tblProducts[ProductID],tblProducts[Supplier],"not found")</f>
        <v>Edwards, Williams and Blackwell</v>
      </c>
      <c r="L566" s="1">
        <v>44969</v>
      </c>
      <c r="M5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566">
        <v>5</v>
      </c>
      <c r="O566">
        <v>1154.5</v>
      </c>
      <c r="P566">
        <f>tblOrders[[#This Row],[Quantity]]*tblOrders[[#This Row],[Unit Price]]</f>
        <v>1154.5</v>
      </c>
      <c r="Q566">
        <f>tblOrders[[#This Row],[TotalSales]]-tblOrders[[#This Row],[Calculated Sales]]</f>
        <v>0</v>
      </c>
    </row>
    <row r="567" spans="1:17" x14ac:dyDescent="0.25">
      <c r="A567">
        <v>847</v>
      </c>
      <c r="B567">
        <v>406</v>
      </c>
      <c r="C567" t="str">
        <f>_xlfn.XLOOKUP(tblOrders[[#This Row],[CustomerID]],tblCustomers[CustomerID],tblCustomers[CustomerName],"not found")</f>
        <v>Tammy Harvey</v>
      </c>
      <c r="D567">
        <f>_xlfn.XLOOKUP(tblOrders[[#This Row],[CustomerID]],tblCustomers[CustomerID],tblCustomers[Age],"not found")</f>
        <v>30</v>
      </c>
      <c r="E567" t="str">
        <f>_xlfn.XLOOKUP(tblOrders[[#This Row],[CustomerID]],tblCustomers[CustomerID],tblCustomers[Gender],"not found")</f>
        <v>Female</v>
      </c>
      <c r="F567" t="str">
        <f>_xlfn.XLOOKUP(tblOrders[[#This Row],[CustomerID]],tblCustomers[CustomerID],tblCustomers[Region],"not found")</f>
        <v>South</v>
      </c>
      <c r="G567">
        <v>1079</v>
      </c>
      <c r="H567" t="str">
        <f>_xlfn.XLOOKUP(tblOrders[[#This Row],[ProductID]],tblProducts[ProductID],tblProducts[ProductName],"not found")</f>
        <v>Clear</v>
      </c>
      <c r="I567" t="str">
        <f>_xlfn.XLOOKUP(tblOrders[[#This Row],[ProductID]],tblProducts[ProductID],tblProducts[Category],"not found")</f>
        <v>Apparel</v>
      </c>
      <c r="J567">
        <f>_xlfn.XLOOKUP(tblOrders[[#This Row],[ProductID]],tblProducts[ProductID],tblProducts[UnitPrice],"not found")</f>
        <v>230.9</v>
      </c>
      <c r="K567" t="str">
        <f>_xlfn.XLOOKUP(tblOrders[[#This Row],[ProductID]],tblProducts[ProductID],tblProducts[Supplier],"not found")</f>
        <v>Edwards, Williams and Blackwell</v>
      </c>
      <c r="L567" s="1" t="s">
        <v>2170</v>
      </c>
      <c r="M5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45283</v>
      </c>
      <c r="N567">
        <v>7</v>
      </c>
      <c r="O567">
        <v>1616.3</v>
      </c>
      <c r="P567">
        <f>tblOrders[[#This Row],[Quantity]]*tblOrders[[#This Row],[Unit Price]]</f>
        <v>1616.3</v>
      </c>
      <c r="Q567">
        <f>tblOrders[[#This Row],[TotalSales]]-tblOrders[[#This Row],[Calculated Sales]]</f>
        <v>0</v>
      </c>
    </row>
    <row r="568" spans="1:17" x14ac:dyDescent="0.25">
      <c r="A568">
        <v>1142</v>
      </c>
      <c r="B568">
        <v>428</v>
      </c>
      <c r="C568" t="str">
        <f>_xlfn.XLOOKUP(tblOrders[[#This Row],[CustomerID]],tblCustomers[CustomerID],tblCustomers[CustomerName],"not found")</f>
        <v>Jose Mcdaniel</v>
      </c>
      <c r="D568">
        <f>_xlfn.XLOOKUP(tblOrders[[#This Row],[CustomerID]],tblCustomers[CustomerID],tblCustomers[Age],"not found")</f>
        <v>37</v>
      </c>
      <c r="E568" t="str">
        <f>_xlfn.XLOOKUP(tblOrders[[#This Row],[CustomerID]],tblCustomers[CustomerID],tblCustomers[Gender],"not found")</f>
        <v>Male</v>
      </c>
      <c r="F568" t="str">
        <f>_xlfn.XLOOKUP(tblOrders[[#This Row],[CustomerID]],tblCustomers[CustomerID],tblCustomers[Region],"not found")</f>
        <v>West</v>
      </c>
      <c r="G568">
        <v>1079</v>
      </c>
      <c r="H568" t="str">
        <f>_xlfn.XLOOKUP(tblOrders[[#This Row],[ProductID]],tblProducts[ProductID],tblProducts[ProductName],"not found")</f>
        <v>Clear</v>
      </c>
      <c r="I568" t="str">
        <f>_xlfn.XLOOKUP(tblOrders[[#This Row],[ProductID]],tblProducts[ProductID],tblProducts[Category],"not found")</f>
        <v>Apparel</v>
      </c>
      <c r="J568">
        <f>_xlfn.XLOOKUP(tblOrders[[#This Row],[ProductID]],tblProducts[ProductID],tblProducts[UnitPrice],"not found")</f>
        <v>230.9</v>
      </c>
      <c r="K568" t="str">
        <f>_xlfn.XLOOKUP(tblOrders[[#This Row],[ProductID]],tblProducts[ProductID],tblProducts[Supplier],"not found")</f>
        <v>Edwards, Williams and Blackwell</v>
      </c>
      <c r="L568" s="1" t="s">
        <v>2251</v>
      </c>
      <c r="M5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45009</v>
      </c>
      <c r="N568">
        <v>8</v>
      </c>
      <c r="O568">
        <v>1847.2</v>
      </c>
      <c r="P568">
        <f>tblOrders[[#This Row],[Quantity]]*tblOrders[[#This Row],[Unit Price]]</f>
        <v>1847.2</v>
      </c>
      <c r="Q568">
        <f>tblOrders[[#This Row],[TotalSales]]-tblOrders[[#This Row],[Calculated Sales]]</f>
        <v>0</v>
      </c>
    </row>
    <row r="569" spans="1:17" x14ac:dyDescent="0.25">
      <c r="A569">
        <v>1206</v>
      </c>
      <c r="B569">
        <v>386</v>
      </c>
      <c r="C569" t="str">
        <f>_xlfn.XLOOKUP(tblOrders[[#This Row],[CustomerID]],tblCustomers[CustomerID],tblCustomers[CustomerName],"not found")</f>
        <v>Tara Bentley</v>
      </c>
      <c r="D569">
        <f>_xlfn.XLOOKUP(tblOrders[[#This Row],[CustomerID]],tblCustomers[CustomerID],tblCustomers[Age],"not found")</f>
        <v>61</v>
      </c>
      <c r="E569" t="str">
        <f>_xlfn.XLOOKUP(tblOrders[[#This Row],[CustomerID]],tblCustomers[CustomerID],tblCustomers[Gender],"not found")</f>
        <v>Male</v>
      </c>
      <c r="F569" t="str">
        <f>_xlfn.XLOOKUP(tblOrders[[#This Row],[CustomerID]],tblCustomers[CustomerID],tblCustomers[Region],"not found")</f>
        <v>East</v>
      </c>
      <c r="G569">
        <v>1079</v>
      </c>
      <c r="H569" t="str">
        <f>_xlfn.XLOOKUP(tblOrders[[#This Row],[ProductID]],tblProducts[ProductID],tblProducts[ProductName],"not found")</f>
        <v>Clear</v>
      </c>
      <c r="I569" t="str">
        <f>_xlfn.XLOOKUP(tblOrders[[#This Row],[ProductID]],tblProducts[ProductID],tblProducts[Category],"not found")</f>
        <v>Apparel</v>
      </c>
      <c r="J569">
        <f>_xlfn.XLOOKUP(tblOrders[[#This Row],[ProductID]],tblProducts[ProductID],tblProducts[UnitPrice],"not found")</f>
        <v>230.9</v>
      </c>
      <c r="K569" t="str">
        <f>_xlfn.XLOOKUP(tblOrders[[#This Row],[ProductID]],tblProducts[ProductID],tblProducts[Supplier],"not found")</f>
        <v>Edwards, Williams and Blackwell</v>
      </c>
      <c r="L569" s="1">
        <v>45604</v>
      </c>
      <c r="M5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45604</v>
      </c>
      <c r="N569">
        <v>7</v>
      </c>
      <c r="O569">
        <v>1616.3</v>
      </c>
      <c r="P569">
        <f>tblOrders[[#This Row],[Quantity]]*tblOrders[[#This Row],[Unit Price]]</f>
        <v>1616.3</v>
      </c>
      <c r="Q569">
        <f>tblOrders[[#This Row],[TotalSales]]-tblOrders[[#This Row],[Calculated Sales]]</f>
        <v>0</v>
      </c>
    </row>
    <row r="570" spans="1:17" x14ac:dyDescent="0.25">
      <c r="A570">
        <v>1252</v>
      </c>
      <c r="B570">
        <v>875</v>
      </c>
      <c r="C570" t="str">
        <f>_xlfn.XLOOKUP(tblOrders[[#This Row],[CustomerID]],tblCustomers[CustomerID],tblCustomers[CustomerName],"not found")</f>
        <v>Jamie White</v>
      </c>
      <c r="D570">
        <f>_xlfn.XLOOKUP(tblOrders[[#This Row],[CustomerID]],tblCustomers[CustomerID],tblCustomers[Age],"not found")</f>
        <v>66</v>
      </c>
      <c r="E570" t="str">
        <f>_xlfn.XLOOKUP(tblOrders[[#This Row],[CustomerID]],tblCustomers[CustomerID],tblCustomers[Gender],"not found")</f>
        <v>Female</v>
      </c>
      <c r="F570" t="str">
        <f>_xlfn.XLOOKUP(tblOrders[[#This Row],[CustomerID]],tblCustomers[CustomerID],tblCustomers[Region],"not found")</f>
        <v>Central</v>
      </c>
      <c r="G570">
        <v>1079</v>
      </c>
      <c r="H570" t="str">
        <f>_xlfn.XLOOKUP(tblOrders[[#This Row],[ProductID]],tblProducts[ProductID],tblProducts[ProductName],"not found")</f>
        <v>Clear</v>
      </c>
      <c r="I570" t="str">
        <f>_xlfn.XLOOKUP(tblOrders[[#This Row],[ProductID]],tblProducts[ProductID],tblProducts[Category],"not found")</f>
        <v>Apparel</v>
      </c>
      <c r="J570">
        <f>_xlfn.XLOOKUP(tblOrders[[#This Row],[ProductID]],tblProducts[ProductID],tblProducts[UnitPrice],"not found")</f>
        <v>230.9</v>
      </c>
      <c r="K570" t="str">
        <f>_xlfn.XLOOKUP(tblOrders[[#This Row],[ProductID]],tblProducts[ProductID],tblProducts[Supplier],"not found")</f>
        <v>Edwards, Williams and Blackwell</v>
      </c>
      <c r="L570" s="1">
        <v>45514</v>
      </c>
      <c r="M5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45514</v>
      </c>
      <c r="N570">
        <v>6</v>
      </c>
      <c r="O570">
        <v>1385.4</v>
      </c>
      <c r="P570">
        <f>tblOrders[[#This Row],[Quantity]]*tblOrders[[#This Row],[Unit Price]]</f>
        <v>1385.4</v>
      </c>
      <c r="Q570">
        <f>tblOrders[[#This Row],[TotalSales]]-tblOrders[[#This Row],[Calculated Sales]]</f>
        <v>0</v>
      </c>
    </row>
    <row r="571" spans="1:17" x14ac:dyDescent="0.25">
      <c r="A571">
        <v>1338</v>
      </c>
      <c r="B571">
        <v>473</v>
      </c>
      <c r="C571" t="str">
        <f>_xlfn.XLOOKUP(tblOrders[[#This Row],[CustomerID]],tblCustomers[CustomerID],tblCustomers[CustomerName],"not found")</f>
        <v>Julie Griffith</v>
      </c>
      <c r="D571">
        <f>_xlfn.XLOOKUP(tblOrders[[#This Row],[CustomerID]],tblCustomers[CustomerID],tblCustomers[Age],"not found")</f>
        <v>59</v>
      </c>
      <c r="E571" t="str">
        <f>_xlfn.XLOOKUP(tblOrders[[#This Row],[CustomerID]],tblCustomers[CustomerID],tblCustomers[Gender],"not found")</f>
        <v>Female</v>
      </c>
      <c r="F571" t="str">
        <f>_xlfn.XLOOKUP(tblOrders[[#This Row],[CustomerID]],tblCustomers[CustomerID],tblCustomers[Region],"not found")</f>
        <v>South</v>
      </c>
      <c r="G571">
        <v>1079</v>
      </c>
      <c r="H571" t="str">
        <f>_xlfn.XLOOKUP(tblOrders[[#This Row],[ProductID]],tblProducts[ProductID],tblProducts[ProductName],"not found")</f>
        <v>Clear</v>
      </c>
      <c r="I571" t="str">
        <f>_xlfn.XLOOKUP(tblOrders[[#This Row],[ProductID]],tblProducts[ProductID],tblProducts[Category],"not found")</f>
        <v>Apparel</v>
      </c>
      <c r="J571">
        <f>_xlfn.XLOOKUP(tblOrders[[#This Row],[ProductID]],tblProducts[ProductID],tblProducts[UnitPrice],"not found")</f>
        <v>230.9</v>
      </c>
      <c r="K571" t="str">
        <f>_xlfn.XLOOKUP(tblOrders[[#This Row],[ProductID]],tblProducts[ProductID],tblProducts[Supplier],"not found")</f>
        <v>Edwards, Williams and Blackwell</v>
      </c>
      <c r="L571" s="1">
        <v>45538</v>
      </c>
      <c r="M5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45538</v>
      </c>
      <c r="N571">
        <v>9</v>
      </c>
      <c r="O571">
        <v>2078.1</v>
      </c>
      <c r="P571">
        <f>tblOrders[[#This Row],[Quantity]]*tblOrders[[#This Row],[Unit Price]]</f>
        <v>2078.1</v>
      </c>
      <c r="Q571">
        <f>tblOrders[[#This Row],[TotalSales]]-tblOrders[[#This Row],[Calculated Sales]]</f>
        <v>0</v>
      </c>
    </row>
    <row r="572" spans="1:17" x14ac:dyDescent="0.25">
      <c r="A572">
        <v>1434</v>
      </c>
      <c r="B572">
        <v>717</v>
      </c>
      <c r="C572" t="str">
        <f>_xlfn.XLOOKUP(tblOrders[[#This Row],[CustomerID]],tblCustomers[CustomerID],tblCustomers[CustomerName],"not found")</f>
        <v>Mary Rodriguez</v>
      </c>
      <c r="D572">
        <f>_xlfn.XLOOKUP(tblOrders[[#This Row],[CustomerID]],tblCustomers[CustomerID],tblCustomers[Age],"not found")</f>
        <v>63</v>
      </c>
      <c r="E572" t="str">
        <f>_xlfn.XLOOKUP(tblOrders[[#This Row],[CustomerID]],tblCustomers[CustomerID],tblCustomers[Gender],"not found")</f>
        <v>Male</v>
      </c>
      <c r="F572" t="str">
        <f>_xlfn.XLOOKUP(tblOrders[[#This Row],[CustomerID]],tblCustomers[CustomerID],tblCustomers[Region],"not found")</f>
        <v>South</v>
      </c>
      <c r="G572">
        <v>1079</v>
      </c>
      <c r="H572" t="str">
        <f>_xlfn.XLOOKUP(tblOrders[[#This Row],[ProductID]],tblProducts[ProductID],tblProducts[ProductName],"not found")</f>
        <v>Clear</v>
      </c>
      <c r="I572" t="str">
        <f>_xlfn.XLOOKUP(tblOrders[[#This Row],[ProductID]],tblProducts[ProductID],tblProducts[Category],"not found")</f>
        <v>Apparel</v>
      </c>
      <c r="J572">
        <f>_xlfn.XLOOKUP(tblOrders[[#This Row],[ProductID]],tblProducts[ProductID],tblProducts[UnitPrice],"not found")</f>
        <v>230.9</v>
      </c>
      <c r="K572" t="str">
        <f>_xlfn.XLOOKUP(tblOrders[[#This Row],[ProductID]],tblProducts[ProductID],tblProducts[Supplier],"not found")</f>
        <v>Edwards, Williams and Blackwell</v>
      </c>
      <c r="L572" s="1">
        <v>45507</v>
      </c>
      <c r="M5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45507</v>
      </c>
      <c r="N572">
        <v>4</v>
      </c>
      <c r="O572">
        <v>923.6</v>
      </c>
      <c r="P572">
        <f>tblOrders[[#This Row],[Quantity]]*tblOrders[[#This Row],[Unit Price]]</f>
        <v>923.6</v>
      </c>
      <c r="Q572">
        <f>tblOrders[[#This Row],[TotalSales]]-tblOrders[[#This Row],[Calculated Sales]]</f>
        <v>0</v>
      </c>
    </row>
    <row r="573" spans="1:17" x14ac:dyDescent="0.25">
      <c r="A573">
        <v>1589</v>
      </c>
      <c r="B573">
        <v>850</v>
      </c>
      <c r="C573" t="str">
        <f>_xlfn.XLOOKUP(tblOrders[[#This Row],[CustomerID]],tblCustomers[CustomerID],tblCustomers[CustomerName],"not found")</f>
        <v>Shannon Hurst</v>
      </c>
      <c r="D573">
        <f>_xlfn.XLOOKUP(tblOrders[[#This Row],[CustomerID]],tblCustomers[CustomerID],tblCustomers[Age],"not found")</f>
        <v>22</v>
      </c>
      <c r="E573" t="str">
        <f>_xlfn.XLOOKUP(tblOrders[[#This Row],[CustomerID]],tblCustomers[CustomerID],tblCustomers[Gender],"not found")</f>
        <v>Female</v>
      </c>
      <c r="F573" t="str">
        <f>_xlfn.XLOOKUP(tblOrders[[#This Row],[CustomerID]],tblCustomers[CustomerID],tblCustomers[Region],"not found")</f>
        <v>Central</v>
      </c>
      <c r="G573">
        <v>1079</v>
      </c>
      <c r="H573" t="str">
        <f>_xlfn.XLOOKUP(tblOrders[[#This Row],[ProductID]],tblProducts[ProductID],tblProducts[ProductName],"not found")</f>
        <v>Clear</v>
      </c>
      <c r="I573" t="str">
        <f>_xlfn.XLOOKUP(tblOrders[[#This Row],[ProductID]],tblProducts[ProductID],tblProducts[Category],"not found")</f>
        <v>Apparel</v>
      </c>
      <c r="J573">
        <f>_xlfn.XLOOKUP(tblOrders[[#This Row],[ProductID]],tblProducts[ProductID],tblProducts[UnitPrice],"not found")</f>
        <v>230.9</v>
      </c>
      <c r="K573" t="str">
        <f>_xlfn.XLOOKUP(tblOrders[[#This Row],[ProductID]],tblProducts[ProductID],tblProducts[Supplier],"not found")</f>
        <v>Edwards, Williams and Blackwell</v>
      </c>
      <c r="L573" s="1">
        <v>45181</v>
      </c>
      <c r="M5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45181</v>
      </c>
      <c r="N573">
        <v>5</v>
      </c>
      <c r="O573">
        <v>1154.5</v>
      </c>
      <c r="P573">
        <f>tblOrders[[#This Row],[Quantity]]*tblOrders[[#This Row],[Unit Price]]</f>
        <v>1154.5</v>
      </c>
      <c r="Q573">
        <f>tblOrders[[#This Row],[TotalSales]]-tblOrders[[#This Row],[Calculated Sales]]</f>
        <v>0</v>
      </c>
    </row>
    <row r="574" spans="1:17" x14ac:dyDescent="0.25">
      <c r="A574">
        <v>1674</v>
      </c>
      <c r="B574">
        <v>924</v>
      </c>
      <c r="C574" t="str">
        <f>_xlfn.XLOOKUP(tblOrders[[#This Row],[CustomerID]],tblCustomers[CustomerID],tblCustomers[CustomerName],"not found")</f>
        <v>Morgan Hunt</v>
      </c>
      <c r="D574">
        <f>_xlfn.XLOOKUP(tblOrders[[#This Row],[CustomerID]],tblCustomers[CustomerID],tblCustomers[Age],"not found")</f>
        <v>39</v>
      </c>
      <c r="E574" t="str">
        <f>_xlfn.XLOOKUP(tblOrders[[#This Row],[CustomerID]],tblCustomers[CustomerID],tblCustomers[Gender],"not found")</f>
        <v>Male</v>
      </c>
      <c r="F574" t="str">
        <f>_xlfn.XLOOKUP(tblOrders[[#This Row],[CustomerID]],tblCustomers[CustomerID],tblCustomers[Region],"not found")</f>
        <v>Central</v>
      </c>
      <c r="G574">
        <v>1079</v>
      </c>
      <c r="H574" t="str">
        <f>_xlfn.XLOOKUP(tblOrders[[#This Row],[ProductID]],tblProducts[ProductID],tblProducts[ProductName],"not found")</f>
        <v>Clear</v>
      </c>
      <c r="I574" t="str">
        <f>_xlfn.XLOOKUP(tblOrders[[#This Row],[ProductID]],tblProducts[ProductID],tblProducts[Category],"not found")</f>
        <v>Apparel</v>
      </c>
      <c r="J574">
        <f>_xlfn.XLOOKUP(tblOrders[[#This Row],[ProductID]],tblProducts[ProductID],tblProducts[UnitPrice],"not found")</f>
        <v>230.9</v>
      </c>
      <c r="K574" t="str">
        <f>_xlfn.XLOOKUP(tblOrders[[#This Row],[ProductID]],tblProducts[ProductID],tblProducts[Supplier],"not found")</f>
        <v>Edwards, Williams and Blackwell</v>
      </c>
      <c r="L574" s="1">
        <v>45513</v>
      </c>
      <c r="M5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45513</v>
      </c>
      <c r="N574">
        <v>9</v>
      </c>
      <c r="O574">
        <v>2078.1</v>
      </c>
      <c r="P574">
        <f>tblOrders[[#This Row],[Quantity]]*tblOrders[[#This Row],[Unit Price]]</f>
        <v>2078.1</v>
      </c>
      <c r="Q574">
        <f>tblOrders[[#This Row],[TotalSales]]-tblOrders[[#This Row],[Calculated Sales]]</f>
        <v>0</v>
      </c>
    </row>
    <row r="575" spans="1:17" x14ac:dyDescent="0.25">
      <c r="A575">
        <v>1724</v>
      </c>
      <c r="B575">
        <v>560</v>
      </c>
      <c r="C575" t="str">
        <f>_xlfn.XLOOKUP(tblOrders[[#This Row],[CustomerID]],tblCustomers[CustomerID],tblCustomers[CustomerName],"not found")</f>
        <v>Rose Lopez</v>
      </c>
      <c r="D575">
        <f>_xlfn.XLOOKUP(tblOrders[[#This Row],[CustomerID]],tblCustomers[CustomerID],tblCustomers[Age],"not found")</f>
        <v>21</v>
      </c>
      <c r="E575" t="str">
        <f>_xlfn.XLOOKUP(tblOrders[[#This Row],[CustomerID]],tblCustomers[CustomerID],tblCustomers[Gender],"not found")</f>
        <v>Male</v>
      </c>
      <c r="F575" t="str">
        <f>_xlfn.XLOOKUP(tblOrders[[#This Row],[CustomerID]],tblCustomers[CustomerID],tblCustomers[Region],"not found")</f>
        <v>East</v>
      </c>
      <c r="G575">
        <v>1079</v>
      </c>
      <c r="H575" t="str">
        <f>_xlfn.XLOOKUP(tblOrders[[#This Row],[ProductID]],tblProducts[ProductID],tblProducts[ProductName],"not found")</f>
        <v>Clear</v>
      </c>
      <c r="I575" t="str">
        <f>_xlfn.XLOOKUP(tblOrders[[#This Row],[ProductID]],tblProducts[ProductID],tblProducts[Category],"not found")</f>
        <v>Apparel</v>
      </c>
      <c r="J575">
        <f>_xlfn.XLOOKUP(tblOrders[[#This Row],[ProductID]],tblProducts[ProductID],tblProducts[UnitPrice],"not found")</f>
        <v>230.9</v>
      </c>
      <c r="K575" t="str">
        <f>_xlfn.XLOOKUP(tblOrders[[#This Row],[ProductID]],tblProducts[ProductID],tblProducts[Supplier],"not found")</f>
        <v>Edwards, Williams and Blackwell</v>
      </c>
      <c r="L575" s="1" t="s">
        <v>2147</v>
      </c>
      <c r="M5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575">
        <v>2</v>
      </c>
      <c r="O575">
        <v>461.8</v>
      </c>
      <c r="P575">
        <f>tblOrders[[#This Row],[Quantity]]*tblOrders[[#This Row],[Unit Price]]</f>
        <v>461.8</v>
      </c>
      <c r="Q575">
        <f>tblOrders[[#This Row],[TotalSales]]-tblOrders[[#This Row],[Calculated Sales]]</f>
        <v>0</v>
      </c>
    </row>
    <row r="576" spans="1:17" x14ac:dyDescent="0.25">
      <c r="A576">
        <v>29</v>
      </c>
      <c r="B576">
        <v>35</v>
      </c>
      <c r="C576" t="str">
        <f>_xlfn.XLOOKUP(tblOrders[[#This Row],[CustomerID]],tblCustomers[CustomerID],tblCustomers[CustomerName],"not found")</f>
        <v>John Hubbard</v>
      </c>
      <c r="D576">
        <f>_xlfn.XLOOKUP(tblOrders[[#This Row],[CustomerID]],tblCustomers[CustomerID],tblCustomers[Age],"not found")</f>
        <v>63</v>
      </c>
      <c r="E576" t="str">
        <f>_xlfn.XLOOKUP(tblOrders[[#This Row],[CustomerID]],tblCustomers[CustomerID],tblCustomers[Gender],"not found")</f>
        <v>Female</v>
      </c>
      <c r="F576" t="str">
        <f>_xlfn.XLOOKUP(tblOrders[[#This Row],[CustomerID]],tblCustomers[CustomerID],tblCustomers[Region],"not found")</f>
        <v>South</v>
      </c>
      <c r="G576">
        <v>1028</v>
      </c>
      <c r="H576" t="str">
        <f>_xlfn.XLOOKUP(tblOrders[[#This Row],[ProductID]],tblProducts[ProductID],tblProducts[ProductName],"not found")</f>
        <v>Charge</v>
      </c>
      <c r="I576" t="str">
        <f>_xlfn.XLOOKUP(tblOrders[[#This Row],[ProductID]],tblProducts[ProductID],tblProducts[Category],"not found")</f>
        <v>Toys</v>
      </c>
      <c r="J576">
        <f>_xlfn.XLOOKUP(tblOrders[[#This Row],[ProductID]],tblProducts[ProductID],tblProducts[UnitPrice],"not found")</f>
        <v>174.79</v>
      </c>
      <c r="K576" t="str">
        <f>_xlfn.XLOOKUP(tblOrders[[#This Row],[ProductID]],tblProducts[ProductID],tblProducts[Supplier],"not found")</f>
        <v>Murray, Burns and Martinez</v>
      </c>
      <c r="L576" s="1" t="s">
        <v>2155</v>
      </c>
      <c r="M5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45584</v>
      </c>
      <c r="N576">
        <v>5</v>
      </c>
      <c r="O576">
        <v>873.95</v>
      </c>
      <c r="P576">
        <f>tblOrders[[#This Row],[Quantity]]*tblOrders[[#This Row],[Unit Price]]</f>
        <v>873.94999999999993</v>
      </c>
      <c r="Q576">
        <f>tblOrders[[#This Row],[TotalSales]]-tblOrders[[#This Row],[Calculated Sales]]</f>
        <v>0</v>
      </c>
    </row>
    <row r="577" spans="1:17" x14ac:dyDescent="0.25">
      <c r="A577">
        <v>60</v>
      </c>
      <c r="B577">
        <v>625</v>
      </c>
      <c r="C577" t="str">
        <f>_xlfn.XLOOKUP(tblOrders[[#This Row],[CustomerID]],tblCustomers[CustomerID],tblCustomers[CustomerName],"not found")</f>
        <v>Michael Whitehead</v>
      </c>
      <c r="D577">
        <f>_xlfn.XLOOKUP(tblOrders[[#This Row],[CustomerID]],tblCustomers[CustomerID],tblCustomers[Age],"not found")</f>
        <v>22</v>
      </c>
      <c r="E577" t="str">
        <f>_xlfn.XLOOKUP(tblOrders[[#This Row],[CustomerID]],tblCustomers[CustomerID],tblCustomers[Gender],"not found")</f>
        <v>Male</v>
      </c>
      <c r="F577" t="str">
        <f>_xlfn.XLOOKUP(tblOrders[[#This Row],[CustomerID]],tblCustomers[CustomerID],tblCustomers[Region],"not found")</f>
        <v>North</v>
      </c>
      <c r="G577">
        <v>1028</v>
      </c>
      <c r="H577" t="str">
        <f>_xlfn.XLOOKUP(tblOrders[[#This Row],[ProductID]],tblProducts[ProductID],tblProducts[ProductName],"not found")</f>
        <v>Charge</v>
      </c>
      <c r="I577" t="str">
        <f>_xlfn.XLOOKUP(tblOrders[[#This Row],[ProductID]],tblProducts[ProductID],tblProducts[Category],"not found")</f>
        <v>Toys</v>
      </c>
      <c r="J577">
        <f>_xlfn.XLOOKUP(tblOrders[[#This Row],[ProductID]],tblProducts[ProductID],tblProducts[UnitPrice],"not found")</f>
        <v>174.79</v>
      </c>
      <c r="K577" t="str">
        <f>_xlfn.XLOOKUP(tblOrders[[#This Row],[ProductID]],tblProducts[ProductID],tblProducts[Supplier],"not found")</f>
        <v>Murray, Burns and Martinez</v>
      </c>
      <c r="L577" s="1">
        <v>45084</v>
      </c>
      <c r="M5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45084</v>
      </c>
      <c r="N577">
        <v>3</v>
      </c>
      <c r="O577">
        <v>524.37</v>
      </c>
      <c r="P577">
        <f>tblOrders[[#This Row],[Quantity]]*tblOrders[[#This Row],[Unit Price]]</f>
        <v>524.37</v>
      </c>
      <c r="Q577">
        <f>tblOrders[[#This Row],[TotalSales]]-tblOrders[[#This Row],[Calculated Sales]]</f>
        <v>0</v>
      </c>
    </row>
    <row r="578" spans="1:17" x14ac:dyDescent="0.25">
      <c r="A578">
        <v>93</v>
      </c>
      <c r="B578">
        <v>224</v>
      </c>
      <c r="C578" t="str">
        <f>_xlfn.XLOOKUP(tblOrders[[#This Row],[CustomerID]],tblCustomers[CustomerID],tblCustomers[CustomerName],"not found")</f>
        <v>Logan Price</v>
      </c>
      <c r="D578">
        <f>_xlfn.XLOOKUP(tblOrders[[#This Row],[CustomerID]],tblCustomers[CustomerID],tblCustomers[Age],"not found")</f>
        <v>52</v>
      </c>
      <c r="E578" t="str">
        <f>_xlfn.XLOOKUP(tblOrders[[#This Row],[CustomerID]],tblCustomers[CustomerID],tblCustomers[Gender],"not found")</f>
        <v>Female</v>
      </c>
      <c r="F578" t="str">
        <f>_xlfn.XLOOKUP(tblOrders[[#This Row],[CustomerID]],tblCustomers[CustomerID],tblCustomers[Region],"not found")</f>
        <v>Central</v>
      </c>
      <c r="G578">
        <v>1028</v>
      </c>
      <c r="H578" t="str">
        <f>_xlfn.XLOOKUP(tblOrders[[#This Row],[ProductID]],tblProducts[ProductID],tblProducts[ProductName],"not found")</f>
        <v>Charge</v>
      </c>
      <c r="I578" t="str">
        <f>_xlfn.XLOOKUP(tblOrders[[#This Row],[ProductID]],tblProducts[ProductID],tblProducts[Category],"not found")</f>
        <v>Toys</v>
      </c>
      <c r="J578">
        <f>_xlfn.XLOOKUP(tblOrders[[#This Row],[ProductID]],tblProducts[ProductID],tblProducts[UnitPrice],"not found")</f>
        <v>174.79</v>
      </c>
      <c r="K578" t="str">
        <f>_xlfn.XLOOKUP(tblOrders[[#This Row],[ProductID]],tblProducts[ProductID],tblProducts[Supplier],"not found")</f>
        <v>Murray, Burns and Martinez</v>
      </c>
      <c r="L578" s="1" t="s">
        <v>2032</v>
      </c>
      <c r="M5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45497</v>
      </c>
      <c r="N578">
        <v>8</v>
      </c>
      <c r="O578">
        <v>1398.32</v>
      </c>
      <c r="P578">
        <f>tblOrders[[#This Row],[Quantity]]*tblOrders[[#This Row],[Unit Price]]</f>
        <v>1398.32</v>
      </c>
      <c r="Q578">
        <f>tblOrders[[#This Row],[TotalSales]]-tblOrders[[#This Row],[Calculated Sales]]</f>
        <v>0</v>
      </c>
    </row>
    <row r="579" spans="1:17" x14ac:dyDescent="0.25">
      <c r="A579">
        <v>447</v>
      </c>
      <c r="B579">
        <v>45</v>
      </c>
      <c r="C579" t="str">
        <f>_xlfn.XLOOKUP(tblOrders[[#This Row],[CustomerID]],tblCustomers[CustomerID],tblCustomers[CustomerName],"not found")</f>
        <v>William Morris</v>
      </c>
      <c r="D579">
        <f>_xlfn.XLOOKUP(tblOrders[[#This Row],[CustomerID]],tblCustomers[CustomerID],tblCustomers[Age],"not found")</f>
        <v>51</v>
      </c>
      <c r="E579" t="str">
        <f>_xlfn.XLOOKUP(tblOrders[[#This Row],[CustomerID]],tblCustomers[CustomerID],tblCustomers[Gender],"not found")</f>
        <v>Female</v>
      </c>
      <c r="F579" t="str">
        <f>_xlfn.XLOOKUP(tblOrders[[#This Row],[CustomerID]],tblCustomers[CustomerID],tblCustomers[Region],"not found")</f>
        <v>North</v>
      </c>
      <c r="G579">
        <v>1028</v>
      </c>
      <c r="H579" t="str">
        <f>_xlfn.XLOOKUP(tblOrders[[#This Row],[ProductID]],tblProducts[ProductID],tblProducts[ProductName],"not found")</f>
        <v>Charge</v>
      </c>
      <c r="I579" t="str">
        <f>_xlfn.XLOOKUP(tblOrders[[#This Row],[ProductID]],tblProducts[ProductID],tblProducts[Category],"not found")</f>
        <v>Toys</v>
      </c>
      <c r="J579">
        <f>_xlfn.XLOOKUP(tblOrders[[#This Row],[ProductID]],tblProducts[ProductID],tblProducts[UnitPrice],"not found")</f>
        <v>174.79</v>
      </c>
      <c r="K579" t="str">
        <f>_xlfn.XLOOKUP(tblOrders[[#This Row],[ProductID]],tblProducts[ProductID],tblProducts[Supplier],"not found")</f>
        <v>Murray, Burns and Martinez</v>
      </c>
      <c r="L579" s="1" t="s">
        <v>2201</v>
      </c>
      <c r="M5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44892</v>
      </c>
      <c r="N579">
        <v>4</v>
      </c>
      <c r="O579">
        <v>699.16</v>
      </c>
      <c r="P579">
        <f>tblOrders[[#This Row],[Quantity]]*tblOrders[[#This Row],[Unit Price]]</f>
        <v>699.16</v>
      </c>
      <c r="Q579">
        <f>tblOrders[[#This Row],[TotalSales]]-tblOrders[[#This Row],[Calculated Sales]]</f>
        <v>0</v>
      </c>
    </row>
    <row r="580" spans="1:17" x14ac:dyDescent="0.25">
      <c r="A580">
        <v>579</v>
      </c>
      <c r="B580">
        <v>574</v>
      </c>
      <c r="C580" t="str">
        <f>_xlfn.XLOOKUP(tblOrders[[#This Row],[CustomerID]],tblCustomers[CustomerID],tblCustomers[CustomerName],"not found")</f>
        <v>Emily Frazier</v>
      </c>
      <c r="D580">
        <f>_xlfn.XLOOKUP(tblOrders[[#This Row],[CustomerID]],tblCustomers[CustomerID],tblCustomers[Age],"not found")</f>
        <v>59</v>
      </c>
      <c r="E580" t="str">
        <f>_xlfn.XLOOKUP(tblOrders[[#This Row],[CustomerID]],tblCustomers[CustomerID],tblCustomers[Gender],"not found")</f>
        <v>Male</v>
      </c>
      <c r="F580" t="str">
        <f>_xlfn.XLOOKUP(tblOrders[[#This Row],[CustomerID]],tblCustomers[CustomerID],tblCustomers[Region],"not found")</f>
        <v>East</v>
      </c>
      <c r="G580">
        <v>1028</v>
      </c>
      <c r="H580" t="str">
        <f>_xlfn.XLOOKUP(tblOrders[[#This Row],[ProductID]],tblProducts[ProductID],tblProducts[ProductName],"not found")</f>
        <v>Charge</v>
      </c>
      <c r="I580" t="str">
        <f>_xlfn.XLOOKUP(tblOrders[[#This Row],[ProductID]],tblProducts[ProductID],tblProducts[Category],"not found")</f>
        <v>Toys</v>
      </c>
      <c r="J580">
        <f>_xlfn.XLOOKUP(tblOrders[[#This Row],[ProductID]],tblProducts[ProductID],tblProducts[UnitPrice],"not found")</f>
        <v>174.79</v>
      </c>
      <c r="K580" t="str">
        <f>_xlfn.XLOOKUP(tblOrders[[#This Row],[ProductID]],tblProducts[ProductID],tblProducts[Supplier],"not found")</f>
        <v>Murray, Burns and Martinez</v>
      </c>
      <c r="L580" s="1" t="s">
        <v>2252</v>
      </c>
      <c r="M5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44977</v>
      </c>
      <c r="N580">
        <v>2</v>
      </c>
      <c r="O580">
        <v>349.58</v>
      </c>
      <c r="P580">
        <f>tblOrders[[#This Row],[Quantity]]*tblOrders[[#This Row],[Unit Price]]</f>
        <v>349.58</v>
      </c>
      <c r="Q580">
        <f>tblOrders[[#This Row],[TotalSales]]-tblOrders[[#This Row],[Calculated Sales]]</f>
        <v>0</v>
      </c>
    </row>
    <row r="581" spans="1:17" x14ac:dyDescent="0.25">
      <c r="A581">
        <v>698</v>
      </c>
      <c r="B581">
        <v>900</v>
      </c>
      <c r="C581" t="str">
        <f>_xlfn.XLOOKUP(tblOrders[[#This Row],[CustomerID]],tblCustomers[CustomerID],tblCustomers[CustomerName],"not found")</f>
        <v>John White</v>
      </c>
      <c r="D581">
        <f>_xlfn.XLOOKUP(tblOrders[[#This Row],[CustomerID]],tblCustomers[CustomerID],tblCustomers[Age],"not found")</f>
        <v>51</v>
      </c>
      <c r="E581" t="str">
        <f>_xlfn.XLOOKUP(tblOrders[[#This Row],[CustomerID]],tblCustomers[CustomerID],tblCustomers[Gender],"not found")</f>
        <v>Female</v>
      </c>
      <c r="F581" t="str">
        <f>_xlfn.XLOOKUP(tblOrders[[#This Row],[CustomerID]],tblCustomers[CustomerID],tblCustomers[Region],"not found")</f>
        <v>West</v>
      </c>
      <c r="G581">
        <v>1028</v>
      </c>
      <c r="H581" t="str">
        <f>_xlfn.XLOOKUP(tblOrders[[#This Row],[ProductID]],tblProducts[ProductID],tblProducts[ProductName],"not found")</f>
        <v>Charge</v>
      </c>
      <c r="I581" t="str">
        <f>_xlfn.XLOOKUP(tblOrders[[#This Row],[ProductID]],tblProducts[ProductID],tblProducts[Category],"not found")</f>
        <v>Toys</v>
      </c>
      <c r="J581">
        <f>_xlfn.XLOOKUP(tblOrders[[#This Row],[ProductID]],tblProducts[ProductID],tblProducts[UnitPrice],"not found")</f>
        <v>174.79</v>
      </c>
      <c r="K581" t="str">
        <f>_xlfn.XLOOKUP(tblOrders[[#This Row],[ProductID]],tblProducts[ProductID],tblProducts[Supplier],"not found")</f>
        <v>Murray, Burns and Martinez</v>
      </c>
      <c r="L581" s="1" t="s">
        <v>2253</v>
      </c>
      <c r="M5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45007</v>
      </c>
      <c r="N581">
        <v>5</v>
      </c>
      <c r="O581">
        <v>873.95</v>
      </c>
      <c r="P581">
        <f>tblOrders[[#This Row],[Quantity]]*tblOrders[[#This Row],[Unit Price]]</f>
        <v>873.94999999999993</v>
      </c>
      <c r="Q581">
        <f>tblOrders[[#This Row],[TotalSales]]-tblOrders[[#This Row],[Calculated Sales]]</f>
        <v>0</v>
      </c>
    </row>
    <row r="582" spans="1:17" x14ac:dyDescent="0.25">
      <c r="A582">
        <v>1156</v>
      </c>
      <c r="B582">
        <v>840</v>
      </c>
      <c r="C582" t="str">
        <f>_xlfn.XLOOKUP(tblOrders[[#This Row],[CustomerID]],tblCustomers[CustomerID],tblCustomers[CustomerName],"not found")</f>
        <v>Alicia Martinez</v>
      </c>
      <c r="D582">
        <f>_xlfn.XLOOKUP(tblOrders[[#This Row],[CustomerID]],tblCustomers[CustomerID],tblCustomers[Age],"not found")</f>
        <v>63</v>
      </c>
      <c r="E582" t="str">
        <f>_xlfn.XLOOKUP(tblOrders[[#This Row],[CustomerID]],tblCustomers[CustomerID],tblCustomers[Gender],"not found")</f>
        <v>Male</v>
      </c>
      <c r="F582" t="str">
        <f>_xlfn.XLOOKUP(tblOrders[[#This Row],[CustomerID]],tblCustomers[CustomerID],tblCustomers[Region],"not found")</f>
        <v>North</v>
      </c>
      <c r="G582">
        <v>1028</v>
      </c>
      <c r="H582" t="str">
        <f>_xlfn.XLOOKUP(tblOrders[[#This Row],[ProductID]],tblProducts[ProductID],tblProducts[ProductName],"not found")</f>
        <v>Charge</v>
      </c>
      <c r="I582" t="str">
        <f>_xlfn.XLOOKUP(tblOrders[[#This Row],[ProductID]],tblProducts[ProductID],tblProducts[Category],"not found")</f>
        <v>Toys</v>
      </c>
      <c r="J582">
        <f>_xlfn.XLOOKUP(tblOrders[[#This Row],[ProductID]],tblProducts[ProductID],tblProducts[UnitPrice],"not found")</f>
        <v>174.79</v>
      </c>
      <c r="K582" t="str">
        <f>_xlfn.XLOOKUP(tblOrders[[#This Row],[ProductID]],tblProducts[ProductID],tblProducts[Supplier],"not found")</f>
        <v>Murray, Burns and Martinez</v>
      </c>
      <c r="L582" s="1">
        <v>45078</v>
      </c>
      <c r="M5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45078</v>
      </c>
      <c r="N582">
        <v>1</v>
      </c>
      <c r="O582">
        <v>174.79</v>
      </c>
      <c r="P582">
        <f>tblOrders[[#This Row],[Quantity]]*tblOrders[[#This Row],[Unit Price]]</f>
        <v>174.79</v>
      </c>
      <c r="Q582">
        <f>tblOrders[[#This Row],[TotalSales]]-tblOrders[[#This Row],[Calculated Sales]]</f>
        <v>0</v>
      </c>
    </row>
    <row r="583" spans="1:17" x14ac:dyDescent="0.25">
      <c r="A583">
        <v>1176</v>
      </c>
      <c r="B583">
        <v>465</v>
      </c>
      <c r="C583" t="str">
        <f>_xlfn.XLOOKUP(tblOrders[[#This Row],[CustomerID]],tblCustomers[CustomerID],tblCustomers[CustomerName],"not found")</f>
        <v>Jeffrey Strickland</v>
      </c>
      <c r="D583">
        <f>_xlfn.XLOOKUP(tblOrders[[#This Row],[CustomerID]],tblCustomers[CustomerID],tblCustomers[Age],"not found")</f>
        <v>69</v>
      </c>
      <c r="E583" t="str">
        <f>_xlfn.XLOOKUP(tblOrders[[#This Row],[CustomerID]],tblCustomers[CustomerID],tblCustomers[Gender],"not found")</f>
        <v>Female</v>
      </c>
      <c r="F583" t="str">
        <f>_xlfn.XLOOKUP(tblOrders[[#This Row],[CustomerID]],tblCustomers[CustomerID],tblCustomers[Region],"not found")</f>
        <v>West</v>
      </c>
      <c r="G583">
        <v>1028</v>
      </c>
      <c r="H583" t="str">
        <f>_xlfn.XLOOKUP(tblOrders[[#This Row],[ProductID]],tblProducts[ProductID],tblProducts[ProductName],"not found")</f>
        <v>Charge</v>
      </c>
      <c r="I583" t="str">
        <f>_xlfn.XLOOKUP(tblOrders[[#This Row],[ProductID]],tblProducts[ProductID],tblProducts[Category],"not found")</f>
        <v>Toys</v>
      </c>
      <c r="J583">
        <f>_xlfn.XLOOKUP(tblOrders[[#This Row],[ProductID]],tblProducts[ProductID],tblProducts[UnitPrice],"not found")</f>
        <v>174.79</v>
      </c>
      <c r="K583" t="str">
        <f>_xlfn.XLOOKUP(tblOrders[[#This Row],[ProductID]],tblProducts[ProductID],tblProducts[Supplier],"not found")</f>
        <v>Murray, Burns and Martinez</v>
      </c>
      <c r="L583" s="1" t="s">
        <v>2254</v>
      </c>
      <c r="M5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45579</v>
      </c>
      <c r="N583">
        <v>3</v>
      </c>
      <c r="O583">
        <v>524.37</v>
      </c>
      <c r="P583">
        <f>tblOrders[[#This Row],[Quantity]]*tblOrders[[#This Row],[Unit Price]]</f>
        <v>524.37</v>
      </c>
      <c r="Q583">
        <f>tblOrders[[#This Row],[TotalSales]]-tblOrders[[#This Row],[Calculated Sales]]</f>
        <v>0</v>
      </c>
    </row>
    <row r="584" spans="1:17" x14ac:dyDescent="0.25">
      <c r="A584">
        <v>1209</v>
      </c>
      <c r="B584">
        <v>607</v>
      </c>
      <c r="C584" t="str">
        <f>_xlfn.XLOOKUP(tblOrders[[#This Row],[CustomerID]],tblCustomers[CustomerID],tblCustomers[CustomerName],"not found")</f>
        <v>Benjamin Farrell</v>
      </c>
      <c r="D584">
        <f>_xlfn.XLOOKUP(tblOrders[[#This Row],[CustomerID]],tblCustomers[CustomerID],tblCustomers[Age],"not found")</f>
        <v>38</v>
      </c>
      <c r="E584" t="str">
        <f>_xlfn.XLOOKUP(tblOrders[[#This Row],[CustomerID]],tblCustomers[CustomerID],tblCustomers[Gender],"not found")</f>
        <v>Male</v>
      </c>
      <c r="F584" t="str">
        <f>_xlfn.XLOOKUP(tblOrders[[#This Row],[CustomerID]],tblCustomers[CustomerID],tblCustomers[Region],"not found")</f>
        <v>East</v>
      </c>
      <c r="G584">
        <v>1028</v>
      </c>
      <c r="H584" t="str">
        <f>_xlfn.XLOOKUP(tblOrders[[#This Row],[ProductID]],tblProducts[ProductID],tblProducts[ProductName],"not found")</f>
        <v>Charge</v>
      </c>
      <c r="I584" t="str">
        <f>_xlfn.XLOOKUP(tblOrders[[#This Row],[ProductID]],tblProducts[ProductID],tblProducts[Category],"not found")</f>
        <v>Toys</v>
      </c>
      <c r="J584">
        <f>_xlfn.XLOOKUP(tblOrders[[#This Row],[ProductID]],tblProducts[ProductID],tblProducts[UnitPrice],"not found")</f>
        <v>174.79</v>
      </c>
      <c r="K584" t="str">
        <f>_xlfn.XLOOKUP(tblOrders[[#This Row],[ProductID]],tblProducts[ProductID],tblProducts[Supplier],"not found")</f>
        <v>Murray, Burns and Martinez</v>
      </c>
      <c r="L584" s="1" t="s">
        <v>2084</v>
      </c>
      <c r="M5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45460</v>
      </c>
      <c r="N584">
        <v>9</v>
      </c>
      <c r="O584">
        <v>1573.11</v>
      </c>
      <c r="P584">
        <f>tblOrders[[#This Row],[Quantity]]*tblOrders[[#This Row],[Unit Price]]</f>
        <v>1573.11</v>
      </c>
      <c r="Q584">
        <f>tblOrders[[#This Row],[TotalSales]]-tblOrders[[#This Row],[Calculated Sales]]</f>
        <v>0</v>
      </c>
    </row>
    <row r="585" spans="1:17" x14ac:dyDescent="0.25">
      <c r="A585">
        <v>1253</v>
      </c>
      <c r="B585">
        <v>424</v>
      </c>
      <c r="C585" t="str">
        <f>_xlfn.XLOOKUP(tblOrders[[#This Row],[CustomerID]],tblCustomers[CustomerID],tblCustomers[CustomerName],"not found")</f>
        <v>Thomas Sanchez</v>
      </c>
      <c r="D585">
        <f>_xlfn.XLOOKUP(tblOrders[[#This Row],[CustomerID]],tblCustomers[CustomerID],tblCustomers[Age],"not found")</f>
        <v>27</v>
      </c>
      <c r="E585" t="str">
        <f>_xlfn.XLOOKUP(tblOrders[[#This Row],[CustomerID]],tblCustomers[CustomerID],tblCustomers[Gender],"not found")</f>
        <v>Male</v>
      </c>
      <c r="F585" t="str">
        <f>_xlfn.XLOOKUP(tblOrders[[#This Row],[CustomerID]],tblCustomers[CustomerID],tblCustomers[Region],"not found")</f>
        <v>South</v>
      </c>
      <c r="G585">
        <v>1028</v>
      </c>
      <c r="H585" t="str">
        <f>_xlfn.XLOOKUP(tblOrders[[#This Row],[ProductID]],tblProducts[ProductID],tblProducts[ProductName],"not found")</f>
        <v>Charge</v>
      </c>
      <c r="I585" t="str">
        <f>_xlfn.XLOOKUP(tblOrders[[#This Row],[ProductID]],tblProducts[ProductID],tblProducts[Category],"not found")</f>
        <v>Toys</v>
      </c>
      <c r="J585">
        <f>_xlfn.XLOOKUP(tblOrders[[#This Row],[ProductID]],tblProducts[ProductID],tblProducts[UnitPrice],"not found")</f>
        <v>174.79</v>
      </c>
      <c r="K585" t="str">
        <f>_xlfn.XLOOKUP(tblOrders[[#This Row],[ProductID]],tblProducts[ProductID],tblProducts[Supplier],"not found")</f>
        <v>Murray, Burns and Martinez</v>
      </c>
      <c r="L585" s="1">
        <v>45446</v>
      </c>
      <c r="M5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45446</v>
      </c>
      <c r="N585">
        <v>1</v>
      </c>
      <c r="O585">
        <v>174.79</v>
      </c>
      <c r="P585">
        <f>tblOrders[[#This Row],[Quantity]]*tblOrders[[#This Row],[Unit Price]]</f>
        <v>174.79</v>
      </c>
      <c r="Q585">
        <f>tblOrders[[#This Row],[TotalSales]]-tblOrders[[#This Row],[Calculated Sales]]</f>
        <v>0</v>
      </c>
    </row>
    <row r="586" spans="1:17" x14ac:dyDescent="0.25">
      <c r="A586">
        <v>1382</v>
      </c>
      <c r="B586">
        <v>899</v>
      </c>
      <c r="C586" t="str">
        <f>_xlfn.XLOOKUP(tblOrders[[#This Row],[CustomerID]],tblCustomers[CustomerID],tblCustomers[CustomerName],"not found")</f>
        <v>David Sosa</v>
      </c>
      <c r="D586">
        <f>_xlfn.XLOOKUP(tblOrders[[#This Row],[CustomerID]],tblCustomers[CustomerID],tblCustomers[Age],"not found")</f>
        <v>47</v>
      </c>
      <c r="E586" t="str">
        <f>_xlfn.XLOOKUP(tblOrders[[#This Row],[CustomerID]],tblCustomers[CustomerID],tblCustomers[Gender],"not found")</f>
        <v>Female</v>
      </c>
      <c r="F586" t="str">
        <f>_xlfn.XLOOKUP(tblOrders[[#This Row],[CustomerID]],tblCustomers[CustomerID],tblCustomers[Region],"not found")</f>
        <v>North</v>
      </c>
      <c r="G586">
        <v>1028</v>
      </c>
      <c r="H586" t="str">
        <f>_xlfn.XLOOKUP(tblOrders[[#This Row],[ProductID]],tblProducts[ProductID],tblProducts[ProductName],"not found")</f>
        <v>Charge</v>
      </c>
      <c r="I586" t="str">
        <f>_xlfn.XLOOKUP(tblOrders[[#This Row],[ProductID]],tblProducts[ProductID],tblProducts[Category],"not found")</f>
        <v>Toys</v>
      </c>
      <c r="J586">
        <f>_xlfn.XLOOKUP(tblOrders[[#This Row],[ProductID]],tblProducts[ProductID],tblProducts[UnitPrice],"not found")</f>
        <v>174.79</v>
      </c>
      <c r="K586" t="str">
        <f>_xlfn.XLOOKUP(tblOrders[[#This Row],[ProductID]],tblProducts[ProductID],tblProducts[Supplier],"not found")</f>
        <v>Murray, Burns and Martinez</v>
      </c>
      <c r="L586" s="1">
        <v>45208</v>
      </c>
      <c r="M5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45208</v>
      </c>
      <c r="N586">
        <v>9</v>
      </c>
      <c r="O586">
        <v>1573.11</v>
      </c>
      <c r="P586">
        <f>tblOrders[[#This Row],[Quantity]]*tblOrders[[#This Row],[Unit Price]]</f>
        <v>1573.11</v>
      </c>
      <c r="Q586">
        <f>tblOrders[[#This Row],[TotalSales]]-tblOrders[[#This Row],[Calculated Sales]]</f>
        <v>0</v>
      </c>
    </row>
    <row r="587" spans="1:17" x14ac:dyDescent="0.25">
      <c r="A587">
        <v>1779</v>
      </c>
      <c r="B587">
        <v>135</v>
      </c>
      <c r="C587" t="str">
        <f>_xlfn.XLOOKUP(tblOrders[[#This Row],[CustomerID]],tblCustomers[CustomerID],tblCustomers[CustomerName],"not found")</f>
        <v>Rita King</v>
      </c>
      <c r="D587">
        <f>_xlfn.XLOOKUP(tblOrders[[#This Row],[CustomerID]],tblCustomers[CustomerID],tblCustomers[Age],"not found")</f>
        <v>56</v>
      </c>
      <c r="E587" t="str">
        <f>_xlfn.XLOOKUP(tblOrders[[#This Row],[CustomerID]],tblCustomers[CustomerID],tblCustomers[Gender],"not found")</f>
        <v>Male</v>
      </c>
      <c r="F587" t="str">
        <f>_xlfn.XLOOKUP(tblOrders[[#This Row],[CustomerID]],tblCustomers[CustomerID],tblCustomers[Region],"not found")</f>
        <v>South</v>
      </c>
      <c r="G587">
        <v>1028</v>
      </c>
      <c r="H587" t="str">
        <f>_xlfn.XLOOKUP(tblOrders[[#This Row],[ProductID]],tblProducts[ProductID],tblProducts[ProductName],"not found")</f>
        <v>Charge</v>
      </c>
      <c r="I587" t="str">
        <f>_xlfn.XLOOKUP(tblOrders[[#This Row],[ProductID]],tblProducts[ProductID],tblProducts[Category],"not found")</f>
        <v>Toys</v>
      </c>
      <c r="J587">
        <f>_xlfn.XLOOKUP(tblOrders[[#This Row],[ProductID]],tblProducts[ProductID],tblProducts[UnitPrice],"not found")</f>
        <v>174.79</v>
      </c>
      <c r="K587" t="str">
        <f>_xlfn.XLOOKUP(tblOrders[[#This Row],[ProductID]],tblProducts[ProductID],tblProducts[Supplier],"not found")</f>
        <v>Murray, Burns and Martinez</v>
      </c>
      <c r="L587" s="1" t="s">
        <v>2064</v>
      </c>
      <c r="M5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45135</v>
      </c>
      <c r="N587">
        <v>3</v>
      </c>
      <c r="O587">
        <v>524.37</v>
      </c>
      <c r="P587">
        <f>tblOrders[[#This Row],[Quantity]]*tblOrders[[#This Row],[Unit Price]]</f>
        <v>524.37</v>
      </c>
      <c r="Q587">
        <f>tblOrders[[#This Row],[TotalSales]]-tblOrders[[#This Row],[Calculated Sales]]</f>
        <v>0</v>
      </c>
    </row>
    <row r="588" spans="1:17" x14ac:dyDescent="0.25">
      <c r="A588">
        <v>30</v>
      </c>
      <c r="B588">
        <v>168</v>
      </c>
      <c r="C588" t="str">
        <f>_xlfn.XLOOKUP(tblOrders[[#This Row],[CustomerID]],tblCustomers[CustomerID],tblCustomers[CustomerName],"not found")</f>
        <v>Christina Huffman</v>
      </c>
      <c r="D588">
        <f>_xlfn.XLOOKUP(tblOrders[[#This Row],[CustomerID]],tblCustomers[CustomerID],tblCustomers[Age],"not found")</f>
        <v>51</v>
      </c>
      <c r="E588" t="str">
        <f>_xlfn.XLOOKUP(tblOrders[[#This Row],[CustomerID]],tblCustomers[CustomerID],tblCustomers[Gender],"not found")</f>
        <v>Male</v>
      </c>
      <c r="F588" t="str">
        <f>_xlfn.XLOOKUP(tblOrders[[#This Row],[CustomerID]],tblCustomers[CustomerID],tblCustomers[Region],"not found")</f>
        <v>East</v>
      </c>
      <c r="G588">
        <v>1081</v>
      </c>
      <c r="H588" t="str">
        <f>_xlfn.XLOOKUP(tblOrders[[#This Row],[ProductID]],tblProducts[ProductID],tblProducts[ProductName],"not found")</f>
        <v>Boy</v>
      </c>
      <c r="I588" t="str">
        <f>_xlfn.XLOOKUP(tblOrders[[#This Row],[ProductID]],tblProducts[ProductID],tblProducts[Category],"not found")</f>
        <v>Furniture</v>
      </c>
      <c r="J588">
        <f>_xlfn.XLOOKUP(tblOrders[[#This Row],[ProductID]],tblProducts[ProductID],tblProducts[UnitPrice],"not found")</f>
        <v>125.7</v>
      </c>
      <c r="K588" t="str">
        <f>_xlfn.XLOOKUP(tblOrders[[#This Row],[ProductID]],tblProducts[ProductID],tblProducts[Supplier],"not found")</f>
        <v>Esparza, Buck and Taylor</v>
      </c>
      <c r="L588" s="1" t="s">
        <v>2243</v>
      </c>
      <c r="M5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588">
        <v>2</v>
      </c>
      <c r="O588">
        <v>251.4</v>
      </c>
      <c r="P588">
        <f>tblOrders[[#This Row],[Quantity]]*tblOrders[[#This Row],[Unit Price]]</f>
        <v>251.4</v>
      </c>
      <c r="Q588">
        <f>tblOrders[[#This Row],[TotalSales]]-tblOrders[[#This Row],[Calculated Sales]]</f>
        <v>0</v>
      </c>
    </row>
    <row r="589" spans="1:17" x14ac:dyDescent="0.25">
      <c r="A589">
        <v>133</v>
      </c>
      <c r="B589">
        <v>1000</v>
      </c>
      <c r="C589" t="str">
        <f>_xlfn.XLOOKUP(tblOrders[[#This Row],[CustomerID]],tblCustomers[CustomerID],tblCustomers[CustomerName],"not found")</f>
        <v>Tyrone Ferrell</v>
      </c>
      <c r="D589">
        <f>_xlfn.XLOOKUP(tblOrders[[#This Row],[CustomerID]],tblCustomers[CustomerID],tblCustomers[Age],"not found")</f>
        <v>42</v>
      </c>
      <c r="E589" t="str">
        <f>_xlfn.XLOOKUP(tblOrders[[#This Row],[CustomerID]],tblCustomers[CustomerID],tblCustomers[Gender],"not found")</f>
        <v>Female</v>
      </c>
      <c r="F589" t="str">
        <f>_xlfn.XLOOKUP(tblOrders[[#This Row],[CustomerID]],tblCustomers[CustomerID],tblCustomers[Region],"not found")</f>
        <v>Central</v>
      </c>
      <c r="G589">
        <v>1081</v>
      </c>
      <c r="H589" t="str">
        <f>_xlfn.XLOOKUP(tblOrders[[#This Row],[ProductID]],tblProducts[ProductID],tblProducts[ProductName],"not found")</f>
        <v>Boy</v>
      </c>
      <c r="I589" t="str">
        <f>_xlfn.XLOOKUP(tblOrders[[#This Row],[ProductID]],tblProducts[ProductID],tblProducts[Category],"not found")</f>
        <v>Furniture</v>
      </c>
      <c r="J589">
        <f>_xlfn.XLOOKUP(tblOrders[[#This Row],[ProductID]],tblProducts[ProductID],tblProducts[UnitPrice],"not found")</f>
        <v>125.7</v>
      </c>
      <c r="K589" t="str">
        <f>_xlfn.XLOOKUP(tblOrders[[#This Row],[ProductID]],tblProducts[ProductID],tblProducts[Supplier],"not found")</f>
        <v>Esparza, Buck and Taylor</v>
      </c>
      <c r="L589" s="1" t="s">
        <v>2255</v>
      </c>
      <c r="M5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45121</v>
      </c>
      <c r="N589">
        <v>9</v>
      </c>
      <c r="O589">
        <v>1131.3</v>
      </c>
      <c r="P589">
        <f>tblOrders[[#This Row],[Quantity]]*tblOrders[[#This Row],[Unit Price]]</f>
        <v>1131.3</v>
      </c>
      <c r="Q589">
        <f>tblOrders[[#This Row],[TotalSales]]-tblOrders[[#This Row],[Calculated Sales]]</f>
        <v>0</v>
      </c>
    </row>
    <row r="590" spans="1:17" x14ac:dyDescent="0.25">
      <c r="A590">
        <v>232</v>
      </c>
      <c r="B590">
        <v>107</v>
      </c>
      <c r="C590" t="str">
        <f>_xlfn.XLOOKUP(tblOrders[[#This Row],[CustomerID]],tblCustomers[CustomerID],tblCustomers[CustomerName],"not found")</f>
        <v>Raymond Griffin</v>
      </c>
      <c r="D590">
        <f>_xlfn.XLOOKUP(tblOrders[[#This Row],[CustomerID]],tblCustomers[CustomerID],tblCustomers[Age],"not found")</f>
        <v>67</v>
      </c>
      <c r="E590" t="str">
        <f>_xlfn.XLOOKUP(tblOrders[[#This Row],[CustomerID]],tblCustomers[CustomerID],tblCustomers[Gender],"not found")</f>
        <v>Male</v>
      </c>
      <c r="F590" t="str">
        <f>_xlfn.XLOOKUP(tblOrders[[#This Row],[CustomerID]],tblCustomers[CustomerID],tblCustomers[Region],"not found")</f>
        <v>East</v>
      </c>
      <c r="G590">
        <v>1081</v>
      </c>
      <c r="H590" t="str">
        <f>_xlfn.XLOOKUP(tblOrders[[#This Row],[ProductID]],tblProducts[ProductID],tblProducts[ProductName],"not found")</f>
        <v>Boy</v>
      </c>
      <c r="I590" t="str">
        <f>_xlfn.XLOOKUP(tblOrders[[#This Row],[ProductID]],tblProducts[ProductID],tblProducts[Category],"not found")</f>
        <v>Furniture</v>
      </c>
      <c r="J590">
        <f>_xlfn.XLOOKUP(tblOrders[[#This Row],[ProductID]],tblProducts[ProductID],tblProducts[UnitPrice],"not found")</f>
        <v>125.7</v>
      </c>
      <c r="K590" t="str">
        <f>_xlfn.XLOOKUP(tblOrders[[#This Row],[ProductID]],tblProducts[ProductID],tblProducts[Supplier],"not found")</f>
        <v>Esparza, Buck and Taylor</v>
      </c>
      <c r="L590" s="1" t="s">
        <v>2132</v>
      </c>
      <c r="M5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590">
        <v>1</v>
      </c>
      <c r="O590">
        <v>125.7</v>
      </c>
      <c r="P590">
        <f>tblOrders[[#This Row],[Quantity]]*tblOrders[[#This Row],[Unit Price]]</f>
        <v>125.7</v>
      </c>
      <c r="Q590">
        <f>tblOrders[[#This Row],[TotalSales]]-tblOrders[[#This Row],[Calculated Sales]]</f>
        <v>0</v>
      </c>
    </row>
    <row r="591" spans="1:17" x14ac:dyDescent="0.25">
      <c r="A591">
        <v>242</v>
      </c>
      <c r="B591">
        <v>535</v>
      </c>
      <c r="C591" t="str">
        <f>_xlfn.XLOOKUP(tblOrders[[#This Row],[CustomerID]],tblCustomers[CustomerID],tblCustomers[CustomerName],"not found")</f>
        <v>Peter Potter</v>
      </c>
      <c r="D591">
        <f>_xlfn.XLOOKUP(tblOrders[[#This Row],[CustomerID]],tblCustomers[CustomerID],tblCustomers[Age],"not found")</f>
        <v>32</v>
      </c>
      <c r="E591" t="str">
        <f>_xlfn.XLOOKUP(tblOrders[[#This Row],[CustomerID]],tblCustomers[CustomerID],tblCustomers[Gender],"not found")</f>
        <v>Female</v>
      </c>
      <c r="F591" t="str">
        <f>_xlfn.XLOOKUP(tblOrders[[#This Row],[CustomerID]],tblCustomers[CustomerID],tblCustomers[Region],"not found")</f>
        <v>West</v>
      </c>
      <c r="G591">
        <v>1081</v>
      </c>
      <c r="H591" t="str">
        <f>_xlfn.XLOOKUP(tblOrders[[#This Row],[ProductID]],tblProducts[ProductID],tblProducts[ProductName],"not found")</f>
        <v>Boy</v>
      </c>
      <c r="I591" t="str">
        <f>_xlfn.XLOOKUP(tblOrders[[#This Row],[ProductID]],tblProducts[ProductID],tblProducts[Category],"not found")</f>
        <v>Furniture</v>
      </c>
      <c r="J591">
        <f>_xlfn.XLOOKUP(tblOrders[[#This Row],[ProductID]],tblProducts[ProductID],tblProducts[UnitPrice],"not found")</f>
        <v>125.7</v>
      </c>
      <c r="K591" t="str">
        <f>_xlfn.XLOOKUP(tblOrders[[#This Row],[ProductID]],tblProducts[ProductID],tblProducts[Supplier],"not found")</f>
        <v>Esparza, Buck and Taylor</v>
      </c>
      <c r="L591" s="1" t="s">
        <v>2158</v>
      </c>
      <c r="M5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45462</v>
      </c>
      <c r="N591">
        <v>8</v>
      </c>
      <c r="O591">
        <v>1005.6</v>
      </c>
      <c r="P591">
        <f>tblOrders[[#This Row],[Quantity]]*tblOrders[[#This Row],[Unit Price]]</f>
        <v>1005.6</v>
      </c>
      <c r="Q591">
        <f>tblOrders[[#This Row],[TotalSales]]-tblOrders[[#This Row],[Calculated Sales]]</f>
        <v>0</v>
      </c>
    </row>
    <row r="592" spans="1:17" x14ac:dyDescent="0.25">
      <c r="A592">
        <v>368</v>
      </c>
      <c r="B592">
        <v>582</v>
      </c>
      <c r="C592" t="str">
        <f>_xlfn.XLOOKUP(tblOrders[[#This Row],[CustomerID]],tblCustomers[CustomerID],tblCustomers[CustomerName],"not found")</f>
        <v>Holly Brandt</v>
      </c>
      <c r="D592">
        <f>_xlfn.XLOOKUP(tblOrders[[#This Row],[CustomerID]],tblCustomers[CustomerID],tblCustomers[Age],"not found")</f>
        <v>51</v>
      </c>
      <c r="E592" t="str">
        <f>_xlfn.XLOOKUP(tblOrders[[#This Row],[CustomerID]],tblCustomers[CustomerID],tblCustomers[Gender],"not found")</f>
        <v>Male</v>
      </c>
      <c r="F592" t="str">
        <f>_xlfn.XLOOKUP(tblOrders[[#This Row],[CustomerID]],tblCustomers[CustomerID],tblCustomers[Region],"not found")</f>
        <v>East</v>
      </c>
      <c r="G592">
        <v>1081</v>
      </c>
      <c r="H592" t="str">
        <f>_xlfn.XLOOKUP(tblOrders[[#This Row],[ProductID]],tblProducts[ProductID],tblProducts[ProductName],"not found")</f>
        <v>Boy</v>
      </c>
      <c r="I592" t="str">
        <f>_xlfn.XLOOKUP(tblOrders[[#This Row],[ProductID]],tblProducts[ProductID],tblProducts[Category],"not found")</f>
        <v>Furniture</v>
      </c>
      <c r="J592">
        <f>_xlfn.XLOOKUP(tblOrders[[#This Row],[ProductID]],tblProducts[ProductID],tblProducts[UnitPrice],"not found")</f>
        <v>125.7</v>
      </c>
      <c r="K592" t="str">
        <f>_xlfn.XLOOKUP(tblOrders[[#This Row],[ProductID]],tblProducts[ProductID],tblProducts[Supplier],"not found")</f>
        <v>Esparza, Buck and Taylor</v>
      </c>
      <c r="L592" s="1" t="s">
        <v>2256</v>
      </c>
      <c r="M5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45011</v>
      </c>
      <c r="N592">
        <v>6</v>
      </c>
      <c r="O592">
        <v>754.2</v>
      </c>
      <c r="P592">
        <f>tblOrders[[#This Row],[Quantity]]*tblOrders[[#This Row],[Unit Price]]</f>
        <v>754.2</v>
      </c>
      <c r="Q592">
        <f>tblOrders[[#This Row],[TotalSales]]-tblOrders[[#This Row],[Calculated Sales]]</f>
        <v>0</v>
      </c>
    </row>
    <row r="593" spans="1:17" x14ac:dyDescent="0.25">
      <c r="A593">
        <v>464</v>
      </c>
      <c r="B593">
        <v>436</v>
      </c>
      <c r="C593" t="str">
        <f>_xlfn.XLOOKUP(tblOrders[[#This Row],[CustomerID]],tblCustomers[CustomerID],tblCustomers[CustomerName],"not found")</f>
        <v>Lauren Castillo</v>
      </c>
      <c r="D593">
        <f>_xlfn.XLOOKUP(tblOrders[[#This Row],[CustomerID]],tblCustomers[CustomerID],tblCustomers[Age],"not found")</f>
        <v>59</v>
      </c>
      <c r="E593" t="str">
        <f>_xlfn.XLOOKUP(tblOrders[[#This Row],[CustomerID]],tblCustomers[CustomerID],tblCustomers[Gender],"not found")</f>
        <v>Female</v>
      </c>
      <c r="F593" t="str">
        <f>_xlfn.XLOOKUP(tblOrders[[#This Row],[CustomerID]],tblCustomers[CustomerID],tblCustomers[Region],"not found")</f>
        <v>East</v>
      </c>
      <c r="G593">
        <v>1081</v>
      </c>
      <c r="H593" t="str">
        <f>_xlfn.XLOOKUP(tblOrders[[#This Row],[ProductID]],tblProducts[ProductID],tblProducts[ProductName],"not found")</f>
        <v>Boy</v>
      </c>
      <c r="I593" t="str">
        <f>_xlfn.XLOOKUP(tblOrders[[#This Row],[ProductID]],tblProducts[ProductID],tblProducts[Category],"not found")</f>
        <v>Furniture</v>
      </c>
      <c r="J593">
        <f>_xlfn.XLOOKUP(tblOrders[[#This Row],[ProductID]],tblProducts[ProductID],tblProducts[UnitPrice],"not found")</f>
        <v>125.7</v>
      </c>
      <c r="K593" t="str">
        <f>_xlfn.XLOOKUP(tblOrders[[#This Row],[ProductID]],tblProducts[ProductID],tblProducts[Supplier],"not found")</f>
        <v>Esparza, Buck and Taylor</v>
      </c>
      <c r="L593" s="1" t="s">
        <v>2040</v>
      </c>
      <c r="M5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45107</v>
      </c>
      <c r="N593">
        <v>7</v>
      </c>
      <c r="O593">
        <v>879.9</v>
      </c>
      <c r="P593">
        <f>tblOrders[[#This Row],[Quantity]]*tblOrders[[#This Row],[Unit Price]]</f>
        <v>879.9</v>
      </c>
      <c r="Q593">
        <f>tblOrders[[#This Row],[TotalSales]]-tblOrders[[#This Row],[Calculated Sales]]</f>
        <v>0</v>
      </c>
    </row>
    <row r="594" spans="1:17" x14ac:dyDescent="0.25">
      <c r="A594">
        <v>467</v>
      </c>
      <c r="B594">
        <v>666</v>
      </c>
      <c r="C594" t="str">
        <f>_xlfn.XLOOKUP(tblOrders[[#This Row],[CustomerID]],tblCustomers[CustomerID],tblCustomers[CustomerName],"not found")</f>
        <v>Haley Hudson</v>
      </c>
      <c r="D594">
        <f>_xlfn.XLOOKUP(tblOrders[[#This Row],[CustomerID]],tblCustomers[CustomerID],tblCustomers[Age],"not found")</f>
        <v>54</v>
      </c>
      <c r="E594" t="str">
        <f>_xlfn.XLOOKUP(tblOrders[[#This Row],[CustomerID]],tblCustomers[CustomerID],tblCustomers[Gender],"not found")</f>
        <v>Female</v>
      </c>
      <c r="F594" t="str">
        <f>_xlfn.XLOOKUP(tblOrders[[#This Row],[CustomerID]],tblCustomers[CustomerID],tblCustomers[Region],"not found")</f>
        <v>North</v>
      </c>
      <c r="G594">
        <v>1081</v>
      </c>
      <c r="H594" t="str">
        <f>_xlfn.XLOOKUP(tblOrders[[#This Row],[ProductID]],tblProducts[ProductID],tblProducts[ProductName],"not found")</f>
        <v>Boy</v>
      </c>
      <c r="I594" t="str">
        <f>_xlfn.XLOOKUP(tblOrders[[#This Row],[ProductID]],tblProducts[ProductID],tblProducts[Category],"not found")</f>
        <v>Furniture</v>
      </c>
      <c r="J594">
        <f>_xlfn.XLOOKUP(tblOrders[[#This Row],[ProductID]],tblProducts[ProductID],tblProducts[UnitPrice],"not found")</f>
        <v>125.7</v>
      </c>
      <c r="K594" t="str">
        <f>_xlfn.XLOOKUP(tblOrders[[#This Row],[ProductID]],tblProducts[ProductID],tblProducts[Supplier],"not found")</f>
        <v>Esparza, Buck and Taylor</v>
      </c>
      <c r="L594" s="1" t="s">
        <v>2232</v>
      </c>
      <c r="M5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45151</v>
      </c>
      <c r="N594">
        <v>5</v>
      </c>
      <c r="O594">
        <v>628.5</v>
      </c>
      <c r="P594">
        <f>tblOrders[[#This Row],[Quantity]]*tblOrders[[#This Row],[Unit Price]]</f>
        <v>628.5</v>
      </c>
      <c r="Q594">
        <f>tblOrders[[#This Row],[TotalSales]]-tblOrders[[#This Row],[Calculated Sales]]</f>
        <v>0</v>
      </c>
    </row>
    <row r="595" spans="1:17" x14ac:dyDescent="0.25">
      <c r="A595">
        <v>481</v>
      </c>
      <c r="B595">
        <v>386</v>
      </c>
      <c r="C595" t="str">
        <f>_xlfn.XLOOKUP(tblOrders[[#This Row],[CustomerID]],tblCustomers[CustomerID],tblCustomers[CustomerName],"not found")</f>
        <v>Tara Bentley</v>
      </c>
      <c r="D595">
        <f>_xlfn.XLOOKUP(tblOrders[[#This Row],[CustomerID]],tblCustomers[CustomerID],tblCustomers[Age],"not found")</f>
        <v>61</v>
      </c>
      <c r="E595" t="str">
        <f>_xlfn.XLOOKUP(tblOrders[[#This Row],[CustomerID]],tblCustomers[CustomerID],tblCustomers[Gender],"not found")</f>
        <v>Male</v>
      </c>
      <c r="F595" t="str">
        <f>_xlfn.XLOOKUP(tblOrders[[#This Row],[CustomerID]],tblCustomers[CustomerID],tblCustomers[Region],"not found")</f>
        <v>East</v>
      </c>
      <c r="G595">
        <v>1081</v>
      </c>
      <c r="H595" t="str">
        <f>_xlfn.XLOOKUP(tblOrders[[#This Row],[ProductID]],tblProducts[ProductID],tblProducts[ProductName],"not found")</f>
        <v>Boy</v>
      </c>
      <c r="I595" t="str">
        <f>_xlfn.XLOOKUP(tblOrders[[#This Row],[ProductID]],tblProducts[ProductID],tblProducts[Category],"not found")</f>
        <v>Furniture</v>
      </c>
      <c r="J595">
        <f>_xlfn.XLOOKUP(tblOrders[[#This Row],[ProductID]],tblProducts[ProductID],tblProducts[UnitPrice],"not found")</f>
        <v>125.7</v>
      </c>
      <c r="K595" t="str">
        <f>_xlfn.XLOOKUP(tblOrders[[#This Row],[ProductID]],tblProducts[ProductID],tblProducts[Supplier],"not found")</f>
        <v>Esparza, Buck and Taylor</v>
      </c>
      <c r="L595" s="1" t="s">
        <v>2257</v>
      </c>
      <c r="M5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595">
        <v>4</v>
      </c>
      <c r="O595">
        <v>502.8</v>
      </c>
      <c r="P595">
        <f>tblOrders[[#This Row],[Quantity]]*tblOrders[[#This Row],[Unit Price]]</f>
        <v>502.8</v>
      </c>
      <c r="Q595">
        <f>tblOrders[[#This Row],[TotalSales]]-tblOrders[[#This Row],[Calculated Sales]]</f>
        <v>0</v>
      </c>
    </row>
    <row r="596" spans="1:17" x14ac:dyDescent="0.25">
      <c r="A596">
        <v>614</v>
      </c>
      <c r="B596">
        <v>441</v>
      </c>
      <c r="C596" t="str">
        <f>_xlfn.XLOOKUP(tblOrders[[#This Row],[CustomerID]],tblCustomers[CustomerID],tblCustomers[CustomerName],"not found")</f>
        <v>Jon Harris</v>
      </c>
      <c r="D596">
        <f>_xlfn.XLOOKUP(tblOrders[[#This Row],[CustomerID]],tblCustomers[CustomerID],tblCustomers[Age],"not found")</f>
        <v>29</v>
      </c>
      <c r="E596" t="str">
        <f>_xlfn.XLOOKUP(tblOrders[[#This Row],[CustomerID]],tblCustomers[CustomerID],tblCustomers[Gender],"not found")</f>
        <v>Female</v>
      </c>
      <c r="F596" t="str">
        <f>_xlfn.XLOOKUP(tblOrders[[#This Row],[CustomerID]],tblCustomers[CustomerID],tblCustomers[Region],"not found")</f>
        <v>South</v>
      </c>
      <c r="G596">
        <v>1081</v>
      </c>
      <c r="H596" t="str">
        <f>_xlfn.XLOOKUP(tblOrders[[#This Row],[ProductID]],tblProducts[ProductID],tblProducts[ProductName],"not found")</f>
        <v>Boy</v>
      </c>
      <c r="I596" t="str">
        <f>_xlfn.XLOOKUP(tblOrders[[#This Row],[ProductID]],tblProducts[ProductID],tblProducts[Category],"not found")</f>
        <v>Furniture</v>
      </c>
      <c r="J596">
        <f>_xlfn.XLOOKUP(tblOrders[[#This Row],[ProductID]],tblProducts[ProductID],tblProducts[UnitPrice],"not found")</f>
        <v>125.7</v>
      </c>
      <c r="K596" t="str">
        <f>_xlfn.XLOOKUP(tblOrders[[#This Row],[ProductID]],tblProducts[ProductID],tblProducts[Supplier],"not found")</f>
        <v>Esparza, Buck and Taylor</v>
      </c>
      <c r="L596" s="1">
        <v>44845</v>
      </c>
      <c r="M5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44845</v>
      </c>
      <c r="N596">
        <v>3</v>
      </c>
      <c r="O596">
        <v>377.1</v>
      </c>
      <c r="P596">
        <f>tblOrders[[#This Row],[Quantity]]*tblOrders[[#This Row],[Unit Price]]</f>
        <v>377.1</v>
      </c>
      <c r="Q596">
        <f>tblOrders[[#This Row],[TotalSales]]-tblOrders[[#This Row],[Calculated Sales]]</f>
        <v>0</v>
      </c>
    </row>
    <row r="597" spans="1:17" x14ac:dyDescent="0.25">
      <c r="A597">
        <v>694</v>
      </c>
      <c r="B597">
        <v>769</v>
      </c>
      <c r="C597" t="str">
        <f>_xlfn.XLOOKUP(tblOrders[[#This Row],[CustomerID]],tblCustomers[CustomerID],tblCustomers[CustomerName],"not found")</f>
        <v>Michael Robinson</v>
      </c>
      <c r="D597">
        <f>_xlfn.XLOOKUP(tblOrders[[#This Row],[CustomerID]],tblCustomers[CustomerID],tblCustomers[Age],"not found")</f>
        <v>25</v>
      </c>
      <c r="E597" t="str">
        <f>_xlfn.XLOOKUP(tblOrders[[#This Row],[CustomerID]],tblCustomers[CustomerID],tblCustomers[Gender],"not found")</f>
        <v>Female</v>
      </c>
      <c r="F597" t="str">
        <f>_xlfn.XLOOKUP(tblOrders[[#This Row],[CustomerID]],tblCustomers[CustomerID],tblCustomers[Region],"not found")</f>
        <v>North</v>
      </c>
      <c r="G597">
        <v>1081</v>
      </c>
      <c r="H597" t="str">
        <f>_xlfn.XLOOKUP(tblOrders[[#This Row],[ProductID]],tblProducts[ProductID],tblProducts[ProductName],"not found")</f>
        <v>Boy</v>
      </c>
      <c r="I597" t="str">
        <f>_xlfn.XLOOKUP(tblOrders[[#This Row],[ProductID]],tblProducts[ProductID],tblProducts[Category],"not found")</f>
        <v>Furniture</v>
      </c>
      <c r="J597">
        <f>_xlfn.XLOOKUP(tblOrders[[#This Row],[ProductID]],tblProducts[ProductID],tblProducts[UnitPrice],"not found")</f>
        <v>125.7</v>
      </c>
      <c r="K597" t="str">
        <f>_xlfn.XLOOKUP(tblOrders[[#This Row],[ProductID]],tblProducts[ProductID],tblProducts[Supplier],"not found")</f>
        <v>Esparza, Buck and Taylor</v>
      </c>
      <c r="L597" s="1">
        <v>45630</v>
      </c>
      <c r="M5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45630</v>
      </c>
      <c r="N597">
        <v>6</v>
      </c>
      <c r="O597">
        <v>754.2</v>
      </c>
      <c r="P597">
        <f>tblOrders[[#This Row],[Quantity]]*tblOrders[[#This Row],[Unit Price]]</f>
        <v>754.2</v>
      </c>
      <c r="Q597">
        <f>tblOrders[[#This Row],[TotalSales]]-tblOrders[[#This Row],[Calculated Sales]]</f>
        <v>0</v>
      </c>
    </row>
    <row r="598" spans="1:17" x14ac:dyDescent="0.25">
      <c r="A598">
        <v>747</v>
      </c>
      <c r="B598">
        <v>633</v>
      </c>
      <c r="C598" t="str">
        <f>_xlfn.XLOOKUP(tblOrders[[#This Row],[CustomerID]],tblCustomers[CustomerID],tblCustomers[CustomerName],"not found")</f>
        <v>Austin Burns</v>
      </c>
      <c r="D598">
        <f>_xlfn.XLOOKUP(tblOrders[[#This Row],[CustomerID]],tblCustomers[CustomerID],tblCustomers[Age],"not found")</f>
        <v>36</v>
      </c>
      <c r="E598" t="str">
        <f>_xlfn.XLOOKUP(tblOrders[[#This Row],[CustomerID]],tblCustomers[CustomerID],tblCustomers[Gender],"not found")</f>
        <v>Female</v>
      </c>
      <c r="F598" t="str">
        <f>_xlfn.XLOOKUP(tblOrders[[#This Row],[CustomerID]],tblCustomers[CustomerID],tblCustomers[Region],"not found")</f>
        <v>West</v>
      </c>
      <c r="G598">
        <v>1081</v>
      </c>
      <c r="H598" t="str">
        <f>_xlfn.XLOOKUP(tblOrders[[#This Row],[ProductID]],tblProducts[ProductID],tblProducts[ProductName],"not found")</f>
        <v>Boy</v>
      </c>
      <c r="I598" t="str">
        <f>_xlfn.XLOOKUP(tblOrders[[#This Row],[ProductID]],tblProducts[ProductID],tblProducts[Category],"not found")</f>
        <v>Furniture</v>
      </c>
      <c r="J598">
        <f>_xlfn.XLOOKUP(tblOrders[[#This Row],[ProductID]],tblProducts[ProductID],tblProducts[UnitPrice],"not found")</f>
        <v>125.7</v>
      </c>
      <c r="K598" t="str">
        <f>_xlfn.XLOOKUP(tblOrders[[#This Row],[ProductID]],tblProducts[ProductID],tblProducts[Supplier],"not found")</f>
        <v>Esparza, Buck and Taylor</v>
      </c>
      <c r="L598" s="1">
        <v>44693</v>
      </c>
      <c r="M5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44693</v>
      </c>
      <c r="N598">
        <v>1</v>
      </c>
      <c r="O598">
        <v>125.7</v>
      </c>
      <c r="P598">
        <f>tblOrders[[#This Row],[Quantity]]*tblOrders[[#This Row],[Unit Price]]</f>
        <v>125.7</v>
      </c>
      <c r="Q598">
        <f>tblOrders[[#This Row],[TotalSales]]-tblOrders[[#This Row],[Calculated Sales]]</f>
        <v>0</v>
      </c>
    </row>
    <row r="599" spans="1:17" x14ac:dyDescent="0.25">
      <c r="A599">
        <v>787</v>
      </c>
      <c r="B599">
        <v>236</v>
      </c>
      <c r="C599" t="str">
        <f>_xlfn.XLOOKUP(tblOrders[[#This Row],[CustomerID]],tblCustomers[CustomerID],tblCustomers[CustomerName],"not found")</f>
        <v>Joe Preston</v>
      </c>
      <c r="D599">
        <f>_xlfn.XLOOKUP(tblOrders[[#This Row],[CustomerID]],tblCustomers[CustomerID],tblCustomers[Age],"not found")</f>
        <v>38</v>
      </c>
      <c r="E599" t="str">
        <f>_xlfn.XLOOKUP(tblOrders[[#This Row],[CustomerID]],tblCustomers[CustomerID],tblCustomers[Gender],"not found")</f>
        <v>Male</v>
      </c>
      <c r="F599" t="str">
        <f>_xlfn.XLOOKUP(tblOrders[[#This Row],[CustomerID]],tblCustomers[CustomerID],tblCustomers[Region],"not found")</f>
        <v>East</v>
      </c>
      <c r="G599">
        <v>1081</v>
      </c>
      <c r="H599" t="str">
        <f>_xlfn.XLOOKUP(tblOrders[[#This Row],[ProductID]],tblProducts[ProductID],tblProducts[ProductName],"not found")</f>
        <v>Boy</v>
      </c>
      <c r="I599" t="str">
        <f>_xlfn.XLOOKUP(tblOrders[[#This Row],[ProductID]],tblProducts[ProductID],tblProducts[Category],"not found")</f>
        <v>Furniture</v>
      </c>
      <c r="J599">
        <f>_xlfn.XLOOKUP(tblOrders[[#This Row],[ProductID]],tblProducts[ProductID],tblProducts[UnitPrice],"not found")</f>
        <v>125.7</v>
      </c>
      <c r="K599" t="str">
        <f>_xlfn.XLOOKUP(tblOrders[[#This Row],[ProductID]],tblProducts[ProductID],tblProducts[Supplier],"not found")</f>
        <v>Esparza, Buck and Taylor</v>
      </c>
      <c r="L599" s="1" t="s">
        <v>2029</v>
      </c>
      <c r="M5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45348</v>
      </c>
      <c r="N599">
        <v>8</v>
      </c>
      <c r="O599">
        <v>1005.6</v>
      </c>
      <c r="P599">
        <f>tblOrders[[#This Row],[Quantity]]*tblOrders[[#This Row],[Unit Price]]</f>
        <v>1005.6</v>
      </c>
      <c r="Q599">
        <f>tblOrders[[#This Row],[TotalSales]]-tblOrders[[#This Row],[Calculated Sales]]</f>
        <v>0</v>
      </c>
    </row>
    <row r="600" spans="1:17" x14ac:dyDescent="0.25">
      <c r="A600">
        <v>866</v>
      </c>
      <c r="B600">
        <v>206</v>
      </c>
      <c r="C600" t="str">
        <f>_xlfn.XLOOKUP(tblOrders[[#This Row],[CustomerID]],tblCustomers[CustomerID],tblCustomers[CustomerName],"not found")</f>
        <v>April Miller</v>
      </c>
      <c r="D600">
        <f>_xlfn.XLOOKUP(tblOrders[[#This Row],[CustomerID]],tblCustomers[CustomerID],tblCustomers[Age],"not found")</f>
        <v>42</v>
      </c>
      <c r="E600" t="str">
        <f>_xlfn.XLOOKUP(tblOrders[[#This Row],[CustomerID]],tblCustomers[CustomerID],tblCustomers[Gender],"not found")</f>
        <v>Male</v>
      </c>
      <c r="F600" t="str">
        <f>_xlfn.XLOOKUP(tblOrders[[#This Row],[CustomerID]],tblCustomers[CustomerID],tblCustomers[Region],"not found")</f>
        <v>North</v>
      </c>
      <c r="G600">
        <v>1081</v>
      </c>
      <c r="H600" t="str">
        <f>_xlfn.XLOOKUP(tblOrders[[#This Row],[ProductID]],tblProducts[ProductID],tblProducts[ProductName],"not found")</f>
        <v>Boy</v>
      </c>
      <c r="I600" t="str">
        <f>_xlfn.XLOOKUP(tblOrders[[#This Row],[ProductID]],tblProducts[ProductID],tblProducts[Category],"not found")</f>
        <v>Furniture</v>
      </c>
      <c r="J600">
        <f>_xlfn.XLOOKUP(tblOrders[[#This Row],[ProductID]],tblProducts[ProductID],tblProducts[UnitPrice],"not found")</f>
        <v>125.7</v>
      </c>
      <c r="K600" t="str">
        <f>_xlfn.XLOOKUP(tblOrders[[#This Row],[ProductID]],tblProducts[ProductID],tblProducts[Supplier],"not found")</f>
        <v>Esparza, Buck and Taylor</v>
      </c>
      <c r="L600" s="1" t="s">
        <v>2258</v>
      </c>
      <c r="M6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45031</v>
      </c>
      <c r="N600">
        <v>9</v>
      </c>
      <c r="O600">
        <v>1131.3</v>
      </c>
      <c r="P600">
        <f>tblOrders[[#This Row],[Quantity]]*tblOrders[[#This Row],[Unit Price]]</f>
        <v>1131.3</v>
      </c>
      <c r="Q600">
        <f>tblOrders[[#This Row],[TotalSales]]-tblOrders[[#This Row],[Calculated Sales]]</f>
        <v>0</v>
      </c>
    </row>
    <row r="601" spans="1:17" x14ac:dyDescent="0.25">
      <c r="A601">
        <v>870</v>
      </c>
      <c r="B601">
        <v>592</v>
      </c>
      <c r="C601" t="str">
        <f>_xlfn.XLOOKUP(tblOrders[[#This Row],[CustomerID]],tblCustomers[CustomerID],tblCustomers[CustomerName],"not found")</f>
        <v>Christopher Banks</v>
      </c>
      <c r="D601">
        <f>_xlfn.XLOOKUP(tblOrders[[#This Row],[CustomerID]],tblCustomers[CustomerID],tblCustomers[Age],"not found")</f>
        <v>57</v>
      </c>
      <c r="E601" t="str">
        <f>_xlfn.XLOOKUP(tblOrders[[#This Row],[CustomerID]],tblCustomers[CustomerID],tblCustomers[Gender],"not found")</f>
        <v>Male</v>
      </c>
      <c r="F601" t="str">
        <f>_xlfn.XLOOKUP(tblOrders[[#This Row],[CustomerID]],tblCustomers[CustomerID],tblCustomers[Region],"not found")</f>
        <v>North</v>
      </c>
      <c r="G601">
        <v>1081</v>
      </c>
      <c r="H601" t="str">
        <f>_xlfn.XLOOKUP(tblOrders[[#This Row],[ProductID]],tblProducts[ProductID],tblProducts[ProductName],"not found")</f>
        <v>Boy</v>
      </c>
      <c r="I601" t="str">
        <f>_xlfn.XLOOKUP(tblOrders[[#This Row],[ProductID]],tblProducts[ProductID],tblProducts[Category],"not found")</f>
        <v>Furniture</v>
      </c>
      <c r="J601">
        <f>_xlfn.XLOOKUP(tblOrders[[#This Row],[ProductID]],tblProducts[ProductID],tblProducts[UnitPrice],"not found")</f>
        <v>125.7</v>
      </c>
      <c r="K601" t="str">
        <f>_xlfn.XLOOKUP(tblOrders[[#This Row],[ProductID]],tblProducts[ProductID],tblProducts[Supplier],"not found")</f>
        <v>Esparza, Buck and Taylor</v>
      </c>
      <c r="L601" s="1">
        <v>45028</v>
      </c>
      <c r="M6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45028</v>
      </c>
      <c r="N601">
        <v>2</v>
      </c>
      <c r="O601">
        <v>251.4</v>
      </c>
      <c r="P601">
        <f>tblOrders[[#This Row],[Quantity]]*tblOrders[[#This Row],[Unit Price]]</f>
        <v>251.4</v>
      </c>
      <c r="Q601">
        <f>tblOrders[[#This Row],[TotalSales]]-tblOrders[[#This Row],[Calculated Sales]]</f>
        <v>0</v>
      </c>
    </row>
    <row r="602" spans="1:17" x14ac:dyDescent="0.25">
      <c r="A602">
        <v>1007</v>
      </c>
      <c r="B602">
        <v>245</v>
      </c>
      <c r="C602" t="str">
        <f>_xlfn.XLOOKUP(tblOrders[[#This Row],[CustomerID]],tblCustomers[CustomerID],tblCustomers[CustomerName],"not found")</f>
        <v>Linda Johnson</v>
      </c>
      <c r="D602">
        <f>_xlfn.XLOOKUP(tblOrders[[#This Row],[CustomerID]],tblCustomers[CustomerID],tblCustomers[Age],"not found")</f>
        <v>66</v>
      </c>
      <c r="E602" t="str">
        <f>_xlfn.XLOOKUP(tblOrders[[#This Row],[CustomerID]],tblCustomers[CustomerID],tblCustomers[Gender],"not found")</f>
        <v>Female</v>
      </c>
      <c r="F602" t="str">
        <f>_xlfn.XLOOKUP(tblOrders[[#This Row],[CustomerID]],tblCustomers[CustomerID],tblCustomers[Region],"not found")</f>
        <v>North</v>
      </c>
      <c r="G602">
        <v>1081</v>
      </c>
      <c r="H602" t="str">
        <f>_xlfn.XLOOKUP(tblOrders[[#This Row],[ProductID]],tblProducts[ProductID],tblProducts[ProductName],"not found")</f>
        <v>Boy</v>
      </c>
      <c r="I602" t="str">
        <f>_xlfn.XLOOKUP(tblOrders[[#This Row],[ProductID]],tblProducts[ProductID],tblProducts[Category],"not found")</f>
        <v>Furniture</v>
      </c>
      <c r="J602">
        <f>_xlfn.XLOOKUP(tblOrders[[#This Row],[ProductID]],tblProducts[ProductID],tblProducts[UnitPrice],"not found")</f>
        <v>125.7</v>
      </c>
      <c r="K602" t="str">
        <f>_xlfn.XLOOKUP(tblOrders[[#This Row],[ProductID]],tblProducts[ProductID],tblProducts[Supplier],"not found")</f>
        <v>Esparza, Buck and Taylor</v>
      </c>
      <c r="L602" s="1">
        <v>45021</v>
      </c>
      <c r="M6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45021</v>
      </c>
      <c r="N602">
        <v>3</v>
      </c>
      <c r="O602">
        <v>377.1</v>
      </c>
      <c r="P602">
        <f>tblOrders[[#This Row],[Quantity]]*tblOrders[[#This Row],[Unit Price]]</f>
        <v>377.1</v>
      </c>
      <c r="Q602">
        <f>tblOrders[[#This Row],[TotalSales]]-tblOrders[[#This Row],[Calculated Sales]]</f>
        <v>0</v>
      </c>
    </row>
    <row r="603" spans="1:17" x14ac:dyDescent="0.25">
      <c r="A603">
        <v>1026</v>
      </c>
      <c r="B603">
        <v>876</v>
      </c>
      <c r="C603" t="str">
        <f>_xlfn.XLOOKUP(tblOrders[[#This Row],[CustomerID]],tblCustomers[CustomerID],tblCustomers[CustomerName],"not found")</f>
        <v>Ryan Bailey</v>
      </c>
      <c r="D603">
        <f>_xlfn.XLOOKUP(tblOrders[[#This Row],[CustomerID]],tblCustomers[CustomerID],tblCustomers[Age],"not found")</f>
        <v>52</v>
      </c>
      <c r="E603" t="str">
        <f>_xlfn.XLOOKUP(tblOrders[[#This Row],[CustomerID]],tblCustomers[CustomerID],tblCustomers[Gender],"not found")</f>
        <v>Male</v>
      </c>
      <c r="F603" t="str">
        <f>_xlfn.XLOOKUP(tblOrders[[#This Row],[CustomerID]],tblCustomers[CustomerID],tblCustomers[Region],"not found")</f>
        <v>North</v>
      </c>
      <c r="G603">
        <v>1081</v>
      </c>
      <c r="H603" t="str">
        <f>_xlfn.XLOOKUP(tblOrders[[#This Row],[ProductID]],tblProducts[ProductID],tblProducts[ProductName],"not found")</f>
        <v>Boy</v>
      </c>
      <c r="I603" t="str">
        <f>_xlfn.XLOOKUP(tblOrders[[#This Row],[ProductID]],tblProducts[ProductID],tblProducts[Category],"not found")</f>
        <v>Furniture</v>
      </c>
      <c r="J603">
        <f>_xlfn.XLOOKUP(tblOrders[[#This Row],[ProductID]],tblProducts[ProductID],tblProducts[UnitPrice],"not found")</f>
        <v>125.7</v>
      </c>
      <c r="K603" t="str">
        <f>_xlfn.XLOOKUP(tblOrders[[#This Row],[ProductID]],tblProducts[ProductID],tblProducts[Supplier],"not found")</f>
        <v>Esparza, Buck and Taylor</v>
      </c>
      <c r="L603" s="1" t="s">
        <v>2217</v>
      </c>
      <c r="M6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45097</v>
      </c>
      <c r="N603">
        <v>2</v>
      </c>
      <c r="O603">
        <v>251.4</v>
      </c>
      <c r="P603">
        <f>tblOrders[[#This Row],[Quantity]]*tblOrders[[#This Row],[Unit Price]]</f>
        <v>251.4</v>
      </c>
      <c r="Q603">
        <f>tblOrders[[#This Row],[TotalSales]]-tblOrders[[#This Row],[Calculated Sales]]</f>
        <v>0</v>
      </c>
    </row>
    <row r="604" spans="1:17" x14ac:dyDescent="0.25">
      <c r="A604">
        <v>1113</v>
      </c>
      <c r="B604">
        <v>386</v>
      </c>
      <c r="C604" t="str">
        <f>_xlfn.XLOOKUP(tblOrders[[#This Row],[CustomerID]],tblCustomers[CustomerID],tblCustomers[CustomerName],"not found")</f>
        <v>Tara Bentley</v>
      </c>
      <c r="D604">
        <f>_xlfn.XLOOKUP(tblOrders[[#This Row],[CustomerID]],tblCustomers[CustomerID],tblCustomers[Age],"not found")</f>
        <v>61</v>
      </c>
      <c r="E604" t="str">
        <f>_xlfn.XLOOKUP(tblOrders[[#This Row],[CustomerID]],tblCustomers[CustomerID],tblCustomers[Gender],"not found")</f>
        <v>Male</v>
      </c>
      <c r="F604" t="str">
        <f>_xlfn.XLOOKUP(tblOrders[[#This Row],[CustomerID]],tblCustomers[CustomerID],tblCustomers[Region],"not found")</f>
        <v>East</v>
      </c>
      <c r="G604">
        <v>1081</v>
      </c>
      <c r="H604" t="str">
        <f>_xlfn.XLOOKUP(tblOrders[[#This Row],[ProductID]],tblProducts[ProductID],tblProducts[ProductName],"not found")</f>
        <v>Boy</v>
      </c>
      <c r="I604" t="str">
        <f>_xlfn.XLOOKUP(tblOrders[[#This Row],[ProductID]],tblProducts[ProductID],tblProducts[Category],"not found")</f>
        <v>Furniture</v>
      </c>
      <c r="J604">
        <f>_xlfn.XLOOKUP(tblOrders[[#This Row],[ProductID]],tblProducts[ProductID],tblProducts[UnitPrice],"not found")</f>
        <v>125.7</v>
      </c>
      <c r="K604" t="str">
        <f>_xlfn.XLOOKUP(tblOrders[[#This Row],[ProductID]],tblProducts[ProductID],tblProducts[Supplier],"not found")</f>
        <v>Esparza, Buck and Taylor</v>
      </c>
      <c r="L604" s="1">
        <v>45414</v>
      </c>
      <c r="M6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45414</v>
      </c>
      <c r="N604">
        <v>7</v>
      </c>
      <c r="O604">
        <v>879.9</v>
      </c>
      <c r="P604">
        <f>tblOrders[[#This Row],[Quantity]]*tblOrders[[#This Row],[Unit Price]]</f>
        <v>879.9</v>
      </c>
      <c r="Q604">
        <f>tblOrders[[#This Row],[TotalSales]]-tblOrders[[#This Row],[Calculated Sales]]</f>
        <v>0</v>
      </c>
    </row>
    <row r="605" spans="1:17" x14ac:dyDescent="0.25">
      <c r="A605">
        <v>1143</v>
      </c>
      <c r="B605">
        <v>784</v>
      </c>
      <c r="C605" t="str">
        <f>_xlfn.XLOOKUP(tblOrders[[#This Row],[CustomerID]],tblCustomers[CustomerID],tblCustomers[CustomerName],"not found")</f>
        <v>Matthew Henderson</v>
      </c>
      <c r="D605">
        <f>_xlfn.XLOOKUP(tblOrders[[#This Row],[CustomerID]],tblCustomers[CustomerID],tblCustomers[Age],"not found")</f>
        <v>26</v>
      </c>
      <c r="E605" t="str">
        <f>_xlfn.XLOOKUP(tblOrders[[#This Row],[CustomerID]],tblCustomers[CustomerID],tblCustomers[Gender],"not found")</f>
        <v>Female</v>
      </c>
      <c r="F605" t="str">
        <f>_xlfn.XLOOKUP(tblOrders[[#This Row],[CustomerID]],tblCustomers[CustomerID],tblCustomers[Region],"not found")</f>
        <v>Central</v>
      </c>
      <c r="G605">
        <v>1081</v>
      </c>
      <c r="H605" t="str">
        <f>_xlfn.XLOOKUP(tblOrders[[#This Row],[ProductID]],tblProducts[ProductID],tblProducts[ProductName],"not found")</f>
        <v>Boy</v>
      </c>
      <c r="I605" t="str">
        <f>_xlfn.XLOOKUP(tblOrders[[#This Row],[ProductID]],tblProducts[ProductID],tblProducts[Category],"not found")</f>
        <v>Furniture</v>
      </c>
      <c r="J605">
        <f>_xlfn.XLOOKUP(tblOrders[[#This Row],[ProductID]],tblProducts[ProductID],tblProducts[UnitPrice],"not found")</f>
        <v>125.7</v>
      </c>
      <c r="K605" t="str">
        <f>_xlfn.XLOOKUP(tblOrders[[#This Row],[ProductID]],tblProducts[ProductID],tblProducts[Supplier],"not found")</f>
        <v>Esparza, Buck and Taylor</v>
      </c>
      <c r="L605" s="1" t="s">
        <v>2017</v>
      </c>
      <c r="M6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45129</v>
      </c>
      <c r="N605">
        <v>3</v>
      </c>
      <c r="O605">
        <v>377.1</v>
      </c>
      <c r="P605">
        <f>tblOrders[[#This Row],[Quantity]]*tblOrders[[#This Row],[Unit Price]]</f>
        <v>377.1</v>
      </c>
      <c r="Q605">
        <f>tblOrders[[#This Row],[TotalSales]]-tblOrders[[#This Row],[Calculated Sales]]</f>
        <v>0</v>
      </c>
    </row>
    <row r="606" spans="1:17" x14ac:dyDescent="0.25">
      <c r="A606">
        <v>1262</v>
      </c>
      <c r="B606">
        <v>152</v>
      </c>
      <c r="C606" t="str">
        <f>_xlfn.XLOOKUP(tblOrders[[#This Row],[CustomerID]],tblCustomers[CustomerID],tblCustomers[CustomerName],"not found")</f>
        <v>Leah Donaldson</v>
      </c>
      <c r="D606">
        <f>_xlfn.XLOOKUP(tblOrders[[#This Row],[CustomerID]],tblCustomers[CustomerID],tblCustomers[Age],"not found")</f>
        <v>24</v>
      </c>
      <c r="E606" t="str">
        <f>_xlfn.XLOOKUP(tblOrders[[#This Row],[CustomerID]],tblCustomers[CustomerID],tblCustomers[Gender],"not found")</f>
        <v>Male</v>
      </c>
      <c r="F606" t="str">
        <f>_xlfn.XLOOKUP(tblOrders[[#This Row],[CustomerID]],tblCustomers[CustomerID],tblCustomers[Region],"not found")</f>
        <v>South</v>
      </c>
      <c r="G606">
        <v>1081</v>
      </c>
      <c r="H606" t="str">
        <f>_xlfn.XLOOKUP(tblOrders[[#This Row],[ProductID]],tblProducts[ProductID],tblProducts[ProductName],"not found")</f>
        <v>Boy</v>
      </c>
      <c r="I606" t="str">
        <f>_xlfn.XLOOKUP(tblOrders[[#This Row],[ProductID]],tblProducts[ProductID],tblProducts[Category],"not found")</f>
        <v>Furniture</v>
      </c>
      <c r="J606">
        <f>_xlfn.XLOOKUP(tblOrders[[#This Row],[ProductID]],tblProducts[ProductID],tblProducts[UnitPrice],"not found")</f>
        <v>125.7</v>
      </c>
      <c r="K606" t="str">
        <f>_xlfn.XLOOKUP(tblOrders[[#This Row],[ProductID]],tblProducts[ProductID],tblProducts[Supplier],"not found")</f>
        <v>Esparza, Buck and Taylor</v>
      </c>
      <c r="L606" s="1" t="s">
        <v>2259</v>
      </c>
      <c r="M6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45198</v>
      </c>
      <c r="N606">
        <v>5</v>
      </c>
      <c r="O606">
        <v>628.5</v>
      </c>
      <c r="P606">
        <f>tblOrders[[#This Row],[Quantity]]*tblOrders[[#This Row],[Unit Price]]</f>
        <v>628.5</v>
      </c>
      <c r="Q606">
        <f>tblOrders[[#This Row],[TotalSales]]-tblOrders[[#This Row],[Calculated Sales]]</f>
        <v>0</v>
      </c>
    </row>
    <row r="607" spans="1:17" x14ac:dyDescent="0.25">
      <c r="A607">
        <v>1295</v>
      </c>
      <c r="B607">
        <v>239</v>
      </c>
      <c r="C607" t="str">
        <f>_xlfn.XLOOKUP(tblOrders[[#This Row],[CustomerID]],tblCustomers[CustomerID],tblCustomers[CustomerName],"not found")</f>
        <v>Haley Jordan</v>
      </c>
      <c r="D607">
        <f>_xlfn.XLOOKUP(tblOrders[[#This Row],[CustomerID]],tblCustomers[CustomerID],tblCustomers[Age],"not found")</f>
        <v>37</v>
      </c>
      <c r="E607" t="str">
        <f>_xlfn.XLOOKUP(tblOrders[[#This Row],[CustomerID]],tblCustomers[CustomerID],tblCustomers[Gender],"not found")</f>
        <v>Male</v>
      </c>
      <c r="F607" t="str">
        <f>_xlfn.XLOOKUP(tblOrders[[#This Row],[CustomerID]],tblCustomers[CustomerID],tblCustomers[Region],"not found")</f>
        <v>West</v>
      </c>
      <c r="G607">
        <v>1081</v>
      </c>
      <c r="H607" t="str">
        <f>_xlfn.XLOOKUP(tblOrders[[#This Row],[ProductID]],tblProducts[ProductID],tblProducts[ProductName],"not found")</f>
        <v>Boy</v>
      </c>
      <c r="I607" t="str">
        <f>_xlfn.XLOOKUP(tblOrders[[#This Row],[ProductID]],tblProducts[ProductID],tblProducts[Category],"not found")</f>
        <v>Furniture</v>
      </c>
      <c r="J607">
        <f>_xlfn.XLOOKUP(tblOrders[[#This Row],[ProductID]],tblProducts[ProductID],tblProducts[UnitPrice],"not found")</f>
        <v>125.7</v>
      </c>
      <c r="K607" t="str">
        <f>_xlfn.XLOOKUP(tblOrders[[#This Row],[ProductID]],tblProducts[ProductID],tblProducts[Supplier],"not found")</f>
        <v>Esparza, Buck and Taylor</v>
      </c>
      <c r="L607" s="1" t="s">
        <v>2260</v>
      </c>
      <c r="M6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44910</v>
      </c>
      <c r="N607">
        <v>2</v>
      </c>
      <c r="O607">
        <v>251.4</v>
      </c>
      <c r="P607">
        <f>tblOrders[[#This Row],[Quantity]]*tblOrders[[#This Row],[Unit Price]]</f>
        <v>251.4</v>
      </c>
      <c r="Q607">
        <f>tblOrders[[#This Row],[TotalSales]]-tblOrders[[#This Row],[Calculated Sales]]</f>
        <v>0</v>
      </c>
    </row>
    <row r="608" spans="1:17" x14ac:dyDescent="0.25">
      <c r="A608">
        <v>1305</v>
      </c>
      <c r="B608">
        <v>604</v>
      </c>
      <c r="C608" t="str">
        <f>_xlfn.XLOOKUP(tblOrders[[#This Row],[CustomerID]],tblCustomers[CustomerID],tblCustomers[CustomerName],"not found")</f>
        <v>James Bennett</v>
      </c>
      <c r="D608">
        <f>_xlfn.XLOOKUP(tblOrders[[#This Row],[CustomerID]],tblCustomers[CustomerID],tblCustomers[Age],"not found")</f>
        <v>35</v>
      </c>
      <c r="E608" t="str">
        <f>_xlfn.XLOOKUP(tblOrders[[#This Row],[CustomerID]],tblCustomers[CustomerID],tblCustomers[Gender],"not found")</f>
        <v>Female</v>
      </c>
      <c r="F608" t="str">
        <f>_xlfn.XLOOKUP(tblOrders[[#This Row],[CustomerID]],tblCustomers[CustomerID],tblCustomers[Region],"not found")</f>
        <v>East</v>
      </c>
      <c r="G608">
        <v>1081</v>
      </c>
      <c r="H608" t="str">
        <f>_xlfn.XLOOKUP(tblOrders[[#This Row],[ProductID]],tblProducts[ProductID],tblProducts[ProductName],"not found")</f>
        <v>Boy</v>
      </c>
      <c r="I608" t="str">
        <f>_xlfn.XLOOKUP(tblOrders[[#This Row],[ProductID]],tblProducts[ProductID],tblProducts[Category],"not found")</f>
        <v>Furniture</v>
      </c>
      <c r="J608">
        <f>_xlfn.XLOOKUP(tblOrders[[#This Row],[ProductID]],tblProducts[ProductID],tblProducts[UnitPrice],"not found")</f>
        <v>125.7</v>
      </c>
      <c r="K608" t="str">
        <f>_xlfn.XLOOKUP(tblOrders[[#This Row],[ProductID]],tblProducts[ProductID],tblProducts[Supplier],"not found")</f>
        <v>Esparza, Buck and Taylor</v>
      </c>
      <c r="L608" s="1">
        <v>44573</v>
      </c>
      <c r="M6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44573</v>
      </c>
      <c r="N608">
        <v>1</v>
      </c>
      <c r="O608">
        <v>125.7</v>
      </c>
      <c r="P608">
        <f>tblOrders[[#This Row],[Quantity]]*tblOrders[[#This Row],[Unit Price]]</f>
        <v>125.7</v>
      </c>
      <c r="Q608">
        <f>tblOrders[[#This Row],[TotalSales]]-tblOrders[[#This Row],[Calculated Sales]]</f>
        <v>0</v>
      </c>
    </row>
    <row r="609" spans="1:17" x14ac:dyDescent="0.25">
      <c r="A609">
        <v>1306</v>
      </c>
      <c r="B609">
        <v>559</v>
      </c>
      <c r="C609" t="str">
        <f>_xlfn.XLOOKUP(tblOrders[[#This Row],[CustomerID]],tblCustomers[CustomerID],tblCustomers[CustomerName],"not found")</f>
        <v>Stephanie Dunn</v>
      </c>
      <c r="D609">
        <f>_xlfn.XLOOKUP(tblOrders[[#This Row],[CustomerID]],tblCustomers[CustomerID],tblCustomers[Age],"not found")</f>
        <v>48</v>
      </c>
      <c r="E609" t="str">
        <f>_xlfn.XLOOKUP(tblOrders[[#This Row],[CustomerID]],tblCustomers[CustomerID],tblCustomers[Gender],"not found")</f>
        <v>Female</v>
      </c>
      <c r="F609" t="str">
        <f>_xlfn.XLOOKUP(tblOrders[[#This Row],[CustomerID]],tblCustomers[CustomerID],tblCustomers[Region],"not found")</f>
        <v>Central</v>
      </c>
      <c r="G609">
        <v>1081</v>
      </c>
      <c r="H609" t="str">
        <f>_xlfn.XLOOKUP(tblOrders[[#This Row],[ProductID]],tblProducts[ProductID],tblProducts[ProductName],"not found")</f>
        <v>Boy</v>
      </c>
      <c r="I609" t="str">
        <f>_xlfn.XLOOKUP(tblOrders[[#This Row],[ProductID]],tblProducts[ProductID],tblProducts[Category],"not found")</f>
        <v>Furniture</v>
      </c>
      <c r="J609">
        <f>_xlfn.XLOOKUP(tblOrders[[#This Row],[ProductID]],tblProducts[ProductID],tblProducts[UnitPrice],"not found")</f>
        <v>125.7</v>
      </c>
      <c r="K609" t="str">
        <f>_xlfn.XLOOKUP(tblOrders[[#This Row],[ProductID]],tblProducts[ProductID],tblProducts[Supplier],"not found")</f>
        <v>Esparza, Buck and Taylor</v>
      </c>
      <c r="L609" s="1">
        <v>45603</v>
      </c>
      <c r="M6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45603</v>
      </c>
      <c r="N609">
        <v>3</v>
      </c>
      <c r="O609">
        <v>377.1</v>
      </c>
      <c r="P609">
        <f>tblOrders[[#This Row],[Quantity]]*tblOrders[[#This Row],[Unit Price]]</f>
        <v>377.1</v>
      </c>
      <c r="Q609">
        <f>tblOrders[[#This Row],[TotalSales]]-tblOrders[[#This Row],[Calculated Sales]]</f>
        <v>0</v>
      </c>
    </row>
    <row r="610" spans="1:17" x14ac:dyDescent="0.25">
      <c r="A610">
        <v>1345</v>
      </c>
      <c r="B610">
        <v>979</v>
      </c>
      <c r="C610" t="str">
        <f>_xlfn.XLOOKUP(tblOrders[[#This Row],[CustomerID]],tblCustomers[CustomerID],tblCustomers[CustomerName],"not found")</f>
        <v>Sheila Erickson</v>
      </c>
      <c r="D610">
        <f>_xlfn.XLOOKUP(tblOrders[[#This Row],[CustomerID]],tblCustomers[CustomerID],tblCustomers[Age],"not found")</f>
        <v>38</v>
      </c>
      <c r="E610" t="str">
        <f>_xlfn.XLOOKUP(tblOrders[[#This Row],[CustomerID]],tblCustomers[CustomerID],tblCustomers[Gender],"not found")</f>
        <v>Female</v>
      </c>
      <c r="F610" t="str">
        <f>_xlfn.XLOOKUP(tblOrders[[#This Row],[CustomerID]],tblCustomers[CustomerID],tblCustomers[Region],"not found")</f>
        <v>South</v>
      </c>
      <c r="G610">
        <v>1081</v>
      </c>
      <c r="H610" t="str">
        <f>_xlfn.XLOOKUP(tblOrders[[#This Row],[ProductID]],tblProducts[ProductID],tblProducts[ProductName],"not found")</f>
        <v>Boy</v>
      </c>
      <c r="I610" t="str">
        <f>_xlfn.XLOOKUP(tblOrders[[#This Row],[ProductID]],tblProducts[ProductID],tblProducts[Category],"not found")</f>
        <v>Furniture</v>
      </c>
      <c r="J610">
        <f>_xlfn.XLOOKUP(tblOrders[[#This Row],[ProductID]],tblProducts[ProductID],tblProducts[UnitPrice],"not found")</f>
        <v>125.7</v>
      </c>
      <c r="K610" t="str">
        <f>_xlfn.XLOOKUP(tblOrders[[#This Row],[ProductID]],tblProducts[ProductID],tblProducts[Supplier],"not found")</f>
        <v>Esparza, Buck and Taylor</v>
      </c>
      <c r="L610" s="1">
        <v>45508</v>
      </c>
      <c r="M6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45508</v>
      </c>
      <c r="N610">
        <v>4</v>
      </c>
      <c r="O610">
        <v>502.8</v>
      </c>
      <c r="P610">
        <f>tblOrders[[#This Row],[Quantity]]*tblOrders[[#This Row],[Unit Price]]</f>
        <v>502.8</v>
      </c>
      <c r="Q610">
        <f>tblOrders[[#This Row],[TotalSales]]-tblOrders[[#This Row],[Calculated Sales]]</f>
        <v>0</v>
      </c>
    </row>
    <row r="611" spans="1:17" x14ac:dyDescent="0.25">
      <c r="A611">
        <v>1417</v>
      </c>
      <c r="B611">
        <v>120</v>
      </c>
      <c r="C611" t="str">
        <f>_xlfn.XLOOKUP(tblOrders[[#This Row],[CustomerID]],tblCustomers[CustomerID],tblCustomers[CustomerName],"not found")</f>
        <v>Mr. Gerald Carter</v>
      </c>
      <c r="D611">
        <f>_xlfn.XLOOKUP(tblOrders[[#This Row],[CustomerID]],tblCustomers[CustomerID],tblCustomers[Age],"not found")</f>
        <v>39</v>
      </c>
      <c r="E611" t="str">
        <f>_xlfn.XLOOKUP(tblOrders[[#This Row],[CustomerID]],tblCustomers[CustomerID],tblCustomers[Gender],"not found")</f>
        <v>Male</v>
      </c>
      <c r="F611" t="str">
        <f>_xlfn.XLOOKUP(tblOrders[[#This Row],[CustomerID]],tblCustomers[CustomerID],tblCustomers[Region],"not found")</f>
        <v>West</v>
      </c>
      <c r="G611">
        <v>1081</v>
      </c>
      <c r="H611" t="str">
        <f>_xlfn.XLOOKUP(tblOrders[[#This Row],[ProductID]],tblProducts[ProductID],tblProducts[ProductName],"not found")</f>
        <v>Boy</v>
      </c>
      <c r="I611" t="str">
        <f>_xlfn.XLOOKUP(tblOrders[[#This Row],[ProductID]],tblProducts[ProductID],tblProducts[Category],"not found")</f>
        <v>Furniture</v>
      </c>
      <c r="J611">
        <f>_xlfn.XLOOKUP(tblOrders[[#This Row],[ProductID]],tblProducts[ProductID],tblProducts[UnitPrice],"not found")</f>
        <v>125.7</v>
      </c>
      <c r="K611" t="str">
        <f>_xlfn.XLOOKUP(tblOrders[[#This Row],[ProductID]],tblProducts[ProductID],tblProducts[Supplier],"not found")</f>
        <v>Esparza, Buck and Taylor</v>
      </c>
      <c r="L611" s="1">
        <v>45511</v>
      </c>
      <c r="M6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45511</v>
      </c>
      <c r="N611">
        <v>3</v>
      </c>
      <c r="O611">
        <v>377.1</v>
      </c>
      <c r="P611">
        <f>tblOrders[[#This Row],[Quantity]]*tblOrders[[#This Row],[Unit Price]]</f>
        <v>377.1</v>
      </c>
      <c r="Q611">
        <f>tblOrders[[#This Row],[TotalSales]]-tblOrders[[#This Row],[Calculated Sales]]</f>
        <v>0</v>
      </c>
    </row>
    <row r="612" spans="1:17" x14ac:dyDescent="0.25">
      <c r="A612">
        <v>1561</v>
      </c>
      <c r="B612">
        <v>35</v>
      </c>
      <c r="C612" t="str">
        <f>_xlfn.XLOOKUP(tblOrders[[#This Row],[CustomerID]],tblCustomers[CustomerID],tblCustomers[CustomerName],"not found")</f>
        <v>John Hubbard</v>
      </c>
      <c r="D612">
        <f>_xlfn.XLOOKUP(tblOrders[[#This Row],[CustomerID]],tblCustomers[CustomerID],tblCustomers[Age],"not found")</f>
        <v>63</v>
      </c>
      <c r="E612" t="str">
        <f>_xlfn.XLOOKUP(tblOrders[[#This Row],[CustomerID]],tblCustomers[CustomerID],tblCustomers[Gender],"not found")</f>
        <v>Female</v>
      </c>
      <c r="F612" t="str">
        <f>_xlfn.XLOOKUP(tblOrders[[#This Row],[CustomerID]],tblCustomers[CustomerID],tblCustomers[Region],"not found")</f>
        <v>South</v>
      </c>
      <c r="G612">
        <v>1081</v>
      </c>
      <c r="H612" t="str">
        <f>_xlfn.XLOOKUP(tblOrders[[#This Row],[ProductID]],tblProducts[ProductID],tblProducts[ProductName],"not found")</f>
        <v>Boy</v>
      </c>
      <c r="I612" t="str">
        <f>_xlfn.XLOOKUP(tblOrders[[#This Row],[ProductID]],tblProducts[ProductID],tblProducts[Category],"not found")</f>
        <v>Furniture</v>
      </c>
      <c r="J612">
        <f>_xlfn.XLOOKUP(tblOrders[[#This Row],[ProductID]],tblProducts[ProductID],tblProducts[UnitPrice],"not found")</f>
        <v>125.7</v>
      </c>
      <c r="K612" t="str">
        <f>_xlfn.XLOOKUP(tblOrders[[#This Row],[ProductID]],tblProducts[ProductID],tblProducts[Supplier],"not found")</f>
        <v>Esparza, Buck and Taylor</v>
      </c>
      <c r="L612" s="1">
        <v>45414</v>
      </c>
      <c r="M6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45414</v>
      </c>
      <c r="N612">
        <v>3</v>
      </c>
      <c r="O612">
        <v>377.1</v>
      </c>
      <c r="P612">
        <f>tblOrders[[#This Row],[Quantity]]*tblOrders[[#This Row],[Unit Price]]</f>
        <v>377.1</v>
      </c>
      <c r="Q612">
        <f>tblOrders[[#This Row],[TotalSales]]-tblOrders[[#This Row],[Calculated Sales]]</f>
        <v>0</v>
      </c>
    </row>
    <row r="613" spans="1:17" x14ac:dyDescent="0.25">
      <c r="A613">
        <v>1648</v>
      </c>
      <c r="B613">
        <v>266</v>
      </c>
      <c r="C613" t="str">
        <f>_xlfn.XLOOKUP(tblOrders[[#This Row],[CustomerID]],tblCustomers[CustomerID],tblCustomers[CustomerName],"not found")</f>
        <v>Debra Marshall</v>
      </c>
      <c r="D613">
        <f>_xlfn.XLOOKUP(tblOrders[[#This Row],[CustomerID]],tblCustomers[CustomerID],tblCustomers[Age],"not found")</f>
        <v>62</v>
      </c>
      <c r="E613" t="str">
        <f>_xlfn.XLOOKUP(tblOrders[[#This Row],[CustomerID]],tblCustomers[CustomerID],tblCustomers[Gender],"not found")</f>
        <v>Male</v>
      </c>
      <c r="F613" t="str">
        <f>_xlfn.XLOOKUP(tblOrders[[#This Row],[CustomerID]],tblCustomers[CustomerID],tblCustomers[Region],"not found")</f>
        <v>East</v>
      </c>
      <c r="G613">
        <v>1081</v>
      </c>
      <c r="H613" t="str">
        <f>_xlfn.XLOOKUP(tblOrders[[#This Row],[ProductID]],tblProducts[ProductID],tblProducts[ProductName],"not found")</f>
        <v>Boy</v>
      </c>
      <c r="I613" t="str">
        <f>_xlfn.XLOOKUP(tblOrders[[#This Row],[ProductID]],tblProducts[ProductID],tblProducts[Category],"not found")</f>
        <v>Furniture</v>
      </c>
      <c r="J613">
        <f>_xlfn.XLOOKUP(tblOrders[[#This Row],[ProductID]],tblProducts[ProductID],tblProducts[UnitPrice],"not found")</f>
        <v>125.7</v>
      </c>
      <c r="K613" t="str">
        <f>_xlfn.XLOOKUP(tblOrders[[#This Row],[ProductID]],tblProducts[ProductID],tblProducts[Supplier],"not found")</f>
        <v>Esparza, Buck and Taylor</v>
      </c>
      <c r="L613" s="1">
        <v>45202</v>
      </c>
      <c r="M6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45202</v>
      </c>
      <c r="N613">
        <v>2</v>
      </c>
      <c r="O613">
        <v>251.4</v>
      </c>
      <c r="P613">
        <f>tblOrders[[#This Row],[Quantity]]*tblOrders[[#This Row],[Unit Price]]</f>
        <v>251.4</v>
      </c>
      <c r="Q613">
        <f>tblOrders[[#This Row],[TotalSales]]-tblOrders[[#This Row],[Calculated Sales]]</f>
        <v>0</v>
      </c>
    </row>
    <row r="614" spans="1:17" x14ac:dyDescent="0.25">
      <c r="A614">
        <v>1790</v>
      </c>
      <c r="B614">
        <v>4</v>
      </c>
      <c r="C614" t="str">
        <f>_xlfn.XLOOKUP(tblOrders[[#This Row],[CustomerID]],tblCustomers[CustomerID],tblCustomers[CustomerName],"not found")</f>
        <v>Laura King</v>
      </c>
      <c r="D614">
        <f>_xlfn.XLOOKUP(tblOrders[[#This Row],[CustomerID]],tblCustomers[CustomerID],tblCustomers[Age],"not found")</f>
        <v>20</v>
      </c>
      <c r="E614" t="str">
        <f>_xlfn.XLOOKUP(tblOrders[[#This Row],[CustomerID]],tblCustomers[CustomerID],tblCustomers[Gender],"not found")</f>
        <v>Male</v>
      </c>
      <c r="F614" t="str">
        <f>_xlfn.XLOOKUP(tblOrders[[#This Row],[CustomerID]],tblCustomers[CustomerID],tblCustomers[Region],"not found")</f>
        <v>Central</v>
      </c>
      <c r="G614">
        <v>1081</v>
      </c>
      <c r="H614" t="str">
        <f>_xlfn.XLOOKUP(tblOrders[[#This Row],[ProductID]],tblProducts[ProductID],tblProducts[ProductName],"not found")</f>
        <v>Boy</v>
      </c>
      <c r="I614" t="str">
        <f>_xlfn.XLOOKUP(tblOrders[[#This Row],[ProductID]],tblProducts[ProductID],tblProducts[Category],"not found")</f>
        <v>Furniture</v>
      </c>
      <c r="J614">
        <f>_xlfn.XLOOKUP(tblOrders[[#This Row],[ProductID]],tblProducts[ProductID],tblProducts[UnitPrice],"not found")</f>
        <v>125.7</v>
      </c>
      <c r="K614" t="str">
        <f>_xlfn.XLOOKUP(tblOrders[[#This Row],[ProductID]],tblProducts[ProductID],tblProducts[Supplier],"not found")</f>
        <v>Esparza, Buck and Taylor</v>
      </c>
      <c r="L614" s="1">
        <v>45298</v>
      </c>
      <c r="M6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45298</v>
      </c>
      <c r="N614">
        <v>8</v>
      </c>
      <c r="O614">
        <v>1005.6</v>
      </c>
      <c r="P614">
        <f>tblOrders[[#This Row],[Quantity]]*tblOrders[[#This Row],[Unit Price]]</f>
        <v>1005.6</v>
      </c>
      <c r="Q614">
        <f>tblOrders[[#This Row],[TotalSales]]-tblOrders[[#This Row],[Calculated Sales]]</f>
        <v>0</v>
      </c>
    </row>
    <row r="615" spans="1:17" x14ac:dyDescent="0.25">
      <c r="A615">
        <v>1848</v>
      </c>
      <c r="B615">
        <v>249</v>
      </c>
      <c r="C615" t="str">
        <f>_xlfn.XLOOKUP(tblOrders[[#This Row],[CustomerID]],tblCustomers[CustomerID],tblCustomers[CustomerName],"not found")</f>
        <v>Diana Ramirez</v>
      </c>
      <c r="D615">
        <f>_xlfn.XLOOKUP(tblOrders[[#This Row],[CustomerID]],tblCustomers[CustomerID],tblCustomers[Age],"not found")</f>
        <v>56</v>
      </c>
      <c r="E615" t="str">
        <f>_xlfn.XLOOKUP(tblOrders[[#This Row],[CustomerID]],tblCustomers[CustomerID],tblCustomers[Gender],"not found")</f>
        <v>Male</v>
      </c>
      <c r="F615" t="str">
        <f>_xlfn.XLOOKUP(tblOrders[[#This Row],[CustomerID]],tblCustomers[CustomerID],tblCustomers[Region],"not found")</f>
        <v>Central</v>
      </c>
      <c r="G615">
        <v>1081</v>
      </c>
      <c r="H615" t="str">
        <f>_xlfn.XLOOKUP(tblOrders[[#This Row],[ProductID]],tblProducts[ProductID],tblProducts[ProductName],"not found")</f>
        <v>Boy</v>
      </c>
      <c r="I615" t="str">
        <f>_xlfn.XLOOKUP(tblOrders[[#This Row],[ProductID]],tblProducts[ProductID],tblProducts[Category],"not found")</f>
        <v>Furniture</v>
      </c>
      <c r="J615">
        <f>_xlfn.XLOOKUP(tblOrders[[#This Row],[ProductID]],tblProducts[ProductID],tblProducts[UnitPrice],"not found")</f>
        <v>125.7</v>
      </c>
      <c r="K615" t="str">
        <f>_xlfn.XLOOKUP(tblOrders[[#This Row],[ProductID]],tblProducts[ProductID],tblProducts[Supplier],"not found")</f>
        <v>Esparza, Buck and Taylor</v>
      </c>
      <c r="L615" s="1" t="s">
        <v>2178</v>
      </c>
      <c r="M6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45069</v>
      </c>
      <c r="N615">
        <v>2</v>
      </c>
      <c r="O615">
        <v>251.4</v>
      </c>
      <c r="P615">
        <f>tblOrders[[#This Row],[Quantity]]*tblOrders[[#This Row],[Unit Price]]</f>
        <v>251.4</v>
      </c>
      <c r="Q615">
        <f>tblOrders[[#This Row],[TotalSales]]-tblOrders[[#This Row],[Calculated Sales]]</f>
        <v>0</v>
      </c>
    </row>
    <row r="616" spans="1:17" x14ac:dyDescent="0.25">
      <c r="A616">
        <v>1856</v>
      </c>
      <c r="B616">
        <v>560</v>
      </c>
      <c r="C616" t="str">
        <f>_xlfn.XLOOKUP(tblOrders[[#This Row],[CustomerID]],tblCustomers[CustomerID],tblCustomers[CustomerName],"not found")</f>
        <v>Rose Lopez</v>
      </c>
      <c r="D616">
        <f>_xlfn.XLOOKUP(tblOrders[[#This Row],[CustomerID]],tblCustomers[CustomerID],tblCustomers[Age],"not found")</f>
        <v>21</v>
      </c>
      <c r="E616" t="str">
        <f>_xlfn.XLOOKUP(tblOrders[[#This Row],[CustomerID]],tblCustomers[CustomerID],tblCustomers[Gender],"not found")</f>
        <v>Male</v>
      </c>
      <c r="F616" t="str">
        <f>_xlfn.XLOOKUP(tblOrders[[#This Row],[CustomerID]],tblCustomers[CustomerID],tblCustomers[Region],"not found")</f>
        <v>East</v>
      </c>
      <c r="G616">
        <v>1081</v>
      </c>
      <c r="H616" t="str">
        <f>_xlfn.XLOOKUP(tblOrders[[#This Row],[ProductID]],tblProducts[ProductID],tblProducts[ProductName],"not found")</f>
        <v>Boy</v>
      </c>
      <c r="I616" t="str">
        <f>_xlfn.XLOOKUP(tblOrders[[#This Row],[ProductID]],tblProducts[ProductID],tblProducts[Category],"not found")</f>
        <v>Furniture</v>
      </c>
      <c r="J616">
        <f>_xlfn.XLOOKUP(tblOrders[[#This Row],[ProductID]],tblProducts[ProductID],tblProducts[UnitPrice],"not found")</f>
        <v>125.7</v>
      </c>
      <c r="K616" t="str">
        <f>_xlfn.XLOOKUP(tblOrders[[#This Row],[ProductID]],tblProducts[ProductID],tblProducts[Supplier],"not found")</f>
        <v>Esparza, Buck and Taylor</v>
      </c>
      <c r="L616" s="1" t="s">
        <v>2138</v>
      </c>
      <c r="M6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45253</v>
      </c>
      <c r="N616">
        <v>1</v>
      </c>
      <c r="O616">
        <v>125.7</v>
      </c>
      <c r="P616">
        <f>tblOrders[[#This Row],[Quantity]]*tblOrders[[#This Row],[Unit Price]]</f>
        <v>125.7</v>
      </c>
      <c r="Q616">
        <f>tblOrders[[#This Row],[TotalSales]]-tblOrders[[#This Row],[Calculated Sales]]</f>
        <v>0</v>
      </c>
    </row>
    <row r="617" spans="1:17" x14ac:dyDescent="0.25">
      <c r="A617">
        <v>1898</v>
      </c>
      <c r="B617">
        <v>1000</v>
      </c>
      <c r="C617" t="str">
        <f>_xlfn.XLOOKUP(tblOrders[[#This Row],[CustomerID]],tblCustomers[CustomerID],tblCustomers[CustomerName],"not found")</f>
        <v>Tyrone Ferrell</v>
      </c>
      <c r="D617">
        <f>_xlfn.XLOOKUP(tblOrders[[#This Row],[CustomerID]],tblCustomers[CustomerID],tblCustomers[Age],"not found")</f>
        <v>42</v>
      </c>
      <c r="E617" t="str">
        <f>_xlfn.XLOOKUP(tblOrders[[#This Row],[CustomerID]],tblCustomers[CustomerID],tblCustomers[Gender],"not found")</f>
        <v>Female</v>
      </c>
      <c r="F617" t="str">
        <f>_xlfn.XLOOKUP(tblOrders[[#This Row],[CustomerID]],tblCustomers[CustomerID],tblCustomers[Region],"not found")</f>
        <v>Central</v>
      </c>
      <c r="G617">
        <v>1081</v>
      </c>
      <c r="H617" t="str">
        <f>_xlfn.XLOOKUP(tblOrders[[#This Row],[ProductID]],tblProducts[ProductID],tblProducts[ProductName],"not found")</f>
        <v>Boy</v>
      </c>
      <c r="I617" t="str">
        <f>_xlfn.XLOOKUP(tblOrders[[#This Row],[ProductID]],tblProducts[ProductID],tblProducts[Category],"not found")</f>
        <v>Furniture</v>
      </c>
      <c r="J617">
        <f>_xlfn.XLOOKUP(tblOrders[[#This Row],[ProductID]],tblProducts[ProductID],tblProducts[UnitPrice],"not found")</f>
        <v>125.7</v>
      </c>
      <c r="K617" t="str">
        <f>_xlfn.XLOOKUP(tblOrders[[#This Row],[ProductID]],tblProducts[ProductID],tblProducts[Supplier],"not found")</f>
        <v>Esparza, Buck and Taylor</v>
      </c>
      <c r="L617" s="1" t="s">
        <v>2261</v>
      </c>
      <c r="M6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45126</v>
      </c>
      <c r="N617">
        <v>3</v>
      </c>
      <c r="O617">
        <v>377.1</v>
      </c>
      <c r="P617">
        <f>tblOrders[[#This Row],[Quantity]]*tblOrders[[#This Row],[Unit Price]]</f>
        <v>377.1</v>
      </c>
      <c r="Q617">
        <f>tblOrders[[#This Row],[TotalSales]]-tblOrders[[#This Row],[Calculated Sales]]</f>
        <v>0</v>
      </c>
    </row>
    <row r="618" spans="1:17" x14ac:dyDescent="0.25">
      <c r="A618">
        <v>31</v>
      </c>
      <c r="B618">
        <v>291</v>
      </c>
      <c r="C618" t="str">
        <f>_xlfn.XLOOKUP(tblOrders[[#This Row],[CustomerID]],tblCustomers[CustomerID],tblCustomers[CustomerName],"not found")</f>
        <v>Gary Peterson</v>
      </c>
      <c r="D618">
        <f>_xlfn.XLOOKUP(tblOrders[[#This Row],[CustomerID]],tblCustomers[CustomerID],tblCustomers[Age],"not found")</f>
        <v>21</v>
      </c>
      <c r="E618" t="str">
        <f>_xlfn.XLOOKUP(tblOrders[[#This Row],[CustomerID]],tblCustomers[CustomerID],tblCustomers[Gender],"not found")</f>
        <v>Female</v>
      </c>
      <c r="F618" t="str">
        <f>_xlfn.XLOOKUP(tblOrders[[#This Row],[CustomerID]],tblCustomers[CustomerID],tblCustomers[Region],"not found")</f>
        <v>West</v>
      </c>
      <c r="G618">
        <v>1080</v>
      </c>
      <c r="H618" t="str">
        <f>_xlfn.XLOOKUP(tblOrders[[#This Row],[ProductID]],tblProducts[ProductID],tblProducts[ProductName],"not found")</f>
        <v>Anything</v>
      </c>
      <c r="I618" t="str">
        <f>_xlfn.XLOOKUP(tblOrders[[#This Row],[ProductID]],tblProducts[ProductID],tblProducts[Category],"not found")</f>
        <v>Electronics</v>
      </c>
      <c r="J618">
        <f>_xlfn.XLOOKUP(tblOrders[[#This Row],[ProductID]],tblProducts[ProductID],tblProducts[UnitPrice],"not found")</f>
        <v>62.14</v>
      </c>
      <c r="K618" t="str">
        <f>_xlfn.XLOOKUP(tblOrders[[#This Row],[ProductID]],tblProducts[ProductID],tblProducts[Supplier],"not found")</f>
        <v>Stokes-Mcdowell</v>
      </c>
      <c r="L618" s="1" t="s">
        <v>2081</v>
      </c>
      <c r="M6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618">
        <v>3</v>
      </c>
      <c r="O618">
        <v>186.42</v>
      </c>
      <c r="P618">
        <f>tblOrders[[#This Row],[Quantity]]*tblOrders[[#This Row],[Unit Price]]</f>
        <v>186.42000000000002</v>
      </c>
      <c r="Q618">
        <f>tblOrders[[#This Row],[TotalSales]]-tblOrders[[#This Row],[Calculated Sales]]</f>
        <v>0</v>
      </c>
    </row>
    <row r="619" spans="1:17" x14ac:dyDescent="0.25">
      <c r="A619">
        <v>145</v>
      </c>
      <c r="B619">
        <v>626</v>
      </c>
      <c r="C619" t="str">
        <f>_xlfn.XLOOKUP(tblOrders[[#This Row],[CustomerID]],tblCustomers[CustomerID],tblCustomers[CustomerName],"not found")</f>
        <v>Benjamin Perez</v>
      </c>
      <c r="D619">
        <f>_xlfn.XLOOKUP(tblOrders[[#This Row],[CustomerID]],tblCustomers[CustomerID],tblCustomers[Age],"not found")</f>
        <v>25</v>
      </c>
      <c r="E619" t="str">
        <f>_xlfn.XLOOKUP(tblOrders[[#This Row],[CustomerID]],tblCustomers[CustomerID],tblCustomers[Gender],"not found")</f>
        <v>Female</v>
      </c>
      <c r="F619" t="str">
        <f>_xlfn.XLOOKUP(tblOrders[[#This Row],[CustomerID]],tblCustomers[CustomerID],tblCustomers[Region],"not found")</f>
        <v>North</v>
      </c>
      <c r="G619">
        <v>1080</v>
      </c>
      <c r="H619" t="str">
        <f>_xlfn.XLOOKUP(tblOrders[[#This Row],[ProductID]],tblProducts[ProductID],tblProducts[ProductName],"not found")</f>
        <v>Anything</v>
      </c>
      <c r="I619" t="str">
        <f>_xlfn.XLOOKUP(tblOrders[[#This Row],[ProductID]],tblProducts[ProductID],tblProducts[Category],"not found")</f>
        <v>Electronics</v>
      </c>
      <c r="J619">
        <f>_xlfn.XLOOKUP(tblOrders[[#This Row],[ProductID]],tblProducts[ProductID],tblProducts[UnitPrice],"not found")</f>
        <v>62.14</v>
      </c>
      <c r="K619" t="str">
        <f>_xlfn.XLOOKUP(tblOrders[[#This Row],[ProductID]],tblProducts[ProductID],tblProducts[Supplier],"not found")</f>
        <v>Stokes-Mcdowell</v>
      </c>
      <c r="L619" s="1" t="s">
        <v>2257</v>
      </c>
      <c r="M6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619">
        <v>4</v>
      </c>
      <c r="O619">
        <v>248.56</v>
      </c>
      <c r="P619">
        <f>tblOrders[[#This Row],[Quantity]]*tblOrders[[#This Row],[Unit Price]]</f>
        <v>248.56</v>
      </c>
      <c r="Q619">
        <f>tblOrders[[#This Row],[TotalSales]]-tblOrders[[#This Row],[Calculated Sales]]</f>
        <v>0</v>
      </c>
    </row>
    <row r="620" spans="1:17" x14ac:dyDescent="0.25">
      <c r="A620">
        <v>450</v>
      </c>
      <c r="B620">
        <v>506</v>
      </c>
      <c r="C620" t="str">
        <f>_xlfn.XLOOKUP(tblOrders[[#This Row],[CustomerID]],tblCustomers[CustomerID],tblCustomers[CustomerName],"not found")</f>
        <v>Allison Glenn</v>
      </c>
      <c r="D620">
        <f>_xlfn.XLOOKUP(tblOrders[[#This Row],[CustomerID]],tblCustomers[CustomerID],tblCustomers[Age],"not found")</f>
        <v>42</v>
      </c>
      <c r="E620" t="str">
        <f>_xlfn.XLOOKUP(tblOrders[[#This Row],[CustomerID]],tblCustomers[CustomerID],tblCustomers[Gender],"not found")</f>
        <v>Female</v>
      </c>
      <c r="F620" t="str">
        <f>_xlfn.XLOOKUP(tblOrders[[#This Row],[CustomerID]],tblCustomers[CustomerID],tblCustomers[Region],"not found")</f>
        <v>Central</v>
      </c>
      <c r="G620">
        <v>1080</v>
      </c>
      <c r="H620" t="str">
        <f>_xlfn.XLOOKUP(tblOrders[[#This Row],[ProductID]],tblProducts[ProductID],tblProducts[ProductName],"not found")</f>
        <v>Anything</v>
      </c>
      <c r="I620" t="str">
        <f>_xlfn.XLOOKUP(tblOrders[[#This Row],[ProductID]],tblProducts[ProductID],tblProducts[Category],"not found")</f>
        <v>Electronics</v>
      </c>
      <c r="J620">
        <f>_xlfn.XLOOKUP(tblOrders[[#This Row],[ProductID]],tblProducts[ProductID],tblProducts[UnitPrice],"not found")</f>
        <v>62.14</v>
      </c>
      <c r="K620" t="str">
        <f>_xlfn.XLOOKUP(tblOrders[[#This Row],[ProductID]],tblProducts[ProductID],tblProducts[Supplier],"not found")</f>
        <v>Stokes-Mcdowell</v>
      </c>
      <c r="L620" s="1" t="s">
        <v>2145</v>
      </c>
      <c r="M6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45226</v>
      </c>
      <c r="N620">
        <v>7</v>
      </c>
      <c r="O620">
        <v>434.98</v>
      </c>
      <c r="P620">
        <f>tblOrders[[#This Row],[Quantity]]*tblOrders[[#This Row],[Unit Price]]</f>
        <v>434.98</v>
      </c>
      <c r="Q620">
        <f>tblOrders[[#This Row],[TotalSales]]-tblOrders[[#This Row],[Calculated Sales]]</f>
        <v>0</v>
      </c>
    </row>
    <row r="621" spans="1:17" x14ac:dyDescent="0.25">
      <c r="A621">
        <v>536</v>
      </c>
      <c r="B621">
        <v>249</v>
      </c>
      <c r="C621" t="str">
        <f>_xlfn.XLOOKUP(tblOrders[[#This Row],[CustomerID]],tblCustomers[CustomerID],tblCustomers[CustomerName],"not found")</f>
        <v>Diana Ramirez</v>
      </c>
      <c r="D621">
        <f>_xlfn.XLOOKUP(tblOrders[[#This Row],[CustomerID]],tblCustomers[CustomerID],tblCustomers[Age],"not found")</f>
        <v>56</v>
      </c>
      <c r="E621" t="str">
        <f>_xlfn.XLOOKUP(tblOrders[[#This Row],[CustomerID]],tblCustomers[CustomerID],tblCustomers[Gender],"not found")</f>
        <v>Male</v>
      </c>
      <c r="F621" t="str">
        <f>_xlfn.XLOOKUP(tblOrders[[#This Row],[CustomerID]],tblCustomers[CustomerID],tblCustomers[Region],"not found")</f>
        <v>Central</v>
      </c>
      <c r="G621">
        <v>1080</v>
      </c>
      <c r="H621" t="str">
        <f>_xlfn.XLOOKUP(tblOrders[[#This Row],[ProductID]],tblProducts[ProductID],tblProducts[ProductName],"not found")</f>
        <v>Anything</v>
      </c>
      <c r="I621" t="str">
        <f>_xlfn.XLOOKUP(tblOrders[[#This Row],[ProductID]],tblProducts[ProductID],tblProducts[Category],"not found")</f>
        <v>Electronics</v>
      </c>
      <c r="J621">
        <f>_xlfn.XLOOKUP(tblOrders[[#This Row],[ProductID]],tblProducts[ProductID],tblProducts[UnitPrice],"not found")</f>
        <v>62.14</v>
      </c>
      <c r="K621" t="str">
        <f>_xlfn.XLOOKUP(tblOrders[[#This Row],[ProductID]],tblProducts[ProductID],tblProducts[Supplier],"not found")</f>
        <v>Stokes-Mcdowell</v>
      </c>
      <c r="L621" s="1" t="s">
        <v>2238</v>
      </c>
      <c r="M6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45548</v>
      </c>
      <c r="N621">
        <v>3</v>
      </c>
      <c r="O621">
        <v>186.42</v>
      </c>
      <c r="P621">
        <f>tblOrders[[#This Row],[Quantity]]*tblOrders[[#This Row],[Unit Price]]</f>
        <v>186.42000000000002</v>
      </c>
      <c r="Q621">
        <f>tblOrders[[#This Row],[TotalSales]]-tblOrders[[#This Row],[Calculated Sales]]</f>
        <v>0</v>
      </c>
    </row>
    <row r="622" spans="1:17" x14ac:dyDescent="0.25">
      <c r="A622">
        <v>695</v>
      </c>
      <c r="B622">
        <v>412</v>
      </c>
      <c r="C622" t="str">
        <f>_xlfn.XLOOKUP(tblOrders[[#This Row],[CustomerID]],tblCustomers[CustomerID],tblCustomers[CustomerName],"not found")</f>
        <v>Nicholas Estrada</v>
      </c>
      <c r="D622">
        <f>_xlfn.XLOOKUP(tblOrders[[#This Row],[CustomerID]],tblCustomers[CustomerID],tblCustomers[Age],"not found")</f>
        <v>30</v>
      </c>
      <c r="E622" t="str">
        <f>_xlfn.XLOOKUP(tblOrders[[#This Row],[CustomerID]],tblCustomers[CustomerID],tblCustomers[Gender],"not found")</f>
        <v>Female</v>
      </c>
      <c r="F622" t="str">
        <f>_xlfn.XLOOKUP(tblOrders[[#This Row],[CustomerID]],tblCustomers[CustomerID],tblCustomers[Region],"not found")</f>
        <v>South</v>
      </c>
      <c r="G622">
        <v>1080</v>
      </c>
      <c r="H622" t="str">
        <f>_xlfn.XLOOKUP(tblOrders[[#This Row],[ProductID]],tblProducts[ProductID],tblProducts[ProductName],"not found")</f>
        <v>Anything</v>
      </c>
      <c r="I622" t="str">
        <f>_xlfn.XLOOKUP(tblOrders[[#This Row],[ProductID]],tblProducts[ProductID],tblProducts[Category],"not found")</f>
        <v>Electronics</v>
      </c>
      <c r="J622">
        <f>_xlfn.XLOOKUP(tblOrders[[#This Row],[ProductID]],tblProducts[ProductID],tblProducts[UnitPrice],"not found")</f>
        <v>62.14</v>
      </c>
      <c r="K622" t="str">
        <f>_xlfn.XLOOKUP(tblOrders[[#This Row],[ProductID]],tblProducts[ProductID],tblProducts[Supplier],"not found")</f>
        <v>Stokes-Mcdowell</v>
      </c>
      <c r="L622" s="1" t="s">
        <v>2262</v>
      </c>
      <c r="M6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45431</v>
      </c>
      <c r="N622">
        <v>6</v>
      </c>
      <c r="O622">
        <v>372.84</v>
      </c>
      <c r="P622">
        <f>tblOrders[[#This Row],[Quantity]]*tblOrders[[#This Row],[Unit Price]]</f>
        <v>372.84000000000003</v>
      </c>
      <c r="Q622">
        <f>tblOrders[[#This Row],[TotalSales]]-tblOrders[[#This Row],[Calculated Sales]]</f>
        <v>0</v>
      </c>
    </row>
    <row r="623" spans="1:17" x14ac:dyDescent="0.25">
      <c r="A623">
        <v>725</v>
      </c>
      <c r="B623">
        <v>226</v>
      </c>
      <c r="C623" t="str">
        <f>_xlfn.XLOOKUP(tblOrders[[#This Row],[CustomerID]],tblCustomers[CustomerID],tblCustomers[CustomerName],"not found")</f>
        <v>Mrs. Pamela Garrett</v>
      </c>
      <c r="D623">
        <f>_xlfn.XLOOKUP(tblOrders[[#This Row],[CustomerID]],tblCustomers[CustomerID],tblCustomers[Age],"not found")</f>
        <v>34</v>
      </c>
      <c r="E623" t="str">
        <f>_xlfn.XLOOKUP(tblOrders[[#This Row],[CustomerID]],tblCustomers[CustomerID],tblCustomers[Gender],"not found")</f>
        <v>Female</v>
      </c>
      <c r="F623" t="str">
        <f>_xlfn.XLOOKUP(tblOrders[[#This Row],[CustomerID]],tblCustomers[CustomerID],tblCustomers[Region],"not found")</f>
        <v>South</v>
      </c>
      <c r="G623">
        <v>1080</v>
      </c>
      <c r="H623" t="str">
        <f>_xlfn.XLOOKUP(tblOrders[[#This Row],[ProductID]],tblProducts[ProductID],tblProducts[ProductName],"not found")</f>
        <v>Anything</v>
      </c>
      <c r="I623" t="str">
        <f>_xlfn.XLOOKUP(tblOrders[[#This Row],[ProductID]],tblProducts[ProductID],tblProducts[Category],"not found")</f>
        <v>Electronics</v>
      </c>
      <c r="J623">
        <f>_xlfn.XLOOKUP(tblOrders[[#This Row],[ProductID]],tblProducts[ProductID],tblProducts[UnitPrice],"not found")</f>
        <v>62.14</v>
      </c>
      <c r="K623" t="str">
        <f>_xlfn.XLOOKUP(tblOrders[[#This Row],[ProductID]],tblProducts[ProductID],tblProducts[Supplier],"not found")</f>
        <v>Stokes-Mcdowell</v>
      </c>
      <c r="L623" s="1">
        <v>45414</v>
      </c>
      <c r="M6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45414</v>
      </c>
      <c r="N623">
        <v>8</v>
      </c>
      <c r="O623">
        <v>497.12</v>
      </c>
      <c r="P623">
        <f>tblOrders[[#This Row],[Quantity]]*tblOrders[[#This Row],[Unit Price]]</f>
        <v>497.12</v>
      </c>
      <c r="Q623">
        <f>tblOrders[[#This Row],[TotalSales]]-tblOrders[[#This Row],[Calculated Sales]]</f>
        <v>0</v>
      </c>
    </row>
    <row r="624" spans="1:17" x14ac:dyDescent="0.25">
      <c r="A624">
        <v>782</v>
      </c>
      <c r="B624">
        <v>568</v>
      </c>
      <c r="C624" t="str">
        <f>_xlfn.XLOOKUP(tblOrders[[#This Row],[CustomerID]],tblCustomers[CustomerID],tblCustomers[CustomerName],"not found")</f>
        <v>Wayne Fernandez</v>
      </c>
      <c r="D624">
        <f>_xlfn.XLOOKUP(tblOrders[[#This Row],[CustomerID]],tblCustomers[CustomerID],tblCustomers[Age],"not found")</f>
        <v>31</v>
      </c>
      <c r="E624" t="str">
        <f>_xlfn.XLOOKUP(tblOrders[[#This Row],[CustomerID]],tblCustomers[CustomerID],tblCustomers[Gender],"not found")</f>
        <v>Male</v>
      </c>
      <c r="F624" t="str">
        <f>_xlfn.XLOOKUP(tblOrders[[#This Row],[CustomerID]],tblCustomers[CustomerID],tblCustomers[Region],"not found")</f>
        <v>Central</v>
      </c>
      <c r="G624">
        <v>1080</v>
      </c>
      <c r="H624" t="str">
        <f>_xlfn.XLOOKUP(tblOrders[[#This Row],[ProductID]],tblProducts[ProductID],tblProducts[ProductName],"not found")</f>
        <v>Anything</v>
      </c>
      <c r="I624" t="str">
        <f>_xlfn.XLOOKUP(tblOrders[[#This Row],[ProductID]],tblProducts[ProductID],tblProducts[Category],"not found")</f>
        <v>Electronics</v>
      </c>
      <c r="J624">
        <f>_xlfn.XLOOKUP(tblOrders[[#This Row],[ProductID]],tblProducts[ProductID],tblProducts[UnitPrice],"not found")</f>
        <v>62.14</v>
      </c>
      <c r="K624" t="str">
        <f>_xlfn.XLOOKUP(tblOrders[[#This Row],[ProductID]],tblProducts[ProductID],tblProducts[Supplier],"not found")</f>
        <v>Stokes-Mcdowell</v>
      </c>
      <c r="L624" s="1">
        <v>45018</v>
      </c>
      <c r="M6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624">
        <v>4</v>
      </c>
      <c r="O624">
        <v>248.56</v>
      </c>
      <c r="P624">
        <f>tblOrders[[#This Row],[Quantity]]*tblOrders[[#This Row],[Unit Price]]</f>
        <v>248.56</v>
      </c>
      <c r="Q624">
        <f>tblOrders[[#This Row],[TotalSales]]-tblOrders[[#This Row],[Calculated Sales]]</f>
        <v>0</v>
      </c>
    </row>
    <row r="625" spans="1:17" x14ac:dyDescent="0.25">
      <c r="A625">
        <v>810</v>
      </c>
      <c r="B625">
        <v>46</v>
      </c>
      <c r="C625" t="str">
        <f>_xlfn.XLOOKUP(tblOrders[[#This Row],[CustomerID]],tblCustomers[CustomerID],tblCustomers[CustomerName],"not found")</f>
        <v>Mary Snyder</v>
      </c>
      <c r="D625">
        <f>_xlfn.XLOOKUP(tblOrders[[#This Row],[CustomerID]],tblCustomers[CustomerID],tblCustomers[Age],"not found")</f>
        <v>23</v>
      </c>
      <c r="E625" t="str">
        <f>_xlfn.XLOOKUP(tblOrders[[#This Row],[CustomerID]],tblCustomers[CustomerID],tblCustomers[Gender],"not found")</f>
        <v>Female</v>
      </c>
      <c r="F625" t="str">
        <f>_xlfn.XLOOKUP(tblOrders[[#This Row],[CustomerID]],tblCustomers[CustomerID],tblCustomers[Region],"not found")</f>
        <v>West</v>
      </c>
      <c r="G625">
        <v>1080</v>
      </c>
      <c r="H625" t="str">
        <f>_xlfn.XLOOKUP(tblOrders[[#This Row],[ProductID]],tblProducts[ProductID],tblProducts[ProductName],"not found")</f>
        <v>Anything</v>
      </c>
      <c r="I625" t="str">
        <f>_xlfn.XLOOKUP(tblOrders[[#This Row],[ProductID]],tblProducts[ProductID],tblProducts[Category],"not found")</f>
        <v>Electronics</v>
      </c>
      <c r="J625">
        <f>_xlfn.XLOOKUP(tblOrders[[#This Row],[ProductID]],tblProducts[ProductID],tblProducts[UnitPrice],"not found")</f>
        <v>62.14</v>
      </c>
      <c r="K625" t="str">
        <f>_xlfn.XLOOKUP(tblOrders[[#This Row],[ProductID]],tblProducts[ProductID],tblProducts[Supplier],"not found")</f>
        <v>Stokes-Mcdowell</v>
      </c>
      <c r="L625" s="1">
        <v>45331</v>
      </c>
      <c r="M6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45331</v>
      </c>
      <c r="N625">
        <v>2</v>
      </c>
      <c r="O625">
        <v>124.28</v>
      </c>
      <c r="P625">
        <f>tblOrders[[#This Row],[Quantity]]*tblOrders[[#This Row],[Unit Price]]</f>
        <v>124.28</v>
      </c>
      <c r="Q625">
        <f>tblOrders[[#This Row],[TotalSales]]-tblOrders[[#This Row],[Calculated Sales]]</f>
        <v>0</v>
      </c>
    </row>
    <row r="626" spans="1:17" x14ac:dyDescent="0.25">
      <c r="A626">
        <v>944</v>
      </c>
      <c r="B626">
        <v>797</v>
      </c>
      <c r="C626" t="str">
        <f>_xlfn.XLOOKUP(tblOrders[[#This Row],[CustomerID]],tblCustomers[CustomerID],tblCustomers[CustomerName],"not found")</f>
        <v>Leah King</v>
      </c>
      <c r="D626">
        <f>_xlfn.XLOOKUP(tblOrders[[#This Row],[CustomerID]],tblCustomers[CustomerID],tblCustomers[Age],"not found")</f>
        <v>26</v>
      </c>
      <c r="E626" t="str">
        <f>_xlfn.XLOOKUP(tblOrders[[#This Row],[CustomerID]],tblCustomers[CustomerID],tblCustomers[Gender],"not found")</f>
        <v>Female</v>
      </c>
      <c r="F626" t="str">
        <f>_xlfn.XLOOKUP(tblOrders[[#This Row],[CustomerID]],tblCustomers[CustomerID],tblCustomers[Region],"not found")</f>
        <v>Central</v>
      </c>
      <c r="G626">
        <v>1080</v>
      </c>
      <c r="H626" t="str">
        <f>_xlfn.XLOOKUP(tblOrders[[#This Row],[ProductID]],tblProducts[ProductID],tblProducts[ProductName],"not found")</f>
        <v>Anything</v>
      </c>
      <c r="I626" t="str">
        <f>_xlfn.XLOOKUP(tblOrders[[#This Row],[ProductID]],tblProducts[ProductID],tblProducts[Category],"not found")</f>
        <v>Electronics</v>
      </c>
      <c r="J626">
        <f>_xlfn.XLOOKUP(tblOrders[[#This Row],[ProductID]],tblProducts[ProductID],tblProducts[UnitPrice],"not found")</f>
        <v>62.14</v>
      </c>
      <c r="K626" t="str">
        <f>_xlfn.XLOOKUP(tblOrders[[#This Row],[ProductID]],tblProducts[ProductID],tblProducts[Supplier],"not found")</f>
        <v>Stokes-Mcdowell</v>
      </c>
      <c r="L626" s="1" t="s">
        <v>2156</v>
      </c>
      <c r="M6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45013</v>
      </c>
      <c r="N626">
        <v>4</v>
      </c>
      <c r="O626">
        <v>248.56</v>
      </c>
      <c r="P626">
        <f>tblOrders[[#This Row],[Quantity]]*tblOrders[[#This Row],[Unit Price]]</f>
        <v>248.56</v>
      </c>
      <c r="Q626">
        <f>tblOrders[[#This Row],[TotalSales]]-tblOrders[[#This Row],[Calculated Sales]]</f>
        <v>0</v>
      </c>
    </row>
    <row r="627" spans="1:17" x14ac:dyDescent="0.25">
      <c r="A627">
        <v>979</v>
      </c>
      <c r="B627">
        <v>706</v>
      </c>
      <c r="C627" t="str">
        <f>_xlfn.XLOOKUP(tblOrders[[#This Row],[CustomerID]],tblCustomers[CustomerID],tblCustomers[CustomerName],"not found")</f>
        <v>Amber Martinez</v>
      </c>
      <c r="D627">
        <f>_xlfn.XLOOKUP(tblOrders[[#This Row],[CustomerID]],tblCustomers[CustomerID],tblCustomers[Age],"not found")</f>
        <v>39</v>
      </c>
      <c r="E627" t="str">
        <f>_xlfn.XLOOKUP(tblOrders[[#This Row],[CustomerID]],tblCustomers[CustomerID],tblCustomers[Gender],"not found")</f>
        <v>Female</v>
      </c>
      <c r="F627" t="str">
        <f>_xlfn.XLOOKUP(tblOrders[[#This Row],[CustomerID]],tblCustomers[CustomerID],tblCustomers[Region],"not found")</f>
        <v>South</v>
      </c>
      <c r="G627">
        <v>1080</v>
      </c>
      <c r="H627" t="str">
        <f>_xlfn.XLOOKUP(tblOrders[[#This Row],[ProductID]],tblProducts[ProductID],tblProducts[ProductName],"not found")</f>
        <v>Anything</v>
      </c>
      <c r="I627" t="str">
        <f>_xlfn.XLOOKUP(tblOrders[[#This Row],[ProductID]],tblProducts[ProductID],tblProducts[Category],"not found")</f>
        <v>Electronics</v>
      </c>
      <c r="J627">
        <f>_xlfn.XLOOKUP(tblOrders[[#This Row],[ProductID]],tblProducts[ProductID],tblProducts[UnitPrice],"not found")</f>
        <v>62.14</v>
      </c>
      <c r="K627" t="str">
        <f>_xlfn.XLOOKUP(tblOrders[[#This Row],[ProductID]],tblProducts[ProductID],tblProducts[Supplier],"not found")</f>
        <v>Stokes-Mcdowell</v>
      </c>
      <c r="L627" s="1">
        <v>45082</v>
      </c>
      <c r="M6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45082</v>
      </c>
      <c r="N627">
        <v>9</v>
      </c>
      <c r="O627">
        <v>559.26</v>
      </c>
      <c r="P627">
        <f>tblOrders[[#This Row],[Quantity]]*tblOrders[[#This Row],[Unit Price]]</f>
        <v>559.26</v>
      </c>
      <c r="Q627">
        <f>tblOrders[[#This Row],[TotalSales]]-tblOrders[[#This Row],[Calculated Sales]]</f>
        <v>0</v>
      </c>
    </row>
    <row r="628" spans="1:17" x14ac:dyDescent="0.25">
      <c r="A628">
        <v>984</v>
      </c>
      <c r="B628">
        <v>434</v>
      </c>
      <c r="C628" t="str">
        <f>_xlfn.XLOOKUP(tblOrders[[#This Row],[CustomerID]],tblCustomers[CustomerID],tblCustomers[CustomerName],"not found")</f>
        <v>Juan Griffin</v>
      </c>
      <c r="D628">
        <f>_xlfn.XLOOKUP(tblOrders[[#This Row],[CustomerID]],tblCustomers[CustomerID],tblCustomers[Age],"not found")</f>
        <v>36</v>
      </c>
      <c r="E628" t="str">
        <f>_xlfn.XLOOKUP(tblOrders[[#This Row],[CustomerID]],tblCustomers[CustomerID],tblCustomers[Gender],"not found")</f>
        <v>Female</v>
      </c>
      <c r="F628" t="str">
        <f>_xlfn.XLOOKUP(tblOrders[[#This Row],[CustomerID]],tblCustomers[CustomerID],tblCustomers[Region],"not found")</f>
        <v>South</v>
      </c>
      <c r="G628">
        <v>1080</v>
      </c>
      <c r="H628" t="str">
        <f>_xlfn.XLOOKUP(tblOrders[[#This Row],[ProductID]],tblProducts[ProductID],tblProducts[ProductName],"not found")</f>
        <v>Anything</v>
      </c>
      <c r="I628" t="str">
        <f>_xlfn.XLOOKUP(tblOrders[[#This Row],[ProductID]],tblProducts[ProductID],tblProducts[Category],"not found")</f>
        <v>Electronics</v>
      </c>
      <c r="J628">
        <f>_xlfn.XLOOKUP(tblOrders[[#This Row],[ProductID]],tblProducts[ProductID],tblProducts[UnitPrice],"not found")</f>
        <v>62.14</v>
      </c>
      <c r="K628" t="str">
        <f>_xlfn.XLOOKUP(tblOrders[[#This Row],[ProductID]],tblProducts[ProductID],tblProducts[Supplier],"not found")</f>
        <v>Stokes-Mcdowell</v>
      </c>
      <c r="L628" s="1">
        <v>45149</v>
      </c>
      <c r="M6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45149</v>
      </c>
      <c r="N628">
        <v>5</v>
      </c>
      <c r="O628">
        <v>310.7</v>
      </c>
      <c r="P628">
        <f>tblOrders[[#This Row],[Quantity]]*tblOrders[[#This Row],[Unit Price]]</f>
        <v>310.7</v>
      </c>
      <c r="Q628">
        <f>tblOrders[[#This Row],[TotalSales]]-tblOrders[[#This Row],[Calculated Sales]]</f>
        <v>0</v>
      </c>
    </row>
    <row r="629" spans="1:17" x14ac:dyDescent="0.25">
      <c r="A629">
        <v>1171</v>
      </c>
      <c r="B629">
        <v>321</v>
      </c>
      <c r="C629" t="str">
        <f>_xlfn.XLOOKUP(tblOrders[[#This Row],[CustomerID]],tblCustomers[CustomerID],tblCustomers[CustomerName],"not found")</f>
        <v>Sarah Douglas</v>
      </c>
      <c r="D629">
        <f>_xlfn.XLOOKUP(tblOrders[[#This Row],[CustomerID]],tblCustomers[CustomerID],tblCustomers[Age],"not found")</f>
        <v>45</v>
      </c>
      <c r="E629" t="str">
        <f>_xlfn.XLOOKUP(tblOrders[[#This Row],[CustomerID]],tblCustomers[CustomerID],tblCustomers[Gender],"not found")</f>
        <v>Male</v>
      </c>
      <c r="F629" t="str">
        <f>_xlfn.XLOOKUP(tblOrders[[#This Row],[CustomerID]],tblCustomers[CustomerID],tblCustomers[Region],"not found")</f>
        <v>West</v>
      </c>
      <c r="G629">
        <v>1080</v>
      </c>
      <c r="H629" t="str">
        <f>_xlfn.XLOOKUP(tblOrders[[#This Row],[ProductID]],tblProducts[ProductID],tblProducts[ProductName],"not found")</f>
        <v>Anything</v>
      </c>
      <c r="I629" t="str">
        <f>_xlfn.XLOOKUP(tblOrders[[#This Row],[ProductID]],tblProducts[ProductID],tblProducts[Category],"not found")</f>
        <v>Electronics</v>
      </c>
      <c r="J629">
        <f>_xlfn.XLOOKUP(tblOrders[[#This Row],[ProductID]],tblProducts[ProductID],tblProducts[UnitPrice],"not found")</f>
        <v>62.14</v>
      </c>
      <c r="K629" t="str">
        <f>_xlfn.XLOOKUP(tblOrders[[#This Row],[ProductID]],tblProducts[ProductID],tblProducts[Supplier],"not found")</f>
        <v>Stokes-Mcdowell</v>
      </c>
      <c r="L629" s="1" t="s">
        <v>2246</v>
      </c>
      <c r="M6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45589</v>
      </c>
      <c r="N629">
        <v>1</v>
      </c>
      <c r="O629">
        <v>62.14</v>
      </c>
      <c r="P629">
        <f>tblOrders[[#This Row],[Quantity]]*tblOrders[[#This Row],[Unit Price]]</f>
        <v>62.14</v>
      </c>
      <c r="Q629">
        <f>tblOrders[[#This Row],[TotalSales]]-tblOrders[[#This Row],[Calculated Sales]]</f>
        <v>0</v>
      </c>
    </row>
    <row r="630" spans="1:17" x14ac:dyDescent="0.25">
      <c r="A630">
        <v>1256</v>
      </c>
      <c r="B630">
        <v>232</v>
      </c>
      <c r="C630" t="str">
        <f>_xlfn.XLOOKUP(tblOrders[[#This Row],[CustomerID]],tblCustomers[CustomerID],tblCustomers[CustomerName],"not found")</f>
        <v>Benjamin Snyder</v>
      </c>
      <c r="D630">
        <f>_xlfn.XLOOKUP(tblOrders[[#This Row],[CustomerID]],tblCustomers[CustomerID],tblCustomers[Age],"not found")</f>
        <v>67</v>
      </c>
      <c r="E630" t="str">
        <f>_xlfn.XLOOKUP(tblOrders[[#This Row],[CustomerID]],tblCustomers[CustomerID],tblCustomers[Gender],"not found")</f>
        <v>Female</v>
      </c>
      <c r="F630" t="str">
        <f>_xlfn.XLOOKUP(tblOrders[[#This Row],[CustomerID]],tblCustomers[CustomerID],tblCustomers[Region],"not found")</f>
        <v>East</v>
      </c>
      <c r="G630">
        <v>1080</v>
      </c>
      <c r="H630" t="str">
        <f>_xlfn.XLOOKUP(tblOrders[[#This Row],[ProductID]],tblProducts[ProductID],tblProducts[ProductName],"not found")</f>
        <v>Anything</v>
      </c>
      <c r="I630" t="str">
        <f>_xlfn.XLOOKUP(tblOrders[[#This Row],[ProductID]],tblProducts[ProductID],tblProducts[Category],"not found")</f>
        <v>Electronics</v>
      </c>
      <c r="J630">
        <f>_xlfn.XLOOKUP(tblOrders[[#This Row],[ProductID]],tblProducts[ProductID],tblProducts[UnitPrice],"not found")</f>
        <v>62.14</v>
      </c>
      <c r="K630" t="str">
        <f>_xlfn.XLOOKUP(tblOrders[[#This Row],[ProductID]],tblProducts[ProductID],tblProducts[Supplier],"not found")</f>
        <v>Stokes-Mcdowell</v>
      </c>
      <c r="L630" s="1" t="s">
        <v>2263</v>
      </c>
      <c r="M6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45402</v>
      </c>
      <c r="N630">
        <v>4</v>
      </c>
      <c r="O630">
        <v>248.56</v>
      </c>
      <c r="P630">
        <f>tblOrders[[#This Row],[Quantity]]*tblOrders[[#This Row],[Unit Price]]</f>
        <v>248.56</v>
      </c>
      <c r="Q630">
        <f>tblOrders[[#This Row],[TotalSales]]-tblOrders[[#This Row],[Calculated Sales]]</f>
        <v>0</v>
      </c>
    </row>
    <row r="631" spans="1:17" x14ac:dyDescent="0.25">
      <c r="A631">
        <v>1328</v>
      </c>
      <c r="B631">
        <v>683</v>
      </c>
      <c r="C631" t="str">
        <f>_xlfn.XLOOKUP(tblOrders[[#This Row],[CustomerID]],tblCustomers[CustomerID],tblCustomers[CustomerName],"not found")</f>
        <v>Mary Cruz</v>
      </c>
      <c r="D631">
        <f>_xlfn.XLOOKUP(tblOrders[[#This Row],[CustomerID]],tblCustomers[CustomerID],tblCustomers[Age],"not found")</f>
        <v>23</v>
      </c>
      <c r="E631" t="str">
        <f>_xlfn.XLOOKUP(tblOrders[[#This Row],[CustomerID]],tblCustomers[CustomerID],tblCustomers[Gender],"not found")</f>
        <v>Male</v>
      </c>
      <c r="F631" t="str">
        <f>_xlfn.XLOOKUP(tblOrders[[#This Row],[CustomerID]],tblCustomers[CustomerID],tblCustomers[Region],"not found")</f>
        <v>North</v>
      </c>
      <c r="G631">
        <v>1080</v>
      </c>
      <c r="H631" t="str">
        <f>_xlfn.XLOOKUP(tblOrders[[#This Row],[ProductID]],tblProducts[ProductID],tblProducts[ProductName],"not found")</f>
        <v>Anything</v>
      </c>
      <c r="I631" t="str">
        <f>_xlfn.XLOOKUP(tblOrders[[#This Row],[ProductID]],tblProducts[ProductID],tblProducts[Category],"not found")</f>
        <v>Electronics</v>
      </c>
      <c r="J631">
        <f>_xlfn.XLOOKUP(tblOrders[[#This Row],[ProductID]],tblProducts[ProductID],tblProducts[UnitPrice],"not found")</f>
        <v>62.14</v>
      </c>
      <c r="K631" t="str">
        <f>_xlfn.XLOOKUP(tblOrders[[#This Row],[ProductID]],tblProducts[ProductID],tblProducts[Supplier],"not found")</f>
        <v>Stokes-Mcdowell</v>
      </c>
      <c r="L631" s="1" t="s">
        <v>2050</v>
      </c>
      <c r="M6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631">
        <v>6</v>
      </c>
      <c r="O631">
        <v>372.84</v>
      </c>
      <c r="P631">
        <f>tblOrders[[#This Row],[Quantity]]*tblOrders[[#This Row],[Unit Price]]</f>
        <v>372.84000000000003</v>
      </c>
      <c r="Q631">
        <f>tblOrders[[#This Row],[TotalSales]]-tblOrders[[#This Row],[Calculated Sales]]</f>
        <v>0</v>
      </c>
    </row>
    <row r="632" spans="1:17" x14ac:dyDescent="0.25">
      <c r="A632">
        <v>1384</v>
      </c>
      <c r="B632">
        <v>691</v>
      </c>
      <c r="C632" t="str">
        <f>_xlfn.XLOOKUP(tblOrders[[#This Row],[CustomerID]],tblCustomers[CustomerID],tblCustomers[CustomerName],"not found")</f>
        <v>Tim Stone</v>
      </c>
      <c r="D632">
        <f>_xlfn.XLOOKUP(tblOrders[[#This Row],[CustomerID]],tblCustomers[CustomerID],tblCustomers[Age],"not found")</f>
        <v>67</v>
      </c>
      <c r="E632" t="str">
        <f>_xlfn.XLOOKUP(tblOrders[[#This Row],[CustomerID]],tblCustomers[CustomerID],tblCustomers[Gender],"not found")</f>
        <v>Female</v>
      </c>
      <c r="F632" t="str">
        <f>_xlfn.XLOOKUP(tblOrders[[#This Row],[CustomerID]],tblCustomers[CustomerID],tblCustomers[Region],"not found")</f>
        <v>North</v>
      </c>
      <c r="G632">
        <v>1080</v>
      </c>
      <c r="H632" t="str">
        <f>_xlfn.XLOOKUP(tblOrders[[#This Row],[ProductID]],tblProducts[ProductID],tblProducts[ProductName],"not found")</f>
        <v>Anything</v>
      </c>
      <c r="I632" t="str">
        <f>_xlfn.XLOOKUP(tblOrders[[#This Row],[ProductID]],tblProducts[ProductID],tblProducts[Category],"not found")</f>
        <v>Electronics</v>
      </c>
      <c r="J632">
        <f>_xlfn.XLOOKUP(tblOrders[[#This Row],[ProductID]],tblProducts[ProductID],tblProducts[UnitPrice],"not found")</f>
        <v>62.14</v>
      </c>
      <c r="K632" t="str">
        <f>_xlfn.XLOOKUP(tblOrders[[#This Row],[ProductID]],tblProducts[ProductID],tblProducts[Supplier],"not found")</f>
        <v>Stokes-Mcdowell</v>
      </c>
      <c r="L632" s="1" t="s">
        <v>2264</v>
      </c>
      <c r="M6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45527</v>
      </c>
      <c r="N632">
        <v>2</v>
      </c>
      <c r="O632">
        <v>124.28</v>
      </c>
      <c r="P632">
        <f>tblOrders[[#This Row],[Quantity]]*tblOrders[[#This Row],[Unit Price]]</f>
        <v>124.28</v>
      </c>
      <c r="Q632">
        <f>tblOrders[[#This Row],[TotalSales]]-tblOrders[[#This Row],[Calculated Sales]]</f>
        <v>0</v>
      </c>
    </row>
    <row r="633" spans="1:17" x14ac:dyDescent="0.25">
      <c r="A633">
        <v>1551</v>
      </c>
      <c r="B633">
        <v>417</v>
      </c>
      <c r="C633" t="str">
        <f>_xlfn.XLOOKUP(tblOrders[[#This Row],[CustomerID]],tblCustomers[CustomerID],tblCustomers[CustomerName],"not found")</f>
        <v>Jeremy Spencer</v>
      </c>
      <c r="D633">
        <f>_xlfn.XLOOKUP(tblOrders[[#This Row],[CustomerID]],tblCustomers[CustomerID],tblCustomers[Age],"not found")</f>
        <v>26</v>
      </c>
      <c r="E633" t="str">
        <f>_xlfn.XLOOKUP(tblOrders[[#This Row],[CustomerID]],tblCustomers[CustomerID],tblCustomers[Gender],"not found")</f>
        <v>Male</v>
      </c>
      <c r="F633" t="str">
        <f>_xlfn.XLOOKUP(tblOrders[[#This Row],[CustomerID]],tblCustomers[CustomerID],tblCustomers[Region],"not found")</f>
        <v>West</v>
      </c>
      <c r="G633">
        <v>1080</v>
      </c>
      <c r="H633" t="str">
        <f>_xlfn.XLOOKUP(tblOrders[[#This Row],[ProductID]],tblProducts[ProductID],tblProducts[ProductName],"not found")</f>
        <v>Anything</v>
      </c>
      <c r="I633" t="str">
        <f>_xlfn.XLOOKUP(tblOrders[[#This Row],[ProductID]],tblProducts[ProductID],tblProducts[Category],"not found")</f>
        <v>Electronics</v>
      </c>
      <c r="J633">
        <f>_xlfn.XLOOKUP(tblOrders[[#This Row],[ProductID]],tblProducts[ProductID],tblProducts[UnitPrice],"not found")</f>
        <v>62.14</v>
      </c>
      <c r="K633" t="str">
        <f>_xlfn.XLOOKUP(tblOrders[[#This Row],[ProductID]],tblProducts[ProductID],tblProducts[Supplier],"not found")</f>
        <v>Stokes-Mcdowell</v>
      </c>
      <c r="L633" s="1" t="s">
        <v>2252</v>
      </c>
      <c r="M6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44977</v>
      </c>
      <c r="N633">
        <v>2</v>
      </c>
      <c r="O633">
        <v>124.28</v>
      </c>
      <c r="P633">
        <f>tblOrders[[#This Row],[Quantity]]*tblOrders[[#This Row],[Unit Price]]</f>
        <v>124.28</v>
      </c>
      <c r="Q633">
        <f>tblOrders[[#This Row],[TotalSales]]-tblOrders[[#This Row],[Calculated Sales]]</f>
        <v>0</v>
      </c>
    </row>
    <row r="634" spans="1:17" x14ac:dyDescent="0.25">
      <c r="A634">
        <v>1568</v>
      </c>
      <c r="B634">
        <v>240</v>
      </c>
      <c r="C634" t="str">
        <f>_xlfn.XLOOKUP(tblOrders[[#This Row],[CustomerID]],tblCustomers[CustomerID],tblCustomers[CustomerName],"not found")</f>
        <v>Jordan Nelson</v>
      </c>
      <c r="D634">
        <f>_xlfn.XLOOKUP(tblOrders[[#This Row],[CustomerID]],tblCustomers[CustomerID],tblCustomers[Age],"not found")</f>
        <v>55</v>
      </c>
      <c r="E634" t="str">
        <f>_xlfn.XLOOKUP(tblOrders[[#This Row],[CustomerID]],tblCustomers[CustomerID],tblCustomers[Gender],"not found")</f>
        <v>Female</v>
      </c>
      <c r="F634" t="str">
        <f>_xlfn.XLOOKUP(tblOrders[[#This Row],[CustomerID]],tblCustomers[CustomerID],tblCustomers[Region],"not found")</f>
        <v>South</v>
      </c>
      <c r="G634">
        <v>1080</v>
      </c>
      <c r="H634" t="str">
        <f>_xlfn.XLOOKUP(tblOrders[[#This Row],[ProductID]],tblProducts[ProductID],tblProducts[ProductName],"not found")</f>
        <v>Anything</v>
      </c>
      <c r="I634" t="str">
        <f>_xlfn.XLOOKUP(tblOrders[[#This Row],[ProductID]],tblProducts[ProductID],tblProducts[Category],"not found")</f>
        <v>Electronics</v>
      </c>
      <c r="J634">
        <f>_xlfn.XLOOKUP(tblOrders[[#This Row],[ProductID]],tblProducts[ProductID],tblProducts[UnitPrice],"not found")</f>
        <v>62.14</v>
      </c>
      <c r="K634" t="str">
        <f>_xlfn.XLOOKUP(tblOrders[[#This Row],[ProductID]],tblProducts[ProductID],tblProducts[Supplier],"not found")</f>
        <v>Stokes-Mcdowell</v>
      </c>
      <c r="L634" s="1" t="s">
        <v>2243</v>
      </c>
      <c r="M6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634">
        <v>9</v>
      </c>
      <c r="O634">
        <v>559.26</v>
      </c>
      <c r="P634">
        <f>tblOrders[[#This Row],[Quantity]]*tblOrders[[#This Row],[Unit Price]]</f>
        <v>559.26</v>
      </c>
      <c r="Q634">
        <f>tblOrders[[#This Row],[TotalSales]]-tblOrders[[#This Row],[Calculated Sales]]</f>
        <v>0</v>
      </c>
    </row>
    <row r="635" spans="1:17" x14ac:dyDescent="0.25">
      <c r="A635">
        <v>1576</v>
      </c>
      <c r="B635">
        <v>789</v>
      </c>
      <c r="C635" t="str">
        <f>_xlfn.XLOOKUP(tblOrders[[#This Row],[CustomerID]],tblCustomers[CustomerID],tblCustomers[CustomerName],"not found")</f>
        <v>Timothy Weeks</v>
      </c>
      <c r="D635">
        <f>_xlfn.XLOOKUP(tblOrders[[#This Row],[CustomerID]],tblCustomers[CustomerID],tblCustomers[Age],"not found")</f>
        <v>36</v>
      </c>
      <c r="E635" t="str">
        <f>_xlfn.XLOOKUP(tblOrders[[#This Row],[CustomerID]],tblCustomers[CustomerID],tblCustomers[Gender],"not found")</f>
        <v>Female</v>
      </c>
      <c r="F635" t="str">
        <f>_xlfn.XLOOKUP(tblOrders[[#This Row],[CustomerID]],tblCustomers[CustomerID],tblCustomers[Region],"not found")</f>
        <v>Central</v>
      </c>
      <c r="G635">
        <v>1080</v>
      </c>
      <c r="H635" t="str">
        <f>_xlfn.XLOOKUP(tblOrders[[#This Row],[ProductID]],tblProducts[ProductID],tblProducts[ProductName],"not found")</f>
        <v>Anything</v>
      </c>
      <c r="I635" t="str">
        <f>_xlfn.XLOOKUP(tblOrders[[#This Row],[ProductID]],tblProducts[ProductID],tblProducts[Category],"not found")</f>
        <v>Electronics</v>
      </c>
      <c r="J635">
        <f>_xlfn.XLOOKUP(tblOrders[[#This Row],[ProductID]],tblProducts[ProductID],tblProducts[UnitPrice],"not found")</f>
        <v>62.14</v>
      </c>
      <c r="K635" t="str">
        <f>_xlfn.XLOOKUP(tblOrders[[#This Row],[ProductID]],tblProducts[ProductID],tblProducts[Supplier],"not found")</f>
        <v>Stokes-Mcdowell</v>
      </c>
      <c r="L635" s="1" t="s">
        <v>2265</v>
      </c>
      <c r="M6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45433</v>
      </c>
      <c r="N635">
        <v>1</v>
      </c>
      <c r="O635">
        <v>62.14</v>
      </c>
      <c r="P635">
        <f>tblOrders[[#This Row],[Quantity]]*tblOrders[[#This Row],[Unit Price]]</f>
        <v>62.14</v>
      </c>
      <c r="Q635">
        <f>tblOrders[[#This Row],[TotalSales]]-tblOrders[[#This Row],[Calculated Sales]]</f>
        <v>0</v>
      </c>
    </row>
    <row r="636" spans="1:17" x14ac:dyDescent="0.25">
      <c r="A636">
        <v>1577</v>
      </c>
      <c r="B636">
        <v>319</v>
      </c>
      <c r="C636" t="str">
        <f>_xlfn.XLOOKUP(tblOrders[[#This Row],[CustomerID]],tblCustomers[CustomerID],tblCustomers[CustomerName],"not found")</f>
        <v>Lindsay Hall</v>
      </c>
      <c r="D636">
        <f>_xlfn.XLOOKUP(tblOrders[[#This Row],[CustomerID]],tblCustomers[CustomerID],tblCustomers[Age],"not found")</f>
        <v>54</v>
      </c>
      <c r="E636" t="str">
        <f>_xlfn.XLOOKUP(tblOrders[[#This Row],[CustomerID]],tblCustomers[CustomerID],tblCustomers[Gender],"not found")</f>
        <v>Male</v>
      </c>
      <c r="F636" t="str">
        <f>_xlfn.XLOOKUP(tblOrders[[#This Row],[CustomerID]],tblCustomers[CustomerID],tblCustomers[Region],"not found")</f>
        <v>West</v>
      </c>
      <c r="G636">
        <v>1080</v>
      </c>
      <c r="H636" t="str">
        <f>_xlfn.XLOOKUP(tblOrders[[#This Row],[ProductID]],tblProducts[ProductID],tblProducts[ProductName],"not found")</f>
        <v>Anything</v>
      </c>
      <c r="I636" t="str">
        <f>_xlfn.XLOOKUP(tblOrders[[#This Row],[ProductID]],tblProducts[ProductID],tblProducts[Category],"not found")</f>
        <v>Electronics</v>
      </c>
      <c r="J636">
        <f>_xlfn.XLOOKUP(tblOrders[[#This Row],[ProductID]],tblProducts[ProductID],tblProducts[UnitPrice],"not found")</f>
        <v>62.14</v>
      </c>
      <c r="K636" t="str">
        <f>_xlfn.XLOOKUP(tblOrders[[#This Row],[ProductID]],tblProducts[ProductID],tblProducts[Supplier],"not found")</f>
        <v>Stokes-Mcdowell</v>
      </c>
      <c r="L636" s="1">
        <v>45150</v>
      </c>
      <c r="M6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45150</v>
      </c>
      <c r="N636">
        <v>5</v>
      </c>
      <c r="O636">
        <v>310.7</v>
      </c>
      <c r="P636">
        <f>tblOrders[[#This Row],[Quantity]]*tblOrders[[#This Row],[Unit Price]]</f>
        <v>310.7</v>
      </c>
      <c r="Q636">
        <f>tblOrders[[#This Row],[TotalSales]]-tblOrders[[#This Row],[Calculated Sales]]</f>
        <v>0</v>
      </c>
    </row>
    <row r="637" spans="1:17" x14ac:dyDescent="0.25">
      <c r="A637">
        <v>1858</v>
      </c>
      <c r="B637">
        <v>88</v>
      </c>
      <c r="C637" t="str">
        <f>_xlfn.XLOOKUP(tblOrders[[#This Row],[CustomerID]],tblCustomers[CustomerID],tblCustomers[CustomerName],"not found")</f>
        <v>Jodi Velazquez</v>
      </c>
      <c r="D637">
        <f>_xlfn.XLOOKUP(tblOrders[[#This Row],[CustomerID]],tblCustomers[CustomerID],tblCustomers[Age],"not found")</f>
        <v>47</v>
      </c>
      <c r="E637" t="str">
        <f>_xlfn.XLOOKUP(tblOrders[[#This Row],[CustomerID]],tblCustomers[CustomerID],tblCustomers[Gender],"not found")</f>
        <v>Male</v>
      </c>
      <c r="F637" t="str">
        <f>_xlfn.XLOOKUP(tblOrders[[#This Row],[CustomerID]],tblCustomers[CustomerID],tblCustomers[Region],"not found")</f>
        <v>North</v>
      </c>
      <c r="G637">
        <v>1080</v>
      </c>
      <c r="H637" t="str">
        <f>_xlfn.XLOOKUP(tblOrders[[#This Row],[ProductID]],tblProducts[ProductID],tblProducts[ProductName],"not found")</f>
        <v>Anything</v>
      </c>
      <c r="I637" t="str">
        <f>_xlfn.XLOOKUP(tblOrders[[#This Row],[ProductID]],tblProducts[ProductID],tblProducts[Category],"not found")</f>
        <v>Electronics</v>
      </c>
      <c r="J637">
        <f>_xlfn.XLOOKUP(tblOrders[[#This Row],[ProductID]],tblProducts[ProductID],tblProducts[UnitPrice],"not found")</f>
        <v>62.14</v>
      </c>
      <c r="K637" t="str">
        <f>_xlfn.XLOOKUP(tblOrders[[#This Row],[ProductID]],tblProducts[ProductID],tblProducts[Supplier],"not found")</f>
        <v>Stokes-Mcdowell</v>
      </c>
      <c r="L637" s="1" t="s">
        <v>2259</v>
      </c>
      <c r="M6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45198</v>
      </c>
      <c r="N637">
        <v>4</v>
      </c>
      <c r="O637">
        <v>248.56</v>
      </c>
      <c r="P637">
        <f>tblOrders[[#This Row],[Quantity]]*tblOrders[[#This Row],[Unit Price]]</f>
        <v>248.56</v>
      </c>
      <c r="Q637">
        <f>tblOrders[[#This Row],[TotalSales]]-tblOrders[[#This Row],[Calculated Sales]]</f>
        <v>0</v>
      </c>
    </row>
    <row r="638" spans="1:17" x14ac:dyDescent="0.25">
      <c r="A638">
        <v>1987</v>
      </c>
      <c r="B638">
        <v>480</v>
      </c>
      <c r="C638" t="str">
        <f>_xlfn.XLOOKUP(tblOrders[[#This Row],[CustomerID]],tblCustomers[CustomerID],tblCustomers[CustomerName],"not found")</f>
        <v>Robert Wilson</v>
      </c>
      <c r="D638">
        <f>_xlfn.XLOOKUP(tblOrders[[#This Row],[CustomerID]],tblCustomers[CustomerID],tblCustomers[Age],"not found")</f>
        <v>22</v>
      </c>
      <c r="E638" t="str">
        <f>_xlfn.XLOOKUP(tblOrders[[#This Row],[CustomerID]],tblCustomers[CustomerID],tblCustomers[Gender],"not found")</f>
        <v>Male</v>
      </c>
      <c r="F638" t="str">
        <f>_xlfn.XLOOKUP(tblOrders[[#This Row],[CustomerID]],tblCustomers[CustomerID],tblCustomers[Region],"not found")</f>
        <v>South</v>
      </c>
      <c r="G638">
        <v>1080</v>
      </c>
      <c r="H638" t="str">
        <f>_xlfn.XLOOKUP(tblOrders[[#This Row],[ProductID]],tblProducts[ProductID],tblProducts[ProductName],"not found")</f>
        <v>Anything</v>
      </c>
      <c r="I638" t="str">
        <f>_xlfn.XLOOKUP(tblOrders[[#This Row],[ProductID]],tblProducts[ProductID],tblProducts[Category],"not found")</f>
        <v>Electronics</v>
      </c>
      <c r="J638">
        <f>_xlfn.XLOOKUP(tblOrders[[#This Row],[ProductID]],tblProducts[ProductID],tblProducts[UnitPrice],"not found")</f>
        <v>62.14</v>
      </c>
      <c r="K638" t="str">
        <f>_xlfn.XLOOKUP(tblOrders[[#This Row],[ProductID]],tblProducts[ProductID],tblProducts[Supplier],"not found")</f>
        <v>Stokes-Mcdowell</v>
      </c>
      <c r="L638" s="1" t="s">
        <v>2266</v>
      </c>
      <c r="M6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45372</v>
      </c>
      <c r="N638">
        <v>4</v>
      </c>
      <c r="O638">
        <v>248.56</v>
      </c>
      <c r="P638">
        <f>tblOrders[[#This Row],[Quantity]]*tblOrders[[#This Row],[Unit Price]]</f>
        <v>248.56</v>
      </c>
      <c r="Q638">
        <f>tblOrders[[#This Row],[TotalSales]]-tblOrders[[#This Row],[Calculated Sales]]</f>
        <v>0</v>
      </c>
    </row>
    <row r="639" spans="1:17" x14ac:dyDescent="0.25">
      <c r="A639">
        <v>2000</v>
      </c>
      <c r="B639">
        <v>360</v>
      </c>
      <c r="C639" t="str">
        <f>_xlfn.XLOOKUP(tblOrders[[#This Row],[CustomerID]],tblCustomers[CustomerID],tblCustomers[CustomerName],"not found")</f>
        <v>Kara Cobb</v>
      </c>
      <c r="D639">
        <f>_xlfn.XLOOKUP(tblOrders[[#This Row],[CustomerID]],tblCustomers[CustomerID],tblCustomers[Age],"not found")</f>
        <v>20</v>
      </c>
      <c r="E639" t="str">
        <f>_xlfn.XLOOKUP(tblOrders[[#This Row],[CustomerID]],tblCustomers[CustomerID],tblCustomers[Gender],"not found")</f>
        <v>Male</v>
      </c>
      <c r="F639" t="str">
        <f>_xlfn.XLOOKUP(tblOrders[[#This Row],[CustomerID]],tblCustomers[CustomerID],tblCustomers[Region],"not found")</f>
        <v>South</v>
      </c>
      <c r="G639">
        <v>1080</v>
      </c>
      <c r="H639" t="str">
        <f>_xlfn.XLOOKUP(tblOrders[[#This Row],[ProductID]],tblProducts[ProductID],tblProducts[ProductName],"not found")</f>
        <v>Anything</v>
      </c>
      <c r="I639" t="str">
        <f>_xlfn.XLOOKUP(tblOrders[[#This Row],[ProductID]],tblProducts[ProductID],tblProducts[Category],"not found")</f>
        <v>Electronics</v>
      </c>
      <c r="J639">
        <f>_xlfn.XLOOKUP(tblOrders[[#This Row],[ProductID]],tblProducts[ProductID],tblProducts[UnitPrice],"not found")</f>
        <v>62.14</v>
      </c>
      <c r="K639" t="str">
        <f>_xlfn.XLOOKUP(tblOrders[[#This Row],[ProductID]],tblProducts[ProductID],tblProducts[Supplier],"not found")</f>
        <v>Stokes-Mcdowell</v>
      </c>
      <c r="L639" s="1">
        <v>45021</v>
      </c>
      <c r="M6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45021</v>
      </c>
      <c r="N639">
        <v>3</v>
      </c>
      <c r="O639">
        <v>186.42</v>
      </c>
      <c r="P639">
        <f>tblOrders[[#This Row],[Quantity]]*tblOrders[[#This Row],[Unit Price]]</f>
        <v>186.42000000000002</v>
      </c>
      <c r="Q639">
        <f>tblOrders[[#This Row],[TotalSales]]-tblOrders[[#This Row],[Calculated Sales]]</f>
        <v>0</v>
      </c>
    </row>
    <row r="640" spans="1:17" x14ac:dyDescent="0.25">
      <c r="A640">
        <v>32</v>
      </c>
      <c r="B640">
        <v>192</v>
      </c>
      <c r="C640" t="str">
        <f>_xlfn.XLOOKUP(tblOrders[[#This Row],[CustomerID]],tblCustomers[CustomerID],tblCustomers[CustomerName],"not found")</f>
        <v>Aaron Wright</v>
      </c>
      <c r="D640">
        <f>_xlfn.XLOOKUP(tblOrders[[#This Row],[CustomerID]],tblCustomers[CustomerID],tblCustomers[Age],"not found")</f>
        <v>21</v>
      </c>
      <c r="E640" t="str">
        <f>_xlfn.XLOOKUP(tblOrders[[#This Row],[CustomerID]],tblCustomers[CustomerID],tblCustomers[Gender],"not found")</f>
        <v>Male</v>
      </c>
      <c r="F640" t="str">
        <f>_xlfn.XLOOKUP(tblOrders[[#This Row],[CustomerID]],tblCustomers[CustomerID],tblCustomers[Region],"not found")</f>
        <v>South</v>
      </c>
      <c r="G640">
        <v>1085</v>
      </c>
      <c r="H640" t="str">
        <f>_xlfn.XLOOKUP(tblOrders[[#This Row],[ProductID]],tblProducts[ProductID],tblProducts[ProductName],"not found")</f>
        <v>See</v>
      </c>
      <c r="I640" t="str">
        <f>_xlfn.XLOOKUP(tblOrders[[#This Row],[ProductID]],tblProducts[ProductID],tblProducts[Category],"not found")</f>
        <v>Toys</v>
      </c>
      <c r="J640">
        <f>_xlfn.XLOOKUP(tblOrders[[#This Row],[ProductID]],tblProducts[ProductID],tblProducts[UnitPrice],"not found")</f>
        <v>294.11</v>
      </c>
      <c r="K640" t="str">
        <f>_xlfn.XLOOKUP(tblOrders[[#This Row],[ProductID]],tblProducts[ProductID],tblProducts[Supplier],"not found")</f>
        <v>Gomez-Ponce</v>
      </c>
      <c r="L640" s="1">
        <v>45027</v>
      </c>
      <c r="M6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45027</v>
      </c>
      <c r="N640">
        <v>3</v>
      </c>
      <c r="O640">
        <v>882.33</v>
      </c>
      <c r="P640">
        <f>tblOrders[[#This Row],[Quantity]]*tblOrders[[#This Row],[Unit Price]]</f>
        <v>882.33</v>
      </c>
      <c r="Q640">
        <f>tblOrders[[#This Row],[TotalSales]]-tblOrders[[#This Row],[Calculated Sales]]</f>
        <v>0</v>
      </c>
    </row>
    <row r="641" spans="1:17" x14ac:dyDescent="0.25">
      <c r="A641">
        <v>230</v>
      </c>
      <c r="B641">
        <v>946</v>
      </c>
      <c r="C641" t="str">
        <f>_xlfn.XLOOKUP(tblOrders[[#This Row],[CustomerID]],tblCustomers[CustomerID],tblCustomers[CustomerName],"not found")</f>
        <v>Gordon Phillips</v>
      </c>
      <c r="D641">
        <f>_xlfn.XLOOKUP(tblOrders[[#This Row],[CustomerID]],tblCustomers[CustomerID],tblCustomers[Age],"not found")</f>
        <v>52</v>
      </c>
      <c r="E641" t="str">
        <f>_xlfn.XLOOKUP(tblOrders[[#This Row],[CustomerID]],tblCustomers[CustomerID],tblCustomers[Gender],"not found")</f>
        <v>Male</v>
      </c>
      <c r="F641" t="str">
        <f>_xlfn.XLOOKUP(tblOrders[[#This Row],[CustomerID]],tblCustomers[CustomerID],tblCustomers[Region],"not found")</f>
        <v>North</v>
      </c>
      <c r="G641">
        <v>1085</v>
      </c>
      <c r="H641" t="str">
        <f>_xlfn.XLOOKUP(tblOrders[[#This Row],[ProductID]],tblProducts[ProductID],tblProducts[ProductName],"not found")</f>
        <v>See</v>
      </c>
      <c r="I641" t="str">
        <f>_xlfn.XLOOKUP(tblOrders[[#This Row],[ProductID]],tblProducts[ProductID],tblProducts[Category],"not found")</f>
        <v>Toys</v>
      </c>
      <c r="J641">
        <f>_xlfn.XLOOKUP(tblOrders[[#This Row],[ProductID]],tblProducts[ProductID],tblProducts[UnitPrice],"not found")</f>
        <v>294.11</v>
      </c>
      <c r="K641" t="str">
        <f>_xlfn.XLOOKUP(tblOrders[[#This Row],[ProductID]],tblProducts[ProductID],tblProducts[Supplier],"not found")</f>
        <v>Gomez-Ponce</v>
      </c>
      <c r="L641" s="1" t="s">
        <v>2267</v>
      </c>
      <c r="M6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45285</v>
      </c>
      <c r="N641">
        <v>4</v>
      </c>
      <c r="O641">
        <v>1176.44</v>
      </c>
      <c r="P641">
        <f>tblOrders[[#This Row],[Quantity]]*tblOrders[[#This Row],[Unit Price]]</f>
        <v>1176.44</v>
      </c>
      <c r="Q641">
        <f>tblOrders[[#This Row],[TotalSales]]-tblOrders[[#This Row],[Calculated Sales]]</f>
        <v>0</v>
      </c>
    </row>
    <row r="642" spans="1:17" x14ac:dyDescent="0.25">
      <c r="A642">
        <v>531</v>
      </c>
      <c r="B642">
        <v>426</v>
      </c>
      <c r="C642" t="str">
        <f>_xlfn.XLOOKUP(tblOrders[[#This Row],[CustomerID]],tblCustomers[CustomerID],tblCustomers[CustomerName],"not found")</f>
        <v>Kevin Garcia</v>
      </c>
      <c r="D642">
        <f>_xlfn.XLOOKUP(tblOrders[[#This Row],[CustomerID]],tblCustomers[CustomerID],tblCustomers[Age],"not found")</f>
        <v>53</v>
      </c>
      <c r="E642" t="str">
        <f>_xlfn.XLOOKUP(tblOrders[[#This Row],[CustomerID]],tblCustomers[CustomerID],tblCustomers[Gender],"not found")</f>
        <v>Male</v>
      </c>
      <c r="F642" t="str">
        <f>_xlfn.XLOOKUP(tblOrders[[#This Row],[CustomerID]],tblCustomers[CustomerID],tblCustomers[Region],"not found")</f>
        <v>South</v>
      </c>
      <c r="G642">
        <v>1085</v>
      </c>
      <c r="H642" t="str">
        <f>_xlfn.XLOOKUP(tblOrders[[#This Row],[ProductID]],tblProducts[ProductID],tblProducts[ProductName],"not found")</f>
        <v>See</v>
      </c>
      <c r="I642" t="str">
        <f>_xlfn.XLOOKUP(tblOrders[[#This Row],[ProductID]],tblProducts[ProductID],tblProducts[Category],"not found")</f>
        <v>Toys</v>
      </c>
      <c r="J642">
        <f>_xlfn.XLOOKUP(tblOrders[[#This Row],[ProductID]],tblProducts[ProductID],tblProducts[UnitPrice],"not found")</f>
        <v>294.11</v>
      </c>
      <c r="K642" t="str">
        <f>_xlfn.XLOOKUP(tblOrders[[#This Row],[ProductID]],tblProducts[ProductID],tblProducts[Supplier],"not found")</f>
        <v>Gomez-Ponce</v>
      </c>
      <c r="L642" s="1">
        <v>45272</v>
      </c>
      <c r="M6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45272</v>
      </c>
      <c r="N642">
        <v>8</v>
      </c>
      <c r="O642">
        <v>2352.88</v>
      </c>
      <c r="P642">
        <f>tblOrders[[#This Row],[Quantity]]*tblOrders[[#This Row],[Unit Price]]</f>
        <v>2352.88</v>
      </c>
      <c r="Q642">
        <f>tblOrders[[#This Row],[TotalSales]]-tblOrders[[#This Row],[Calculated Sales]]</f>
        <v>0</v>
      </c>
    </row>
    <row r="643" spans="1:17" x14ac:dyDescent="0.25">
      <c r="A643">
        <v>669</v>
      </c>
      <c r="B643">
        <v>708</v>
      </c>
      <c r="C643" t="str">
        <f>_xlfn.XLOOKUP(tblOrders[[#This Row],[CustomerID]],tblCustomers[CustomerID],tblCustomers[CustomerName],"not found")</f>
        <v>John Carter</v>
      </c>
      <c r="D643">
        <f>_xlfn.XLOOKUP(tblOrders[[#This Row],[CustomerID]],tblCustomers[CustomerID],tblCustomers[Age],"not found")</f>
        <v>65</v>
      </c>
      <c r="E643" t="str">
        <f>_xlfn.XLOOKUP(tblOrders[[#This Row],[CustomerID]],tblCustomers[CustomerID],tblCustomers[Gender],"not found")</f>
        <v>Female</v>
      </c>
      <c r="F643" t="str">
        <f>_xlfn.XLOOKUP(tblOrders[[#This Row],[CustomerID]],tblCustomers[CustomerID],tblCustomers[Region],"not found")</f>
        <v>North</v>
      </c>
      <c r="G643">
        <v>1085</v>
      </c>
      <c r="H643" t="str">
        <f>_xlfn.XLOOKUP(tblOrders[[#This Row],[ProductID]],tblProducts[ProductID],tblProducts[ProductName],"not found")</f>
        <v>See</v>
      </c>
      <c r="I643" t="str">
        <f>_xlfn.XLOOKUP(tblOrders[[#This Row],[ProductID]],tblProducts[ProductID],tblProducts[Category],"not found")</f>
        <v>Toys</v>
      </c>
      <c r="J643">
        <f>_xlfn.XLOOKUP(tblOrders[[#This Row],[ProductID]],tblProducts[ProductID],tblProducts[UnitPrice],"not found")</f>
        <v>294.11</v>
      </c>
      <c r="K643" t="str">
        <f>_xlfn.XLOOKUP(tblOrders[[#This Row],[ProductID]],tblProducts[ProductID],tblProducts[Supplier],"not found")</f>
        <v>Gomez-Ponce</v>
      </c>
      <c r="L643" s="1" t="s">
        <v>2268</v>
      </c>
      <c r="M6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45305</v>
      </c>
      <c r="N643">
        <v>4</v>
      </c>
      <c r="O643">
        <v>1176.44</v>
      </c>
      <c r="P643">
        <f>tblOrders[[#This Row],[Quantity]]*tblOrders[[#This Row],[Unit Price]]</f>
        <v>1176.44</v>
      </c>
      <c r="Q643">
        <f>tblOrders[[#This Row],[TotalSales]]-tblOrders[[#This Row],[Calculated Sales]]</f>
        <v>0</v>
      </c>
    </row>
    <row r="644" spans="1:17" x14ac:dyDescent="0.25">
      <c r="A644">
        <v>730</v>
      </c>
      <c r="B644">
        <v>35</v>
      </c>
      <c r="C644" t="str">
        <f>_xlfn.XLOOKUP(tblOrders[[#This Row],[CustomerID]],tblCustomers[CustomerID],tblCustomers[CustomerName],"not found")</f>
        <v>John Hubbard</v>
      </c>
      <c r="D644">
        <f>_xlfn.XLOOKUP(tblOrders[[#This Row],[CustomerID]],tblCustomers[CustomerID],tblCustomers[Age],"not found")</f>
        <v>63</v>
      </c>
      <c r="E644" t="str">
        <f>_xlfn.XLOOKUP(tblOrders[[#This Row],[CustomerID]],tblCustomers[CustomerID],tblCustomers[Gender],"not found")</f>
        <v>Female</v>
      </c>
      <c r="F644" t="str">
        <f>_xlfn.XLOOKUP(tblOrders[[#This Row],[CustomerID]],tblCustomers[CustomerID],tblCustomers[Region],"not found")</f>
        <v>South</v>
      </c>
      <c r="G644">
        <v>1085</v>
      </c>
      <c r="H644" t="str">
        <f>_xlfn.XLOOKUP(tblOrders[[#This Row],[ProductID]],tblProducts[ProductID],tblProducts[ProductName],"not found")</f>
        <v>See</v>
      </c>
      <c r="I644" t="str">
        <f>_xlfn.XLOOKUP(tblOrders[[#This Row],[ProductID]],tblProducts[ProductID],tblProducts[Category],"not found")</f>
        <v>Toys</v>
      </c>
      <c r="J644">
        <f>_xlfn.XLOOKUP(tblOrders[[#This Row],[ProductID]],tblProducts[ProductID],tblProducts[UnitPrice],"not found")</f>
        <v>294.11</v>
      </c>
      <c r="K644" t="str">
        <f>_xlfn.XLOOKUP(tblOrders[[#This Row],[ProductID]],tblProducts[ProductID],tblProducts[Supplier],"not found")</f>
        <v>Gomez-Ponce</v>
      </c>
      <c r="L644" s="1">
        <v>45323</v>
      </c>
      <c r="M6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45323</v>
      </c>
      <c r="N644">
        <v>6</v>
      </c>
      <c r="O644">
        <v>1764.66</v>
      </c>
      <c r="P644">
        <f>tblOrders[[#This Row],[Quantity]]*tblOrders[[#This Row],[Unit Price]]</f>
        <v>1764.66</v>
      </c>
      <c r="Q644">
        <f>tblOrders[[#This Row],[TotalSales]]-tblOrders[[#This Row],[Calculated Sales]]</f>
        <v>0</v>
      </c>
    </row>
    <row r="645" spans="1:17" x14ac:dyDescent="0.25">
      <c r="A645">
        <v>904</v>
      </c>
      <c r="B645">
        <v>459</v>
      </c>
      <c r="C645" t="str">
        <f>_xlfn.XLOOKUP(tblOrders[[#This Row],[CustomerID]],tblCustomers[CustomerID],tblCustomers[CustomerName],"not found")</f>
        <v>Martin King</v>
      </c>
      <c r="D645">
        <f>_xlfn.XLOOKUP(tblOrders[[#This Row],[CustomerID]],tblCustomers[CustomerID],tblCustomers[Age],"not found")</f>
        <v>56</v>
      </c>
      <c r="E645" t="str">
        <f>_xlfn.XLOOKUP(tblOrders[[#This Row],[CustomerID]],tblCustomers[CustomerID],tblCustomers[Gender],"not found")</f>
        <v>Male</v>
      </c>
      <c r="F645" t="str">
        <f>_xlfn.XLOOKUP(tblOrders[[#This Row],[CustomerID]],tblCustomers[CustomerID],tblCustomers[Region],"not found")</f>
        <v>North</v>
      </c>
      <c r="G645">
        <v>1085</v>
      </c>
      <c r="H645" t="str">
        <f>_xlfn.XLOOKUP(tblOrders[[#This Row],[ProductID]],tblProducts[ProductID],tblProducts[ProductName],"not found")</f>
        <v>See</v>
      </c>
      <c r="I645" t="str">
        <f>_xlfn.XLOOKUP(tblOrders[[#This Row],[ProductID]],tblProducts[ProductID],tblProducts[Category],"not found")</f>
        <v>Toys</v>
      </c>
      <c r="J645">
        <f>_xlfn.XLOOKUP(tblOrders[[#This Row],[ProductID]],tblProducts[ProductID],tblProducts[UnitPrice],"not found")</f>
        <v>294.11</v>
      </c>
      <c r="K645" t="str">
        <f>_xlfn.XLOOKUP(tblOrders[[#This Row],[ProductID]],tblProducts[ProductID],tblProducts[Supplier],"not found")</f>
        <v>Gomez-Ponce</v>
      </c>
      <c r="L645" s="1" t="s">
        <v>2269</v>
      </c>
      <c r="M6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45379</v>
      </c>
      <c r="N645">
        <v>8</v>
      </c>
      <c r="O645">
        <v>2352.88</v>
      </c>
      <c r="P645">
        <f>tblOrders[[#This Row],[Quantity]]*tblOrders[[#This Row],[Unit Price]]</f>
        <v>2352.88</v>
      </c>
      <c r="Q645">
        <f>tblOrders[[#This Row],[TotalSales]]-tblOrders[[#This Row],[Calculated Sales]]</f>
        <v>0</v>
      </c>
    </row>
    <row r="646" spans="1:17" x14ac:dyDescent="0.25">
      <c r="A646">
        <v>1012</v>
      </c>
      <c r="B646">
        <v>81</v>
      </c>
      <c r="C646" t="str">
        <f>_xlfn.XLOOKUP(tblOrders[[#This Row],[CustomerID]],tblCustomers[CustomerID],tblCustomers[CustomerName],"not found")</f>
        <v>Christopher Carter</v>
      </c>
      <c r="D646">
        <f>_xlfn.XLOOKUP(tblOrders[[#This Row],[CustomerID]],tblCustomers[CustomerID],tblCustomers[Age],"not found")</f>
        <v>25</v>
      </c>
      <c r="E646" t="str">
        <f>_xlfn.XLOOKUP(tblOrders[[#This Row],[CustomerID]],tblCustomers[CustomerID],tblCustomers[Gender],"not found")</f>
        <v>Male</v>
      </c>
      <c r="F646" t="str">
        <f>_xlfn.XLOOKUP(tblOrders[[#This Row],[CustomerID]],tblCustomers[CustomerID],tblCustomers[Region],"not found")</f>
        <v>North</v>
      </c>
      <c r="G646">
        <v>1085</v>
      </c>
      <c r="H646" t="str">
        <f>_xlfn.XLOOKUP(tblOrders[[#This Row],[ProductID]],tblProducts[ProductID],tblProducts[ProductName],"not found")</f>
        <v>See</v>
      </c>
      <c r="I646" t="str">
        <f>_xlfn.XLOOKUP(tblOrders[[#This Row],[ProductID]],tblProducts[ProductID],tblProducts[Category],"not found")</f>
        <v>Toys</v>
      </c>
      <c r="J646">
        <f>_xlfn.XLOOKUP(tblOrders[[#This Row],[ProductID]],tblProducts[ProductID],tblProducts[UnitPrice],"not found")</f>
        <v>294.11</v>
      </c>
      <c r="K646" t="str">
        <f>_xlfn.XLOOKUP(tblOrders[[#This Row],[ProductID]],tblProducts[ProductID],tblProducts[Supplier],"not found")</f>
        <v>Gomez-Ponce</v>
      </c>
      <c r="L646" s="1" t="s">
        <v>2205</v>
      </c>
      <c r="M6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44894</v>
      </c>
      <c r="N646">
        <v>6</v>
      </c>
      <c r="O646">
        <v>1764.66</v>
      </c>
      <c r="P646">
        <f>tblOrders[[#This Row],[Quantity]]*tblOrders[[#This Row],[Unit Price]]</f>
        <v>1764.66</v>
      </c>
      <c r="Q646">
        <f>tblOrders[[#This Row],[TotalSales]]-tblOrders[[#This Row],[Calculated Sales]]</f>
        <v>0</v>
      </c>
    </row>
    <row r="647" spans="1:17" x14ac:dyDescent="0.25">
      <c r="A647">
        <v>1246</v>
      </c>
      <c r="B647">
        <v>931</v>
      </c>
      <c r="C647" t="str">
        <f>_xlfn.XLOOKUP(tblOrders[[#This Row],[CustomerID]],tblCustomers[CustomerID],tblCustomers[CustomerName],"not found")</f>
        <v>Karen Wallace</v>
      </c>
      <c r="D647">
        <f>_xlfn.XLOOKUP(tblOrders[[#This Row],[CustomerID]],tblCustomers[CustomerID],tblCustomers[Age],"not found")</f>
        <v>58</v>
      </c>
      <c r="E647" t="str">
        <f>_xlfn.XLOOKUP(tblOrders[[#This Row],[CustomerID]],tblCustomers[CustomerID],tblCustomers[Gender],"not found")</f>
        <v>Male</v>
      </c>
      <c r="F647" t="str">
        <f>_xlfn.XLOOKUP(tblOrders[[#This Row],[CustomerID]],tblCustomers[CustomerID],tblCustomers[Region],"not found")</f>
        <v>East</v>
      </c>
      <c r="G647">
        <v>1085</v>
      </c>
      <c r="H647" t="str">
        <f>_xlfn.XLOOKUP(tblOrders[[#This Row],[ProductID]],tblProducts[ProductID],tblProducts[ProductName],"not found")</f>
        <v>See</v>
      </c>
      <c r="I647" t="str">
        <f>_xlfn.XLOOKUP(tblOrders[[#This Row],[ProductID]],tblProducts[ProductID],tblProducts[Category],"not found")</f>
        <v>Toys</v>
      </c>
      <c r="J647">
        <f>_xlfn.XLOOKUP(tblOrders[[#This Row],[ProductID]],tblProducts[ProductID],tblProducts[UnitPrice],"not found")</f>
        <v>294.11</v>
      </c>
      <c r="K647" t="str">
        <f>_xlfn.XLOOKUP(tblOrders[[#This Row],[ProductID]],tblProducts[ProductID],tblProducts[Supplier],"not found")</f>
        <v>Gomez-Ponce</v>
      </c>
      <c r="L647" s="1">
        <v>44934</v>
      </c>
      <c r="M6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44934</v>
      </c>
      <c r="N647">
        <v>4</v>
      </c>
      <c r="O647">
        <v>1176.44</v>
      </c>
      <c r="P647">
        <f>tblOrders[[#This Row],[Quantity]]*tblOrders[[#This Row],[Unit Price]]</f>
        <v>1176.44</v>
      </c>
      <c r="Q647">
        <f>tblOrders[[#This Row],[TotalSales]]-tblOrders[[#This Row],[Calculated Sales]]</f>
        <v>0</v>
      </c>
    </row>
    <row r="648" spans="1:17" x14ac:dyDescent="0.25">
      <c r="A648">
        <v>1414</v>
      </c>
      <c r="B648">
        <v>1</v>
      </c>
      <c r="C648" t="str">
        <f>_xlfn.XLOOKUP(tblOrders[[#This Row],[CustomerID]],tblCustomers[CustomerID],tblCustomers[CustomerName],"not found")</f>
        <v>Robin Ward</v>
      </c>
      <c r="D648">
        <f>_xlfn.XLOOKUP(tblOrders[[#This Row],[CustomerID]],tblCustomers[CustomerID],tblCustomers[Age],"not found")</f>
        <v>51</v>
      </c>
      <c r="E648" t="str">
        <f>_xlfn.XLOOKUP(tblOrders[[#This Row],[CustomerID]],tblCustomers[CustomerID],tblCustomers[Gender],"not found")</f>
        <v>Male</v>
      </c>
      <c r="F648" t="str">
        <f>_xlfn.XLOOKUP(tblOrders[[#This Row],[CustomerID]],tblCustomers[CustomerID],tblCustomers[Region],"not found")</f>
        <v>North</v>
      </c>
      <c r="G648">
        <v>1085</v>
      </c>
      <c r="H648" t="str">
        <f>_xlfn.XLOOKUP(tblOrders[[#This Row],[ProductID]],tblProducts[ProductID],tblProducts[ProductName],"not found")</f>
        <v>See</v>
      </c>
      <c r="I648" t="str">
        <f>_xlfn.XLOOKUP(tblOrders[[#This Row],[ProductID]],tblProducts[ProductID],tblProducts[Category],"not found")</f>
        <v>Toys</v>
      </c>
      <c r="J648">
        <f>_xlfn.XLOOKUP(tblOrders[[#This Row],[ProductID]],tblProducts[ProductID],tblProducts[UnitPrice],"not found")</f>
        <v>294.11</v>
      </c>
      <c r="K648" t="str">
        <f>_xlfn.XLOOKUP(tblOrders[[#This Row],[ProductID]],tblProducts[ProductID],tblProducts[Supplier],"not found")</f>
        <v>Gomez-Ponce</v>
      </c>
      <c r="L648" s="1" t="s">
        <v>2030</v>
      </c>
      <c r="M6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45465</v>
      </c>
      <c r="N648">
        <v>1</v>
      </c>
      <c r="O648">
        <v>294.11</v>
      </c>
      <c r="P648">
        <f>tblOrders[[#This Row],[Quantity]]*tblOrders[[#This Row],[Unit Price]]</f>
        <v>294.11</v>
      </c>
      <c r="Q648">
        <f>tblOrders[[#This Row],[TotalSales]]-tblOrders[[#This Row],[Calculated Sales]]</f>
        <v>0</v>
      </c>
    </row>
    <row r="649" spans="1:17" x14ac:dyDescent="0.25">
      <c r="A649">
        <v>1448</v>
      </c>
      <c r="B649">
        <v>440</v>
      </c>
      <c r="C649" t="str">
        <f>_xlfn.XLOOKUP(tblOrders[[#This Row],[CustomerID]],tblCustomers[CustomerID],tblCustomers[CustomerName],"not found")</f>
        <v>Michael Fisher</v>
      </c>
      <c r="D649">
        <f>_xlfn.XLOOKUP(tblOrders[[#This Row],[CustomerID]],tblCustomers[CustomerID],tblCustomers[Age],"not found")</f>
        <v>47</v>
      </c>
      <c r="E649" t="str">
        <f>_xlfn.XLOOKUP(tblOrders[[#This Row],[CustomerID]],tblCustomers[CustomerID],tblCustomers[Gender],"not found")</f>
        <v>Female</v>
      </c>
      <c r="F649" t="str">
        <f>_xlfn.XLOOKUP(tblOrders[[#This Row],[CustomerID]],tblCustomers[CustomerID],tblCustomers[Region],"not found")</f>
        <v>West</v>
      </c>
      <c r="G649">
        <v>1085</v>
      </c>
      <c r="H649" t="str">
        <f>_xlfn.XLOOKUP(tblOrders[[#This Row],[ProductID]],tblProducts[ProductID],tblProducts[ProductName],"not found")</f>
        <v>See</v>
      </c>
      <c r="I649" t="str">
        <f>_xlfn.XLOOKUP(tblOrders[[#This Row],[ProductID]],tblProducts[ProductID],tblProducts[Category],"not found")</f>
        <v>Toys</v>
      </c>
      <c r="J649">
        <f>_xlfn.XLOOKUP(tblOrders[[#This Row],[ProductID]],tblProducts[ProductID],tblProducts[UnitPrice],"not found")</f>
        <v>294.11</v>
      </c>
      <c r="K649" t="str">
        <f>_xlfn.XLOOKUP(tblOrders[[#This Row],[ProductID]],tblProducts[ProductID],tblProducts[Supplier],"not found")</f>
        <v>Gomez-Ponce</v>
      </c>
      <c r="L649" s="1" t="s">
        <v>2171</v>
      </c>
      <c r="M6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45593</v>
      </c>
      <c r="N649">
        <v>9</v>
      </c>
      <c r="O649">
        <v>2646.99</v>
      </c>
      <c r="P649">
        <f>tblOrders[[#This Row],[Quantity]]*tblOrders[[#This Row],[Unit Price]]</f>
        <v>2646.9900000000002</v>
      </c>
      <c r="Q649">
        <f>tblOrders[[#This Row],[TotalSales]]-tblOrders[[#This Row],[Calculated Sales]]</f>
        <v>0</v>
      </c>
    </row>
    <row r="650" spans="1:17" x14ac:dyDescent="0.25">
      <c r="A650">
        <v>1485</v>
      </c>
      <c r="B650">
        <v>704</v>
      </c>
      <c r="C650" t="str">
        <f>_xlfn.XLOOKUP(tblOrders[[#This Row],[CustomerID]],tblCustomers[CustomerID],tblCustomers[CustomerName],"not found")</f>
        <v>Bruce Rogers</v>
      </c>
      <c r="D650">
        <f>_xlfn.XLOOKUP(tblOrders[[#This Row],[CustomerID]],tblCustomers[CustomerID],tblCustomers[Age],"not found")</f>
        <v>19</v>
      </c>
      <c r="E650" t="str">
        <f>_xlfn.XLOOKUP(tblOrders[[#This Row],[CustomerID]],tblCustomers[CustomerID],tblCustomers[Gender],"not found")</f>
        <v>Female</v>
      </c>
      <c r="F650" t="str">
        <f>_xlfn.XLOOKUP(tblOrders[[#This Row],[CustomerID]],tblCustomers[CustomerID],tblCustomers[Region],"not found")</f>
        <v>West</v>
      </c>
      <c r="G650">
        <v>1085</v>
      </c>
      <c r="H650" t="str">
        <f>_xlfn.XLOOKUP(tblOrders[[#This Row],[ProductID]],tblProducts[ProductID],tblProducts[ProductName],"not found")</f>
        <v>See</v>
      </c>
      <c r="I650" t="str">
        <f>_xlfn.XLOOKUP(tblOrders[[#This Row],[ProductID]],tblProducts[ProductID],tblProducts[Category],"not found")</f>
        <v>Toys</v>
      </c>
      <c r="J650">
        <f>_xlfn.XLOOKUP(tblOrders[[#This Row],[ProductID]],tblProducts[ProductID],tblProducts[UnitPrice],"not found")</f>
        <v>294.11</v>
      </c>
      <c r="K650" t="str">
        <f>_xlfn.XLOOKUP(tblOrders[[#This Row],[ProductID]],tblProducts[ProductID],tblProducts[Supplier],"not found")</f>
        <v>Gomez-Ponce</v>
      </c>
      <c r="L650" s="1" t="s">
        <v>2107</v>
      </c>
      <c r="M6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650">
        <v>5</v>
      </c>
      <c r="O650">
        <v>1470.55</v>
      </c>
      <c r="P650">
        <f>tblOrders[[#This Row],[Quantity]]*tblOrders[[#This Row],[Unit Price]]</f>
        <v>1470.5500000000002</v>
      </c>
      <c r="Q650">
        <f>tblOrders[[#This Row],[TotalSales]]-tblOrders[[#This Row],[Calculated Sales]]</f>
        <v>0</v>
      </c>
    </row>
    <row r="651" spans="1:17" x14ac:dyDescent="0.25">
      <c r="A651">
        <v>1503</v>
      </c>
      <c r="B651">
        <v>769</v>
      </c>
      <c r="C651" t="str">
        <f>_xlfn.XLOOKUP(tblOrders[[#This Row],[CustomerID]],tblCustomers[CustomerID],tblCustomers[CustomerName],"not found")</f>
        <v>Michael Robinson</v>
      </c>
      <c r="D651">
        <f>_xlfn.XLOOKUP(tblOrders[[#This Row],[CustomerID]],tblCustomers[CustomerID],tblCustomers[Age],"not found")</f>
        <v>25</v>
      </c>
      <c r="E651" t="str">
        <f>_xlfn.XLOOKUP(tblOrders[[#This Row],[CustomerID]],tblCustomers[CustomerID],tblCustomers[Gender],"not found")</f>
        <v>Female</v>
      </c>
      <c r="F651" t="str">
        <f>_xlfn.XLOOKUP(tblOrders[[#This Row],[CustomerID]],tblCustomers[CustomerID],tblCustomers[Region],"not found")</f>
        <v>North</v>
      </c>
      <c r="G651">
        <v>1085</v>
      </c>
      <c r="H651" t="str">
        <f>_xlfn.XLOOKUP(tblOrders[[#This Row],[ProductID]],tblProducts[ProductID],tblProducts[ProductName],"not found")</f>
        <v>See</v>
      </c>
      <c r="I651" t="str">
        <f>_xlfn.XLOOKUP(tblOrders[[#This Row],[ProductID]],tblProducts[ProductID],tblProducts[Category],"not found")</f>
        <v>Toys</v>
      </c>
      <c r="J651">
        <f>_xlfn.XLOOKUP(tblOrders[[#This Row],[ProductID]],tblProducts[ProductID],tblProducts[UnitPrice],"not found")</f>
        <v>294.11</v>
      </c>
      <c r="K651" t="str">
        <f>_xlfn.XLOOKUP(tblOrders[[#This Row],[ProductID]],tblProducts[ProductID],tblProducts[Supplier],"not found")</f>
        <v>Gomez-Ponce</v>
      </c>
      <c r="L651" s="1" t="s">
        <v>2270</v>
      </c>
      <c r="M6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45229</v>
      </c>
      <c r="N651">
        <v>9</v>
      </c>
      <c r="O651">
        <v>2646.99</v>
      </c>
      <c r="P651">
        <f>tblOrders[[#This Row],[Quantity]]*tblOrders[[#This Row],[Unit Price]]</f>
        <v>2646.9900000000002</v>
      </c>
      <c r="Q651">
        <f>tblOrders[[#This Row],[TotalSales]]-tblOrders[[#This Row],[Calculated Sales]]</f>
        <v>0</v>
      </c>
    </row>
    <row r="652" spans="1:17" x14ac:dyDescent="0.25">
      <c r="A652">
        <v>1590</v>
      </c>
      <c r="B652">
        <v>395</v>
      </c>
      <c r="C652" t="str">
        <f>_xlfn.XLOOKUP(tblOrders[[#This Row],[CustomerID]],tblCustomers[CustomerID],tblCustomers[CustomerName],"not found")</f>
        <v>Alejandra Walton</v>
      </c>
      <c r="D652">
        <f>_xlfn.XLOOKUP(tblOrders[[#This Row],[CustomerID]],tblCustomers[CustomerID],tblCustomers[Age],"not found")</f>
        <v>61</v>
      </c>
      <c r="E652" t="str">
        <f>_xlfn.XLOOKUP(tblOrders[[#This Row],[CustomerID]],tblCustomers[CustomerID],tblCustomers[Gender],"not found")</f>
        <v>Male</v>
      </c>
      <c r="F652" t="str">
        <f>_xlfn.XLOOKUP(tblOrders[[#This Row],[CustomerID]],tblCustomers[CustomerID],tblCustomers[Region],"not found")</f>
        <v>North</v>
      </c>
      <c r="G652">
        <v>1085</v>
      </c>
      <c r="H652" t="str">
        <f>_xlfn.XLOOKUP(tblOrders[[#This Row],[ProductID]],tblProducts[ProductID],tblProducts[ProductName],"not found")</f>
        <v>See</v>
      </c>
      <c r="I652" t="str">
        <f>_xlfn.XLOOKUP(tblOrders[[#This Row],[ProductID]],tblProducts[ProductID],tblProducts[Category],"not found")</f>
        <v>Toys</v>
      </c>
      <c r="J652">
        <f>_xlfn.XLOOKUP(tblOrders[[#This Row],[ProductID]],tblProducts[ProductID],tblProducts[UnitPrice],"not found")</f>
        <v>294.11</v>
      </c>
      <c r="K652" t="str">
        <f>_xlfn.XLOOKUP(tblOrders[[#This Row],[ProductID]],tblProducts[ProductID],tblProducts[Supplier],"not found")</f>
        <v>Gomez-Ponce</v>
      </c>
      <c r="L652" s="1">
        <v>45024</v>
      </c>
      <c r="M6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45024</v>
      </c>
      <c r="N652">
        <v>1</v>
      </c>
      <c r="O652">
        <v>294.11</v>
      </c>
      <c r="P652">
        <f>tblOrders[[#This Row],[Quantity]]*tblOrders[[#This Row],[Unit Price]]</f>
        <v>294.11</v>
      </c>
      <c r="Q652">
        <f>tblOrders[[#This Row],[TotalSales]]-tblOrders[[#This Row],[Calculated Sales]]</f>
        <v>0</v>
      </c>
    </row>
    <row r="653" spans="1:17" x14ac:dyDescent="0.25">
      <c r="A653">
        <v>1658</v>
      </c>
      <c r="B653">
        <v>64</v>
      </c>
      <c r="C653" t="str">
        <f>_xlfn.XLOOKUP(tblOrders[[#This Row],[CustomerID]],tblCustomers[CustomerID],tblCustomers[CustomerName],"not found")</f>
        <v>Edward Hill</v>
      </c>
      <c r="D653">
        <f>_xlfn.XLOOKUP(tblOrders[[#This Row],[CustomerID]],tblCustomers[CustomerID],tblCustomers[Age],"not found")</f>
        <v>49</v>
      </c>
      <c r="E653" t="str">
        <f>_xlfn.XLOOKUP(tblOrders[[#This Row],[CustomerID]],tblCustomers[CustomerID],tblCustomers[Gender],"not found")</f>
        <v>Male</v>
      </c>
      <c r="F653" t="str">
        <f>_xlfn.XLOOKUP(tblOrders[[#This Row],[CustomerID]],tblCustomers[CustomerID],tblCustomers[Region],"not found")</f>
        <v>West</v>
      </c>
      <c r="G653">
        <v>1085</v>
      </c>
      <c r="H653" t="str">
        <f>_xlfn.XLOOKUP(tblOrders[[#This Row],[ProductID]],tblProducts[ProductID],tblProducts[ProductName],"not found")</f>
        <v>See</v>
      </c>
      <c r="I653" t="str">
        <f>_xlfn.XLOOKUP(tblOrders[[#This Row],[ProductID]],tblProducts[ProductID],tblProducts[Category],"not found")</f>
        <v>Toys</v>
      </c>
      <c r="J653">
        <f>_xlfn.XLOOKUP(tblOrders[[#This Row],[ProductID]],tblProducts[ProductID],tblProducts[UnitPrice],"not found")</f>
        <v>294.11</v>
      </c>
      <c r="K653" t="str">
        <f>_xlfn.XLOOKUP(tblOrders[[#This Row],[ProductID]],tblProducts[ProductID],tblProducts[Supplier],"not found")</f>
        <v>Gomez-Ponce</v>
      </c>
      <c r="L653" s="1">
        <v>45600</v>
      </c>
      <c r="M6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45600</v>
      </c>
      <c r="N653">
        <v>1</v>
      </c>
      <c r="O653">
        <v>294.11</v>
      </c>
      <c r="P653">
        <f>tblOrders[[#This Row],[Quantity]]*tblOrders[[#This Row],[Unit Price]]</f>
        <v>294.11</v>
      </c>
      <c r="Q653">
        <f>tblOrders[[#This Row],[TotalSales]]-tblOrders[[#This Row],[Calculated Sales]]</f>
        <v>0</v>
      </c>
    </row>
    <row r="654" spans="1:17" x14ac:dyDescent="0.25">
      <c r="A654">
        <v>1800</v>
      </c>
      <c r="B654">
        <v>148</v>
      </c>
      <c r="C654" t="str">
        <f>_xlfn.XLOOKUP(tblOrders[[#This Row],[CustomerID]],tblCustomers[CustomerID],tblCustomers[CustomerName],"not found")</f>
        <v>Dana Young</v>
      </c>
      <c r="D654">
        <f>_xlfn.XLOOKUP(tblOrders[[#This Row],[CustomerID]],tblCustomers[CustomerID],tblCustomers[Age],"not found")</f>
        <v>33</v>
      </c>
      <c r="E654" t="str">
        <f>_xlfn.XLOOKUP(tblOrders[[#This Row],[CustomerID]],tblCustomers[CustomerID],tblCustomers[Gender],"not found")</f>
        <v>Male</v>
      </c>
      <c r="F654" t="str">
        <f>_xlfn.XLOOKUP(tblOrders[[#This Row],[CustomerID]],tblCustomers[CustomerID],tblCustomers[Region],"not found")</f>
        <v>South</v>
      </c>
      <c r="G654">
        <v>1085</v>
      </c>
      <c r="H654" t="str">
        <f>_xlfn.XLOOKUP(tblOrders[[#This Row],[ProductID]],tblProducts[ProductID],tblProducts[ProductName],"not found")</f>
        <v>See</v>
      </c>
      <c r="I654" t="str">
        <f>_xlfn.XLOOKUP(tblOrders[[#This Row],[ProductID]],tblProducts[ProductID],tblProducts[Category],"not found")</f>
        <v>Toys</v>
      </c>
      <c r="J654">
        <f>_xlfn.XLOOKUP(tblOrders[[#This Row],[ProductID]],tblProducts[ProductID],tblProducts[UnitPrice],"not found")</f>
        <v>294.11</v>
      </c>
      <c r="K654" t="str">
        <f>_xlfn.XLOOKUP(tblOrders[[#This Row],[ProductID]],tblProducts[ProductID],tblProducts[Supplier],"not found")</f>
        <v>Gomez-Ponce</v>
      </c>
      <c r="L654" s="1" t="s">
        <v>2095</v>
      </c>
      <c r="M6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45217</v>
      </c>
      <c r="N654">
        <v>1</v>
      </c>
      <c r="O654">
        <v>294.11</v>
      </c>
      <c r="P654">
        <f>tblOrders[[#This Row],[Quantity]]*tblOrders[[#This Row],[Unit Price]]</f>
        <v>294.11</v>
      </c>
      <c r="Q654">
        <f>tblOrders[[#This Row],[TotalSales]]-tblOrders[[#This Row],[Calculated Sales]]</f>
        <v>0</v>
      </c>
    </row>
    <row r="655" spans="1:17" x14ac:dyDescent="0.25">
      <c r="A655">
        <v>1868</v>
      </c>
      <c r="B655">
        <v>873</v>
      </c>
      <c r="C655" t="str">
        <f>_xlfn.XLOOKUP(tblOrders[[#This Row],[CustomerID]],tblCustomers[CustomerID],tblCustomers[CustomerName],"not found")</f>
        <v>Vanessa Dunn</v>
      </c>
      <c r="D655">
        <f>_xlfn.XLOOKUP(tblOrders[[#This Row],[CustomerID]],tblCustomers[CustomerID],tblCustomers[Age],"not found")</f>
        <v>40</v>
      </c>
      <c r="E655" t="str">
        <f>_xlfn.XLOOKUP(tblOrders[[#This Row],[CustomerID]],tblCustomers[CustomerID],tblCustomers[Gender],"not found")</f>
        <v>Male</v>
      </c>
      <c r="F655" t="str">
        <f>_xlfn.XLOOKUP(tblOrders[[#This Row],[CustomerID]],tblCustomers[CustomerID],tblCustomers[Region],"not found")</f>
        <v>West</v>
      </c>
      <c r="G655">
        <v>1085</v>
      </c>
      <c r="H655" t="str">
        <f>_xlfn.XLOOKUP(tblOrders[[#This Row],[ProductID]],tblProducts[ProductID],tblProducts[ProductName],"not found")</f>
        <v>See</v>
      </c>
      <c r="I655" t="str">
        <f>_xlfn.XLOOKUP(tblOrders[[#This Row],[ProductID]],tblProducts[ProductID],tblProducts[Category],"not found")</f>
        <v>Toys</v>
      </c>
      <c r="J655">
        <f>_xlfn.XLOOKUP(tblOrders[[#This Row],[ProductID]],tblProducts[ProductID],tblProducts[UnitPrice],"not found")</f>
        <v>294.11</v>
      </c>
      <c r="K655" t="str">
        <f>_xlfn.XLOOKUP(tblOrders[[#This Row],[ProductID]],tblProducts[ProductID],tblProducts[Supplier],"not found")</f>
        <v>Gomez-Ponce</v>
      </c>
      <c r="L655" s="1" t="s">
        <v>2271</v>
      </c>
      <c r="M6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45341</v>
      </c>
      <c r="N655">
        <v>9</v>
      </c>
      <c r="O655">
        <v>2646.99</v>
      </c>
      <c r="P655">
        <f>tblOrders[[#This Row],[Quantity]]*tblOrders[[#This Row],[Unit Price]]</f>
        <v>2646.9900000000002</v>
      </c>
      <c r="Q655">
        <f>tblOrders[[#This Row],[TotalSales]]-tblOrders[[#This Row],[Calculated Sales]]</f>
        <v>0</v>
      </c>
    </row>
    <row r="656" spans="1:17" x14ac:dyDescent="0.25">
      <c r="A656">
        <v>34</v>
      </c>
      <c r="B656">
        <v>641</v>
      </c>
      <c r="C656" t="str">
        <f>_xlfn.XLOOKUP(tblOrders[[#This Row],[CustomerID]],tblCustomers[CustomerID],tblCustomers[CustomerName],"not found")</f>
        <v>Lindsay Wong</v>
      </c>
      <c r="D656">
        <f>_xlfn.XLOOKUP(tblOrders[[#This Row],[CustomerID]],tblCustomers[CustomerID],tblCustomers[Age],"not found")</f>
        <v>38</v>
      </c>
      <c r="E656" t="str">
        <f>_xlfn.XLOOKUP(tblOrders[[#This Row],[CustomerID]],tblCustomers[CustomerID],tblCustomers[Gender],"not found")</f>
        <v>Female</v>
      </c>
      <c r="F656" t="str">
        <f>_xlfn.XLOOKUP(tblOrders[[#This Row],[CustomerID]],tblCustomers[CustomerID],tblCustomers[Region],"not found")</f>
        <v>East</v>
      </c>
      <c r="G656">
        <v>1087</v>
      </c>
      <c r="H656" t="str">
        <f>_xlfn.XLOOKUP(tblOrders[[#This Row],[ProductID]],tblProducts[ProductID],tblProducts[ProductName],"not found")</f>
        <v>Best</v>
      </c>
      <c r="I656" t="str">
        <f>_xlfn.XLOOKUP(tblOrders[[#This Row],[ProductID]],tblProducts[ProductID],tblProducts[Category],"not found")</f>
        <v>Toys</v>
      </c>
      <c r="J656">
        <f>_xlfn.XLOOKUP(tblOrders[[#This Row],[ProductID]],tblProducts[ProductID],tblProducts[UnitPrice],"not found")</f>
        <v>390.52</v>
      </c>
      <c r="K656" t="str">
        <f>_xlfn.XLOOKUP(tblOrders[[#This Row],[ProductID]],tblProducts[ProductID],tblProducts[Supplier],"not found")</f>
        <v>Green, Bartlett and White</v>
      </c>
      <c r="L656" s="1">
        <v>44928</v>
      </c>
      <c r="M6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44928</v>
      </c>
      <c r="N656">
        <v>1</v>
      </c>
      <c r="O656">
        <v>390.52</v>
      </c>
      <c r="P656">
        <f>tblOrders[[#This Row],[Quantity]]*tblOrders[[#This Row],[Unit Price]]</f>
        <v>390.52</v>
      </c>
      <c r="Q656">
        <f>tblOrders[[#This Row],[TotalSales]]-tblOrders[[#This Row],[Calculated Sales]]</f>
        <v>0</v>
      </c>
    </row>
    <row r="657" spans="1:17" x14ac:dyDescent="0.25">
      <c r="A657">
        <v>55</v>
      </c>
      <c r="B657">
        <v>49</v>
      </c>
      <c r="C657" t="str">
        <f>_xlfn.XLOOKUP(tblOrders[[#This Row],[CustomerID]],tblCustomers[CustomerID],tblCustomers[CustomerName],"not found")</f>
        <v>Sharon Alexander</v>
      </c>
      <c r="D657">
        <f>_xlfn.XLOOKUP(tblOrders[[#This Row],[CustomerID]],tblCustomers[CustomerID],tblCustomers[Age],"not found")</f>
        <v>38</v>
      </c>
      <c r="E657" t="str">
        <f>_xlfn.XLOOKUP(tblOrders[[#This Row],[CustomerID]],tblCustomers[CustomerID],tblCustomers[Gender],"not found")</f>
        <v>Female</v>
      </c>
      <c r="F657" t="str">
        <f>_xlfn.XLOOKUP(tblOrders[[#This Row],[CustomerID]],tblCustomers[CustomerID],tblCustomers[Region],"not found")</f>
        <v>West</v>
      </c>
      <c r="G657">
        <v>1087</v>
      </c>
      <c r="H657" t="str">
        <f>_xlfn.XLOOKUP(tblOrders[[#This Row],[ProductID]],tblProducts[ProductID],tblProducts[ProductName],"not found")</f>
        <v>Best</v>
      </c>
      <c r="I657" t="str">
        <f>_xlfn.XLOOKUP(tblOrders[[#This Row],[ProductID]],tblProducts[ProductID],tblProducts[Category],"not found")</f>
        <v>Toys</v>
      </c>
      <c r="J657">
        <f>_xlfn.XLOOKUP(tblOrders[[#This Row],[ProductID]],tblProducts[ProductID],tblProducts[UnitPrice],"not found")</f>
        <v>390.52</v>
      </c>
      <c r="K657" t="str">
        <f>_xlfn.XLOOKUP(tblOrders[[#This Row],[ProductID]],tblProducts[ProductID],tblProducts[Supplier],"not found")</f>
        <v>Green, Bartlett and White</v>
      </c>
      <c r="L657" s="1" t="s">
        <v>2272</v>
      </c>
      <c r="M6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44914</v>
      </c>
      <c r="N657">
        <v>6</v>
      </c>
      <c r="O657">
        <v>2343.12</v>
      </c>
      <c r="P657">
        <f>tblOrders[[#This Row],[Quantity]]*tblOrders[[#This Row],[Unit Price]]</f>
        <v>2343.12</v>
      </c>
      <c r="Q657">
        <f>tblOrders[[#This Row],[TotalSales]]-tblOrders[[#This Row],[Calculated Sales]]</f>
        <v>0</v>
      </c>
    </row>
    <row r="658" spans="1:17" x14ac:dyDescent="0.25">
      <c r="A658">
        <v>62</v>
      </c>
      <c r="B658">
        <v>849</v>
      </c>
      <c r="C658" t="str">
        <f>_xlfn.XLOOKUP(tblOrders[[#This Row],[CustomerID]],tblCustomers[CustomerID],tblCustomers[CustomerName],"not found")</f>
        <v>John Coleman</v>
      </c>
      <c r="D658">
        <f>_xlfn.XLOOKUP(tblOrders[[#This Row],[CustomerID]],tblCustomers[CustomerID],tblCustomers[Age],"not found")</f>
        <v>58</v>
      </c>
      <c r="E658" t="str">
        <f>_xlfn.XLOOKUP(tblOrders[[#This Row],[CustomerID]],tblCustomers[CustomerID],tblCustomers[Gender],"not found")</f>
        <v>Male</v>
      </c>
      <c r="F658" t="str">
        <f>_xlfn.XLOOKUP(tblOrders[[#This Row],[CustomerID]],tblCustomers[CustomerID],tblCustomers[Region],"not found")</f>
        <v>West</v>
      </c>
      <c r="G658">
        <v>1087</v>
      </c>
      <c r="H658" t="str">
        <f>_xlfn.XLOOKUP(tblOrders[[#This Row],[ProductID]],tblProducts[ProductID],tblProducts[ProductName],"not found")</f>
        <v>Best</v>
      </c>
      <c r="I658" t="str">
        <f>_xlfn.XLOOKUP(tblOrders[[#This Row],[ProductID]],tblProducts[ProductID],tblProducts[Category],"not found")</f>
        <v>Toys</v>
      </c>
      <c r="J658">
        <f>_xlfn.XLOOKUP(tblOrders[[#This Row],[ProductID]],tblProducts[ProductID],tblProducts[UnitPrice],"not found")</f>
        <v>390.52</v>
      </c>
      <c r="K658" t="str">
        <f>_xlfn.XLOOKUP(tblOrders[[#This Row],[ProductID]],tblProducts[ProductID],tblProducts[Supplier],"not found")</f>
        <v>Green, Bartlett and White</v>
      </c>
      <c r="L658" s="1" t="s">
        <v>2214</v>
      </c>
      <c r="M6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45219</v>
      </c>
      <c r="N658">
        <v>6</v>
      </c>
      <c r="O658">
        <v>2343.12</v>
      </c>
      <c r="P658">
        <f>tblOrders[[#This Row],[Quantity]]*tblOrders[[#This Row],[Unit Price]]</f>
        <v>2343.12</v>
      </c>
      <c r="Q658">
        <f>tblOrders[[#This Row],[TotalSales]]-tblOrders[[#This Row],[Calculated Sales]]</f>
        <v>0</v>
      </c>
    </row>
    <row r="659" spans="1:17" x14ac:dyDescent="0.25">
      <c r="A659">
        <v>291</v>
      </c>
      <c r="B659">
        <v>838</v>
      </c>
      <c r="C659" t="str">
        <f>_xlfn.XLOOKUP(tblOrders[[#This Row],[CustomerID]],tblCustomers[CustomerID],tblCustomers[CustomerName],"not found")</f>
        <v>Robert Mason</v>
      </c>
      <c r="D659">
        <f>_xlfn.XLOOKUP(tblOrders[[#This Row],[CustomerID]],tblCustomers[CustomerID],tblCustomers[Age],"not found")</f>
        <v>26</v>
      </c>
      <c r="E659" t="str">
        <f>_xlfn.XLOOKUP(tblOrders[[#This Row],[CustomerID]],tblCustomers[CustomerID],tblCustomers[Gender],"not found")</f>
        <v>Female</v>
      </c>
      <c r="F659" t="str">
        <f>_xlfn.XLOOKUP(tblOrders[[#This Row],[CustomerID]],tblCustomers[CustomerID],tblCustomers[Region],"not found")</f>
        <v>East</v>
      </c>
      <c r="G659">
        <v>1087</v>
      </c>
      <c r="H659" t="str">
        <f>_xlfn.XLOOKUP(tblOrders[[#This Row],[ProductID]],tblProducts[ProductID],tblProducts[ProductName],"not found")</f>
        <v>Best</v>
      </c>
      <c r="I659" t="str">
        <f>_xlfn.XLOOKUP(tblOrders[[#This Row],[ProductID]],tblProducts[ProductID],tblProducts[Category],"not found")</f>
        <v>Toys</v>
      </c>
      <c r="J659">
        <f>_xlfn.XLOOKUP(tblOrders[[#This Row],[ProductID]],tblProducts[ProductID],tblProducts[UnitPrice],"not found")</f>
        <v>390.52</v>
      </c>
      <c r="K659" t="str">
        <f>_xlfn.XLOOKUP(tblOrders[[#This Row],[ProductID]],tblProducts[ProductID],tblProducts[Supplier],"not found")</f>
        <v>Green, Bartlett and White</v>
      </c>
      <c r="L659" s="1" t="s">
        <v>2253</v>
      </c>
      <c r="M6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45007</v>
      </c>
      <c r="N659">
        <v>8</v>
      </c>
      <c r="O659">
        <v>3124.16</v>
      </c>
      <c r="P659">
        <f>tblOrders[[#This Row],[Quantity]]*tblOrders[[#This Row],[Unit Price]]</f>
        <v>3124.16</v>
      </c>
      <c r="Q659">
        <f>tblOrders[[#This Row],[TotalSales]]-tblOrders[[#This Row],[Calculated Sales]]</f>
        <v>0</v>
      </c>
    </row>
    <row r="660" spans="1:17" x14ac:dyDescent="0.25">
      <c r="A660">
        <v>384</v>
      </c>
      <c r="B660">
        <v>595</v>
      </c>
      <c r="C660" t="str">
        <f>_xlfn.XLOOKUP(tblOrders[[#This Row],[CustomerID]],tblCustomers[CustomerID],tblCustomers[CustomerName],"not found")</f>
        <v>Daniel Davis</v>
      </c>
      <c r="D660">
        <f>_xlfn.XLOOKUP(tblOrders[[#This Row],[CustomerID]],tblCustomers[CustomerID],tblCustomers[Age],"not found")</f>
        <v>32</v>
      </c>
      <c r="E660" t="str">
        <f>_xlfn.XLOOKUP(tblOrders[[#This Row],[CustomerID]],tblCustomers[CustomerID],tblCustomers[Gender],"not found")</f>
        <v>Female</v>
      </c>
      <c r="F660" t="str">
        <f>_xlfn.XLOOKUP(tblOrders[[#This Row],[CustomerID]],tblCustomers[CustomerID],tblCustomers[Region],"not found")</f>
        <v>South</v>
      </c>
      <c r="G660">
        <v>1087</v>
      </c>
      <c r="H660" t="str">
        <f>_xlfn.XLOOKUP(tblOrders[[#This Row],[ProductID]],tblProducts[ProductID],tblProducts[ProductName],"not found")</f>
        <v>Best</v>
      </c>
      <c r="I660" t="str">
        <f>_xlfn.XLOOKUP(tblOrders[[#This Row],[ProductID]],tblProducts[ProductID],tblProducts[Category],"not found")</f>
        <v>Toys</v>
      </c>
      <c r="J660">
        <f>_xlfn.XLOOKUP(tblOrders[[#This Row],[ProductID]],tblProducts[ProductID],tblProducts[UnitPrice],"not found")</f>
        <v>390.52</v>
      </c>
      <c r="K660" t="str">
        <f>_xlfn.XLOOKUP(tblOrders[[#This Row],[ProductID]],tblProducts[ProductID],tblProducts[Supplier],"not found")</f>
        <v>Green, Bartlett and White</v>
      </c>
      <c r="L660" s="1" t="s">
        <v>2264</v>
      </c>
      <c r="M6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45527</v>
      </c>
      <c r="N660">
        <v>9</v>
      </c>
      <c r="O660">
        <v>3514.68</v>
      </c>
      <c r="P660">
        <f>tblOrders[[#This Row],[Quantity]]*tblOrders[[#This Row],[Unit Price]]</f>
        <v>3514.68</v>
      </c>
      <c r="Q660">
        <f>tblOrders[[#This Row],[TotalSales]]-tblOrders[[#This Row],[Calculated Sales]]</f>
        <v>0</v>
      </c>
    </row>
    <row r="661" spans="1:17" x14ac:dyDescent="0.25">
      <c r="A661">
        <v>441</v>
      </c>
      <c r="B661">
        <v>38</v>
      </c>
      <c r="C661" t="str">
        <f>_xlfn.XLOOKUP(tblOrders[[#This Row],[CustomerID]],tblCustomers[CustomerID],tblCustomers[CustomerName],"not found")</f>
        <v>Stephen Martin</v>
      </c>
      <c r="D661">
        <f>_xlfn.XLOOKUP(tblOrders[[#This Row],[CustomerID]],tblCustomers[CustomerID],tblCustomers[Age],"not found")</f>
        <v>30</v>
      </c>
      <c r="E661" t="str">
        <f>_xlfn.XLOOKUP(tblOrders[[#This Row],[CustomerID]],tblCustomers[CustomerID],tblCustomers[Gender],"not found")</f>
        <v>Female</v>
      </c>
      <c r="F661" t="str">
        <f>_xlfn.XLOOKUP(tblOrders[[#This Row],[CustomerID]],tblCustomers[CustomerID],tblCustomers[Region],"not found")</f>
        <v>West</v>
      </c>
      <c r="G661">
        <v>1087</v>
      </c>
      <c r="H661" t="str">
        <f>_xlfn.XLOOKUP(tblOrders[[#This Row],[ProductID]],tblProducts[ProductID],tblProducts[ProductName],"not found")</f>
        <v>Best</v>
      </c>
      <c r="I661" t="str">
        <f>_xlfn.XLOOKUP(tblOrders[[#This Row],[ProductID]],tblProducts[ProductID],tblProducts[Category],"not found")</f>
        <v>Toys</v>
      </c>
      <c r="J661">
        <f>_xlfn.XLOOKUP(tblOrders[[#This Row],[ProductID]],tblProducts[ProductID],tblProducts[UnitPrice],"not found")</f>
        <v>390.52</v>
      </c>
      <c r="K661" t="str">
        <f>_xlfn.XLOOKUP(tblOrders[[#This Row],[ProductID]],tblProducts[ProductID],tblProducts[Supplier],"not found")</f>
        <v>Green, Bartlett and White</v>
      </c>
      <c r="L661" s="1" t="s">
        <v>2012</v>
      </c>
      <c r="M6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44911</v>
      </c>
      <c r="N661">
        <v>4</v>
      </c>
      <c r="O661">
        <v>1562.08</v>
      </c>
      <c r="P661">
        <f>tblOrders[[#This Row],[Quantity]]*tblOrders[[#This Row],[Unit Price]]</f>
        <v>1562.08</v>
      </c>
      <c r="Q661">
        <f>tblOrders[[#This Row],[TotalSales]]-tblOrders[[#This Row],[Calculated Sales]]</f>
        <v>0</v>
      </c>
    </row>
    <row r="662" spans="1:17" x14ac:dyDescent="0.25">
      <c r="A662">
        <v>794</v>
      </c>
      <c r="B662">
        <v>276</v>
      </c>
      <c r="C662" t="str">
        <f>_xlfn.XLOOKUP(tblOrders[[#This Row],[CustomerID]],tblCustomers[CustomerID],tblCustomers[CustomerName],"not found")</f>
        <v>Javier Ochoa</v>
      </c>
      <c r="D662">
        <f>_xlfn.XLOOKUP(tblOrders[[#This Row],[CustomerID]],tblCustomers[CustomerID],tblCustomers[Age],"not found")</f>
        <v>47</v>
      </c>
      <c r="E662" t="str">
        <f>_xlfn.XLOOKUP(tblOrders[[#This Row],[CustomerID]],tblCustomers[CustomerID],tblCustomers[Gender],"not found")</f>
        <v>Male</v>
      </c>
      <c r="F662" t="str">
        <f>_xlfn.XLOOKUP(tblOrders[[#This Row],[CustomerID]],tblCustomers[CustomerID],tblCustomers[Region],"not found")</f>
        <v>East</v>
      </c>
      <c r="G662">
        <v>1087</v>
      </c>
      <c r="H662" t="str">
        <f>_xlfn.XLOOKUP(tblOrders[[#This Row],[ProductID]],tblProducts[ProductID],tblProducts[ProductName],"not found")</f>
        <v>Best</v>
      </c>
      <c r="I662" t="str">
        <f>_xlfn.XLOOKUP(tblOrders[[#This Row],[ProductID]],tblProducts[ProductID],tblProducts[Category],"not found")</f>
        <v>Toys</v>
      </c>
      <c r="J662">
        <f>_xlfn.XLOOKUP(tblOrders[[#This Row],[ProductID]],tblProducts[ProductID],tblProducts[UnitPrice],"not found")</f>
        <v>390.52</v>
      </c>
      <c r="K662" t="str">
        <f>_xlfn.XLOOKUP(tblOrders[[#This Row],[ProductID]],tblProducts[ProductID],tblProducts[Supplier],"not found")</f>
        <v>Green, Bartlett and White</v>
      </c>
      <c r="L662" s="1" t="s">
        <v>2130</v>
      </c>
      <c r="M6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662">
        <v>6</v>
      </c>
      <c r="O662">
        <v>2343.12</v>
      </c>
      <c r="P662">
        <f>tblOrders[[#This Row],[Quantity]]*tblOrders[[#This Row],[Unit Price]]</f>
        <v>2343.12</v>
      </c>
      <c r="Q662">
        <f>tblOrders[[#This Row],[TotalSales]]-tblOrders[[#This Row],[Calculated Sales]]</f>
        <v>0</v>
      </c>
    </row>
    <row r="663" spans="1:17" x14ac:dyDescent="0.25">
      <c r="A663">
        <v>802</v>
      </c>
      <c r="B663">
        <v>116</v>
      </c>
      <c r="C663" t="str">
        <f>_xlfn.XLOOKUP(tblOrders[[#This Row],[CustomerID]],tblCustomers[CustomerID],tblCustomers[CustomerName],"not found")</f>
        <v>Samantha Hood</v>
      </c>
      <c r="D663">
        <f>_xlfn.XLOOKUP(tblOrders[[#This Row],[CustomerID]],tblCustomers[CustomerID],tblCustomers[Age],"not found")</f>
        <v>66</v>
      </c>
      <c r="E663" t="str">
        <f>_xlfn.XLOOKUP(tblOrders[[#This Row],[CustomerID]],tblCustomers[CustomerID],tblCustomers[Gender],"not found")</f>
        <v>Female</v>
      </c>
      <c r="F663" t="str">
        <f>_xlfn.XLOOKUP(tblOrders[[#This Row],[CustomerID]],tblCustomers[CustomerID],tblCustomers[Region],"not found")</f>
        <v>East</v>
      </c>
      <c r="G663">
        <v>1087</v>
      </c>
      <c r="H663" t="str">
        <f>_xlfn.XLOOKUP(tblOrders[[#This Row],[ProductID]],tblProducts[ProductID],tblProducts[ProductName],"not found")</f>
        <v>Best</v>
      </c>
      <c r="I663" t="str">
        <f>_xlfn.XLOOKUP(tblOrders[[#This Row],[ProductID]],tblProducts[ProductID],tblProducts[Category],"not found")</f>
        <v>Toys</v>
      </c>
      <c r="J663">
        <f>_xlfn.XLOOKUP(tblOrders[[#This Row],[ProductID]],tblProducts[ProductID],tblProducts[UnitPrice],"not found")</f>
        <v>390.52</v>
      </c>
      <c r="K663" t="str">
        <f>_xlfn.XLOOKUP(tblOrders[[#This Row],[ProductID]],tblProducts[ProductID],tblProducts[Supplier],"not found")</f>
        <v>Green, Bartlett and White</v>
      </c>
      <c r="L663" s="1">
        <v>45544</v>
      </c>
      <c r="M6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45544</v>
      </c>
      <c r="N663">
        <v>5</v>
      </c>
      <c r="O663">
        <v>1952.6</v>
      </c>
      <c r="P663">
        <f>tblOrders[[#This Row],[Quantity]]*tblOrders[[#This Row],[Unit Price]]</f>
        <v>1952.6</v>
      </c>
      <c r="Q663">
        <f>tblOrders[[#This Row],[TotalSales]]-tblOrders[[#This Row],[Calculated Sales]]</f>
        <v>0</v>
      </c>
    </row>
    <row r="664" spans="1:17" x14ac:dyDescent="0.25">
      <c r="A664">
        <v>993</v>
      </c>
      <c r="B664">
        <v>468</v>
      </c>
      <c r="C664" t="str">
        <f>_xlfn.XLOOKUP(tblOrders[[#This Row],[CustomerID]],tblCustomers[CustomerID],tblCustomers[CustomerName],"not found")</f>
        <v>David Robinson</v>
      </c>
      <c r="D664">
        <f>_xlfn.XLOOKUP(tblOrders[[#This Row],[CustomerID]],tblCustomers[CustomerID],tblCustomers[Age],"not found")</f>
        <v>24</v>
      </c>
      <c r="E664" t="str">
        <f>_xlfn.XLOOKUP(tblOrders[[#This Row],[CustomerID]],tblCustomers[CustomerID],tblCustomers[Gender],"not found")</f>
        <v>Male</v>
      </c>
      <c r="F664" t="str">
        <f>_xlfn.XLOOKUP(tblOrders[[#This Row],[CustomerID]],tblCustomers[CustomerID],tblCustomers[Region],"not found")</f>
        <v>East</v>
      </c>
      <c r="G664">
        <v>1087</v>
      </c>
      <c r="H664" t="str">
        <f>_xlfn.XLOOKUP(tblOrders[[#This Row],[ProductID]],tblProducts[ProductID],tblProducts[ProductName],"not found")</f>
        <v>Best</v>
      </c>
      <c r="I664" t="str">
        <f>_xlfn.XLOOKUP(tblOrders[[#This Row],[ProductID]],tblProducts[ProductID],tblProducts[Category],"not found")</f>
        <v>Toys</v>
      </c>
      <c r="J664">
        <f>_xlfn.XLOOKUP(tblOrders[[#This Row],[ProductID]],tblProducts[ProductID],tblProducts[UnitPrice],"not found")</f>
        <v>390.52</v>
      </c>
      <c r="K664" t="str">
        <f>_xlfn.XLOOKUP(tblOrders[[#This Row],[ProductID]],tblProducts[ProductID],tblProducts[Supplier],"not found")</f>
        <v>Green, Bartlett and White</v>
      </c>
      <c r="L664" s="1">
        <v>44846</v>
      </c>
      <c r="M6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44846</v>
      </c>
      <c r="N664">
        <v>6</v>
      </c>
      <c r="O664">
        <v>2343.12</v>
      </c>
      <c r="P664">
        <f>tblOrders[[#This Row],[Quantity]]*tblOrders[[#This Row],[Unit Price]]</f>
        <v>2343.12</v>
      </c>
      <c r="Q664">
        <f>tblOrders[[#This Row],[TotalSales]]-tblOrders[[#This Row],[Calculated Sales]]</f>
        <v>0</v>
      </c>
    </row>
    <row r="665" spans="1:17" x14ac:dyDescent="0.25">
      <c r="A665">
        <v>1133</v>
      </c>
      <c r="B665">
        <v>653</v>
      </c>
      <c r="C665" t="str">
        <f>_xlfn.XLOOKUP(tblOrders[[#This Row],[CustomerID]],tblCustomers[CustomerID],tblCustomers[CustomerName],"not found")</f>
        <v>Clinton Huffman</v>
      </c>
      <c r="D665">
        <f>_xlfn.XLOOKUP(tblOrders[[#This Row],[CustomerID]],tblCustomers[CustomerID],tblCustomers[Age],"not found")</f>
        <v>35</v>
      </c>
      <c r="E665" t="str">
        <f>_xlfn.XLOOKUP(tblOrders[[#This Row],[CustomerID]],tblCustomers[CustomerID],tblCustomers[Gender],"not found")</f>
        <v>Female</v>
      </c>
      <c r="F665" t="str">
        <f>_xlfn.XLOOKUP(tblOrders[[#This Row],[CustomerID]],tblCustomers[CustomerID],tblCustomers[Region],"not found")</f>
        <v>North</v>
      </c>
      <c r="G665">
        <v>1087</v>
      </c>
      <c r="H665" t="str">
        <f>_xlfn.XLOOKUP(tblOrders[[#This Row],[ProductID]],tblProducts[ProductID],tblProducts[ProductName],"not found")</f>
        <v>Best</v>
      </c>
      <c r="I665" t="str">
        <f>_xlfn.XLOOKUP(tblOrders[[#This Row],[ProductID]],tblProducts[ProductID],tblProducts[Category],"not found")</f>
        <v>Toys</v>
      </c>
      <c r="J665">
        <f>_xlfn.XLOOKUP(tblOrders[[#This Row],[ProductID]],tblProducts[ProductID],tblProducts[UnitPrice],"not found")</f>
        <v>390.52</v>
      </c>
      <c r="K665" t="str">
        <f>_xlfn.XLOOKUP(tblOrders[[#This Row],[ProductID]],tblProducts[ProductID],tblProducts[Supplier],"not found")</f>
        <v>Green, Bartlett and White</v>
      </c>
      <c r="L665" s="1" t="s">
        <v>2273</v>
      </c>
      <c r="M6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45278</v>
      </c>
      <c r="N665">
        <v>1</v>
      </c>
      <c r="O665">
        <v>390.52</v>
      </c>
      <c r="P665">
        <f>tblOrders[[#This Row],[Quantity]]*tblOrders[[#This Row],[Unit Price]]</f>
        <v>390.52</v>
      </c>
      <c r="Q665">
        <f>tblOrders[[#This Row],[TotalSales]]-tblOrders[[#This Row],[Calculated Sales]]</f>
        <v>0</v>
      </c>
    </row>
    <row r="666" spans="1:17" x14ac:dyDescent="0.25">
      <c r="A666">
        <v>1225</v>
      </c>
      <c r="B666">
        <v>416</v>
      </c>
      <c r="C666" t="str">
        <f>_xlfn.XLOOKUP(tblOrders[[#This Row],[CustomerID]],tblCustomers[CustomerID],tblCustomers[CustomerName],"not found")</f>
        <v>Ronald Hawkins</v>
      </c>
      <c r="D666">
        <f>_xlfn.XLOOKUP(tblOrders[[#This Row],[CustomerID]],tblCustomers[CustomerID],tblCustomers[Age],"not found")</f>
        <v>24</v>
      </c>
      <c r="E666" t="str">
        <f>_xlfn.XLOOKUP(tblOrders[[#This Row],[CustomerID]],tblCustomers[CustomerID],tblCustomers[Gender],"not found")</f>
        <v>Female</v>
      </c>
      <c r="F666" t="str">
        <f>_xlfn.XLOOKUP(tblOrders[[#This Row],[CustomerID]],tblCustomers[CustomerID],tblCustomers[Region],"not found")</f>
        <v>Central</v>
      </c>
      <c r="G666">
        <v>1087</v>
      </c>
      <c r="H666" t="str">
        <f>_xlfn.XLOOKUP(tblOrders[[#This Row],[ProductID]],tblProducts[ProductID],tblProducts[ProductName],"not found")</f>
        <v>Best</v>
      </c>
      <c r="I666" t="str">
        <f>_xlfn.XLOOKUP(tblOrders[[#This Row],[ProductID]],tblProducts[ProductID],tblProducts[Category],"not found")</f>
        <v>Toys</v>
      </c>
      <c r="J666">
        <f>_xlfn.XLOOKUP(tblOrders[[#This Row],[ProductID]],tblProducts[ProductID],tblProducts[UnitPrice],"not found")</f>
        <v>390.52</v>
      </c>
      <c r="K666" t="str">
        <f>_xlfn.XLOOKUP(tblOrders[[#This Row],[ProductID]],tblProducts[ProductID],tblProducts[Supplier],"not found")</f>
        <v>Green, Bartlett and White</v>
      </c>
      <c r="L666" s="1">
        <v>45231</v>
      </c>
      <c r="M6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45231</v>
      </c>
      <c r="N666">
        <v>5</v>
      </c>
      <c r="O666">
        <v>1952.6</v>
      </c>
      <c r="P666">
        <f>tblOrders[[#This Row],[Quantity]]*tblOrders[[#This Row],[Unit Price]]</f>
        <v>1952.6</v>
      </c>
      <c r="Q666">
        <f>tblOrders[[#This Row],[TotalSales]]-tblOrders[[#This Row],[Calculated Sales]]</f>
        <v>0</v>
      </c>
    </row>
    <row r="667" spans="1:17" x14ac:dyDescent="0.25">
      <c r="A667">
        <v>1311</v>
      </c>
      <c r="B667">
        <v>983</v>
      </c>
      <c r="C667" t="str">
        <f>_xlfn.XLOOKUP(tblOrders[[#This Row],[CustomerID]],tblCustomers[CustomerID],tblCustomers[CustomerName],"not found")</f>
        <v>Sara Liu</v>
      </c>
      <c r="D667">
        <f>_xlfn.XLOOKUP(tblOrders[[#This Row],[CustomerID]],tblCustomers[CustomerID],tblCustomers[Age],"not found")</f>
        <v>26</v>
      </c>
      <c r="E667" t="str">
        <f>_xlfn.XLOOKUP(tblOrders[[#This Row],[CustomerID]],tblCustomers[CustomerID],tblCustomers[Gender],"not found")</f>
        <v>Female</v>
      </c>
      <c r="F667" t="str">
        <f>_xlfn.XLOOKUP(tblOrders[[#This Row],[CustomerID]],tblCustomers[CustomerID],tblCustomers[Region],"not found")</f>
        <v>South</v>
      </c>
      <c r="G667">
        <v>1087</v>
      </c>
      <c r="H667" t="str">
        <f>_xlfn.XLOOKUP(tblOrders[[#This Row],[ProductID]],tblProducts[ProductID],tblProducts[ProductName],"not found")</f>
        <v>Best</v>
      </c>
      <c r="I667" t="str">
        <f>_xlfn.XLOOKUP(tblOrders[[#This Row],[ProductID]],tblProducts[ProductID],tblProducts[Category],"not found")</f>
        <v>Toys</v>
      </c>
      <c r="J667">
        <f>_xlfn.XLOOKUP(tblOrders[[#This Row],[ProductID]],tblProducts[ProductID],tblProducts[UnitPrice],"not found")</f>
        <v>390.52</v>
      </c>
      <c r="K667" t="str">
        <f>_xlfn.XLOOKUP(tblOrders[[#This Row],[ProductID]],tblProducts[ProductID],tblProducts[Supplier],"not found")</f>
        <v>Green, Bartlett and White</v>
      </c>
      <c r="L667" s="1" t="s">
        <v>2080</v>
      </c>
      <c r="M6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44895</v>
      </c>
      <c r="N667">
        <v>9</v>
      </c>
      <c r="O667">
        <v>3514.68</v>
      </c>
      <c r="P667">
        <f>tblOrders[[#This Row],[Quantity]]*tblOrders[[#This Row],[Unit Price]]</f>
        <v>3514.68</v>
      </c>
      <c r="Q667">
        <f>tblOrders[[#This Row],[TotalSales]]-tblOrders[[#This Row],[Calculated Sales]]</f>
        <v>0</v>
      </c>
    </row>
    <row r="668" spans="1:17" x14ac:dyDescent="0.25">
      <c r="A668">
        <v>1413</v>
      </c>
      <c r="B668">
        <v>508</v>
      </c>
      <c r="C668" t="str">
        <f>_xlfn.XLOOKUP(tblOrders[[#This Row],[CustomerID]],tblCustomers[CustomerID],tblCustomers[CustomerName],"not found")</f>
        <v>George Kidd</v>
      </c>
      <c r="D668">
        <f>_xlfn.XLOOKUP(tblOrders[[#This Row],[CustomerID]],tblCustomers[CustomerID],tblCustomers[Age],"not found")</f>
        <v>58</v>
      </c>
      <c r="E668" t="str">
        <f>_xlfn.XLOOKUP(tblOrders[[#This Row],[CustomerID]],tblCustomers[CustomerID],tblCustomers[Gender],"not found")</f>
        <v>Female</v>
      </c>
      <c r="F668" t="str">
        <f>_xlfn.XLOOKUP(tblOrders[[#This Row],[CustomerID]],tblCustomers[CustomerID],tblCustomers[Region],"not found")</f>
        <v>South</v>
      </c>
      <c r="G668">
        <v>1087</v>
      </c>
      <c r="H668" t="str">
        <f>_xlfn.XLOOKUP(tblOrders[[#This Row],[ProductID]],tblProducts[ProductID],tblProducts[ProductName],"not found")</f>
        <v>Best</v>
      </c>
      <c r="I668" t="str">
        <f>_xlfn.XLOOKUP(tblOrders[[#This Row],[ProductID]],tblProducts[ProductID],tblProducts[Category],"not found")</f>
        <v>Toys</v>
      </c>
      <c r="J668">
        <f>_xlfn.XLOOKUP(tblOrders[[#This Row],[ProductID]],tblProducts[ProductID],tblProducts[UnitPrice],"not found")</f>
        <v>390.52</v>
      </c>
      <c r="K668" t="str">
        <f>_xlfn.XLOOKUP(tblOrders[[#This Row],[ProductID]],tblProducts[ProductID],tblProducts[Supplier],"not found")</f>
        <v>Green, Bartlett and White</v>
      </c>
      <c r="L668" s="1" t="s">
        <v>2263</v>
      </c>
      <c r="M6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45402</v>
      </c>
      <c r="N668">
        <v>6</v>
      </c>
      <c r="O668">
        <v>2343.12</v>
      </c>
      <c r="P668">
        <f>tblOrders[[#This Row],[Quantity]]*tblOrders[[#This Row],[Unit Price]]</f>
        <v>2343.12</v>
      </c>
      <c r="Q668">
        <f>tblOrders[[#This Row],[TotalSales]]-tblOrders[[#This Row],[Calculated Sales]]</f>
        <v>0</v>
      </c>
    </row>
    <row r="669" spans="1:17" x14ac:dyDescent="0.25">
      <c r="A669">
        <v>1661</v>
      </c>
      <c r="B669">
        <v>310</v>
      </c>
      <c r="C669" t="str">
        <f>_xlfn.XLOOKUP(tblOrders[[#This Row],[CustomerID]],tblCustomers[CustomerID],tblCustomers[CustomerName],"not found")</f>
        <v>Timothy Higgins</v>
      </c>
      <c r="D669">
        <f>_xlfn.XLOOKUP(tblOrders[[#This Row],[CustomerID]],tblCustomers[CustomerID],tblCustomers[Age],"not found")</f>
        <v>58</v>
      </c>
      <c r="E669" t="str">
        <f>_xlfn.XLOOKUP(tblOrders[[#This Row],[CustomerID]],tblCustomers[CustomerID],tblCustomers[Gender],"not found")</f>
        <v>Female</v>
      </c>
      <c r="F669" t="str">
        <f>_xlfn.XLOOKUP(tblOrders[[#This Row],[CustomerID]],tblCustomers[CustomerID],tblCustomers[Region],"not found")</f>
        <v>North</v>
      </c>
      <c r="G669">
        <v>1087</v>
      </c>
      <c r="H669" t="str">
        <f>_xlfn.XLOOKUP(tblOrders[[#This Row],[ProductID]],tblProducts[ProductID],tblProducts[ProductName],"not found")</f>
        <v>Best</v>
      </c>
      <c r="I669" t="str">
        <f>_xlfn.XLOOKUP(tblOrders[[#This Row],[ProductID]],tblProducts[ProductID],tblProducts[Category],"not found")</f>
        <v>Toys</v>
      </c>
      <c r="J669">
        <f>_xlfn.XLOOKUP(tblOrders[[#This Row],[ProductID]],tblProducts[ProductID],tblProducts[UnitPrice],"not found")</f>
        <v>390.52</v>
      </c>
      <c r="K669" t="str">
        <f>_xlfn.XLOOKUP(tblOrders[[#This Row],[ProductID]],tblProducts[ProductID],tblProducts[Supplier],"not found")</f>
        <v>Green, Bartlett and White</v>
      </c>
      <c r="L669" s="1" t="s">
        <v>2014</v>
      </c>
      <c r="M6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45373</v>
      </c>
      <c r="N669">
        <v>4</v>
      </c>
      <c r="O669">
        <v>1562.08</v>
      </c>
      <c r="P669">
        <f>tblOrders[[#This Row],[Quantity]]*tblOrders[[#This Row],[Unit Price]]</f>
        <v>1562.08</v>
      </c>
      <c r="Q669">
        <f>tblOrders[[#This Row],[TotalSales]]-tblOrders[[#This Row],[Calculated Sales]]</f>
        <v>0</v>
      </c>
    </row>
    <row r="670" spans="1:17" x14ac:dyDescent="0.25">
      <c r="A670">
        <v>1707</v>
      </c>
      <c r="B670">
        <v>270</v>
      </c>
      <c r="C670" t="str">
        <f>_xlfn.XLOOKUP(tblOrders[[#This Row],[CustomerID]],tblCustomers[CustomerID],tblCustomers[CustomerName],"not found")</f>
        <v>Kyle Moore</v>
      </c>
      <c r="D670">
        <f>_xlfn.XLOOKUP(tblOrders[[#This Row],[CustomerID]],tblCustomers[CustomerID],tblCustomers[Age],"not found")</f>
        <v>18</v>
      </c>
      <c r="E670" t="str">
        <f>_xlfn.XLOOKUP(tblOrders[[#This Row],[CustomerID]],tblCustomers[CustomerID],tblCustomers[Gender],"not found")</f>
        <v>Female</v>
      </c>
      <c r="F670" t="str">
        <f>_xlfn.XLOOKUP(tblOrders[[#This Row],[CustomerID]],tblCustomers[CustomerID],tblCustomers[Region],"not found")</f>
        <v>West</v>
      </c>
      <c r="G670">
        <v>1087</v>
      </c>
      <c r="H670" t="str">
        <f>_xlfn.XLOOKUP(tblOrders[[#This Row],[ProductID]],tblProducts[ProductID],tblProducts[ProductName],"not found")</f>
        <v>Best</v>
      </c>
      <c r="I670" t="str">
        <f>_xlfn.XLOOKUP(tblOrders[[#This Row],[ProductID]],tblProducts[ProductID],tblProducts[Category],"not found")</f>
        <v>Toys</v>
      </c>
      <c r="J670">
        <f>_xlfn.XLOOKUP(tblOrders[[#This Row],[ProductID]],tblProducts[ProductID],tblProducts[UnitPrice],"not found")</f>
        <v>390.52</v>
      </c>
      <c r="K670" t="str">
        <f>_xlfn.XLOOKUP(tblOrders[[#This Row],[ProductID]],tblProducts[ProductID],tblProducts[Supplier],"not found")</f>
        <v>Green, Bartlett and White</v>
      </c>
      <c r="L670" s="1">
        <v>45362</v>
      </c>
      <c r="M6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45362</v>
      </c>
      <c r="N670">
        <v>7</v>
      </c>
      <c r="O670">
        <v>2733.64</v>
      </c>
      <c r="P670">
        <f>tblOrders[[#This Row],[Quantity]]*tblOrders[[#This Row],[Unit Price]]</f>
        <v>2733.64</v>
      </c>
      <c r="Q670">
        <f>tblOrders[[#This Row],[TotalSales]]-tblOrders[[#This Row],[Calculated Sales]]</f>
        <v>0</v>
      </c>
    </row>
    <row r="671" spans="1:17" x14ac:dyDescent="0.25">
      <c r="A671">
        <v>1792</v>
      </c>
      <c r="B671">
        <v>900</v>
      </c>
      <c r="C671" t="str">
        <f>_xlfn.XLOOKUP(tblOrders[[#This Row],[CustomerID]],tblCustomers[CustomerID],tblCustomers[CustomerName],"not found")</f>
        <v>John White</v>
      </c>
      <c r="D671">
        <f>_xlfn.XLOOKUP(tblOrders[[#This Row],[CustomerID]],tblCustomers[CustomerID],tblCustomers[Age],"not found")</f>
        <v>51</v>
      </c>
      <c r="E671" t="str">
        <f>_xlfn.XLOOKUP(tblOrders[[#This Row],[CustomerID]],tblCustomers[CustomerID],tblCustomers[Gender],"not found")</f>
        <v>Female</v>
      </c>
      <c r="F671" t="str">
        <f>_xlfn.XLOOKUP(tblOrders[[#This Row],[CustomerID]],tblCustomers[CustomerID],tblCustomers[Region],"not found")</f>
        <v>West</v>
      </c>
      <c r="G671">
        <v>1087</v>
      </c>
      <c r="H671" t="str">
        <f>_xlfn.XLOOKUP(tblOrders[[#This Row],[ProductID]],tblProducts[ProductID],tblProducts[ProductName],"not found")</f>
        <v>Best</v>
      </c>
      <c r="I671" t="str">
        <f>_xlfn.XLOOKUP(tblOrders[[#This Row],[ProductID]],tblProducts[ProductID],tblProducts[Category],"not found")</f>
        <v>Toys</v>
      </c>
      <c r="J671">
        <f>_xlfn.XLOOKUP(tblOrders[[#This Row],[ProductID]],tblProducts[ProductID],tblProducts[UnitPrice],"not found")</f>
        <v>390.52</v>
      </c>
      <c r="K671" t="str">
        <f>_xlfn.XLOOKUP(tblOrders[[#This Row],[ProductID]],tblProducts[ProductID],tblProducts[Supplier],"not found")</f>
        <v>Green, Bartlett and White</v>
      </c>
      <c r="L671" s="1" t="s">
        <v>2274</v>
      </c>
      <c r="M6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44915</v>
      </c>
      <c r="N671">
        <v>3</v>
      </c>
      <c r="O671">
        <v>1171.56</v>
      </c>
      <c r="P671">
        <f>tblOrders[[#This Row],[Quantity]]*tblOrders[[#This Row],[Unit Price]]</f>
        <v>1171.56</v>
      </c>
      <c r="Q671">
        <f>tblOrders[[#This Row],[TotalSales]]-tblOrders[[#This Row],[Calculated Sales]]</f>
        <v>0</v>
      </c>
    </row>
    <row r="672" spans="1:17" x14ac:dyDescent="0.25">
      <c r="A672">
        <v>1828</v>
      </c>
      <c r="B672">
        <v>166</v>
      </c>
      <c r="C672" t="str">
        <f>_xlfn.XLOOKUP(tblOrders[[#This Row],[CustomerID]],tblCustomers[CustomerID],tblCustomers[CustomerName],"not found")</f>
        <v>Cheryl Collins</v>
      </c>
      <c r="D672">
        <f>_xlfn.XLOOKUP(tblOrders[[#This Row],[CustomerID]],tblCustomers[CustomerID],tblCustomers[Age],"not found")</f>
        <v>45</v>
      </c>
      <c r="E672" t="str">
        <f>_xlfn.XLOOKUP(tblOrders[[#This Row],[CustomerID]],tblCustomers[CustomerID],tblCustomers[Gender],"not found")</f>
        <v>Male</v>
      </c>
      <c r="F672" t="str">
        <f>_xlfn.XLOOKUP(tblOrders[[#This Row],[CustomerID]],tblCustomers[CustomerID],tblCustomers[Region],"not found")</f>
        <v>North</v>
      </c>
      <c r="G672">
        <v>1087</v>
      </c>
      <c r="H672" t="str">
        <f>_xlfn.XLOOKUP(tblOrders[[#This Row],[ProductID]],tblProducts[ProductID],tblProducts[ProductName],"not found")</f>
        <v>Best</v>
      </c>
      <c r="I672" t="str">
        <f>_xlfn.XLOOKUP(tblOrders[[#This Row],[ProductID]],tblProducts[ProductID],tblProducts[Category],"not found")</f>
        <v>Toys</v>
      </c>
      <c r="J672">
        <f>_xlfn.XLOOKUP(tblOrders[[#This Row],[ProductID]],tblProducts[ProductID],tblProducts[UnitPrice],"not found")</f>
        <v>390.52</v>
      </c>
      <c r="K672" t="str">
        <f>_xlfn.XLOOKUP(tblOrders[[#This Row],[ProductID]],tblProducts[ProductID],tblProducts[Supplier],"not found")</f>
        <v>Green, Bartlett and White</v>
      </c>
      <c r="L672" s="1" t="s">
        <v>2275</v>
      </c>
      <c r="M6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45197</v>
      </c>
      <c r="N672">
        <v>1</v>
      </c>
      <c r="O672">
        <v>390.52</v>
      </c>
      <c r="P672">
        <f>tblOrders[[#This Row],[Quantity]]*tblOrders[[#This Row],[Unit Price]]</f>
        <v>390.52</v>
      </c>
      <c r="Q672">
        <f>tblOrders[[#This Row],[TotalSales]]-tblOrders[[#This Row],[Calculated Sales]]</f>
        <v>0</v>
      </c>
    </row>
    <row r="673" spans="1:17" x14ac:dyDescent="0.25">
      <c r="A673">
        <v>1939</v>
      </c>
      <c r="B673">
        <v>966</v>
      </c>
      <c r="C673" t="str">
        <f>_xlfn.XLOOKUP(tblOrders[[#This Row],[CustomerID]],tblCustomers[CustomerID],tblCustomers[CustomerName],"not found")</f>
        <v>Alexa Erickson</v>
      </c>
      <c r="D673">
        <f>_xlfn.XLOOKUP(tblOrders[[#This Row],[CustomerID]],tblCustomers[CustomerID],tblCustomers[Age],"not found")</f>
        <v>51</v>
      </c>
      <c r="E673" t="str">
        <f>_xlfn.XLOOKUP(tblOrders[[#This Row],[CustomerID]],tblCustomers[CustomerID],tblCustomers[Gender],"not found")</f>
        <v>Female</v>
      </c>
      <c r="F673" t="str">
        <f>_xlfn.XLOOKUP(tblOrders[[#This Row],[CustomerID]],tblCustomers[CustomerID],tblCustomers[Region],"not found")</f>
        <v>North</v>
      </c>
      <c r="G673">
        <v>1087</v>
      </c>
      <c r="H673" t="str">
        <f>_xlfn.XLOOKUP(tblOrders[[#This Row],[ProductID]],tblProducts[ProductID],tblProducts[ProductName],"not found")</f>
        <v>Best</v>
      </c>
      <c r="I673" t="str">
        <f>_xlfn.XLOOKUP(tblOrders[[#This Row],[ProductID]],tblProducts[ProductID],tblProducts[Category],"not found")</f>
        <v>Toys</v>
      </c>
      <c r="J673">
        <f>_xlfn.XLOOKUP(tblOrders[[#This Row],[ProductID]],tblProducts[ProductID],tblProducts[UnitPrice],"not found")</f>
        <v>390.52</v>
      </c>
      <c r="K673" t="str">
        <f>_xlfn.XLOOKUP(tblOrders[[#This Row],[ProductID]],tblProducts[ProductID],tblProducts[Supplier],"not found")</f>
        <v>Green, Bartlett and White</v>
      </c>
      <c r="L673" s="1" t="s">
        <v>2276</v>
      </c>
      <c r="M6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45125</v>
      </c>
      <c r="N673">
        <v>2</v>
      </c>
      <c r="O673">
        <v>781.04</v>
      </c>
      <c r="P673">
        <f>tblOrders[[#This Row],[Quantity]]*tblOrders[[#This Row],[Unit Price]]</f>
        <v>781.04</v>
      </c>
      <c r="Q673">
        <f>tblOrders[[#This Row],[TotalSales]]-tblOrders[[#This Row],[Calculated Sales]]</f>
        <v>0</v>
      </c>
    </row>
    <row r="674" spans="1:17" x14ac:dyDescent="0.25">
      <c r="A674">
        <v>1977</v>
      </c>
      <c r="B674">
        <v>63</v>
      </c>
      <c r="C674" t="str">
        <f>_xlfn.XLOOKUP(tblOrders[[#This Row],[CustomerID]],tblCustomers[CustomerID],tblCustomers[CustomerName],"not found")</f>
        <v>Mindy Gay</v>
      </c>
      <c r="D674">
        <f>_xlfn.XLOOKUP(tblOrders[[#This Row],[CustomerID]],tblCustomers[CustomerID],tblCustomers[Age],"not found")</f>
        <v>30</v>
      </c>
      <c r="E674" t="str">
        <f>_xlfn.XLOOKUP(tblOrders[[#This Row],[CustomerID]],tblCustomers[CustomerID],tblCustomers[Gender],"not found")</f>
        <v>Male</v>
      </c>
      <c r="F674" t="str">
        <f>_xlfn.XLOOKUP(tblOrders[[#This Row],[CustomerID]],tblCustomers[CustomerID],tblCustomers[Region],"not found")</f>
        <v>East</v>
      </c>
      <c r="G674">
        <v>1087</v>
      </c>
      <c r="H674" t="str">
        <f>_xlfn.XLOOKUP(tblOrders[[#This Row],[ProductID]],tblProducts[ProductID],tblProducts[ProductName],"not found")</f>
        <v>Best</v>
      </c>
      <c r="I674" t="str">
        <f>_xlfn.XLOOKUP(tblOrders[[#This Row],[ProductID]],tblProducts[ProductID],tblProducts[Category],"not found")</f>
        <v>Toys</v>
      </c>
      <c r="J674">
        <f>_xlfn.XLOOKUP(tblOrders[[#This Row],[ProductID]],tblProducts[ProductID],tblProducts[UnitPrice],"not found")</f>
        <v>390.52</v>
      </c>
      <c r="K674" t="str">
        <f>_xlfn.XLOOKUP(tblOrders[[#This Row],[ProductID]],tblProducts[ProductID],tblProducts[Supplier],"not found")</f>
        <v>Green, Bartlett and White</v>
      </c>
      <c r="L674" s="1">
        <v>45118</v>
      </c>
      <c r="M6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45118</v>
      </c>
      <c r="N674">
        <v>4</v>
      </c>
      <c r="O674">
        <v>1562.08</v>
      </c>
      <c r="P674">
        <f>tblOrders[[#This Row],[Quantity]]*tblOrders[[#This Row],[Unit Price]]</f>
        <v>1562.08</v>
      </c>
      <c r="Q674">
        <f>tblOrders[[#This Row],[TotalSales]]-tblOrders[[#This Row],[Calculated Sales]]</f>
        <v>0</v>
      </c>
    </row>
    <row r="675" spans="1:17" x14ac:dyDescent="0.25">
      <c r="A675">
        <v>35</v>
      </c>
      <c r="B675">
        <v>897</v>
      </c>
      <c r="C675" t="str">
        <f>_xlfn.XLOOKUP(tblOrders[[#This Row],[CustomerID]],tblCustomers[CustomerID],tblCustomers[CustomerName],"not found")</f>
        <v>John Mcdowell</v>
      </c>
      <c r="D675">
        <f>_xlfn.XLOOKUP(tblOrders[[#This Row],[CustomerID]],tblCustomers[CustomerID],tblCustomers[Age],"not found")</f>
        <v>48</v>
      </c>
      <c r="E675" t="str">
        <f>_xlfn.XLOOKUP(tblOrders[[#This Row],[CustomerID]],tblCustomers[CustomerID],tblCustomers[Gender],"not found")</f>
        <v>Female</v>
      </c>
      <c r="F675" t="str">
        <f>_xlfn.XLOOKUP(tblOrders[[#This Row],[CustomerID]],tblCustomers[CustomerID],tblCustomers[Region],"not found")</f>
        <v>North</v>
      </c>
      <c r="G675">
        <v>1014</v>
      </c>
      <c r="H675" t="str">
        <f>_xlfn.XLOOKUP(tblOrders[[#This Row],[ProductID]],tblProducts[ProductID],tblProducts[ProductName],"not found")</f>
        <v>Senior</v>
      </c>
      <c r="I675" t="str">
        <f>_xlfn.XLOOKUP(tblOrders[[#This Row],[ProductID]],tblProducts[ProductID],tblProducts[Category],"not found")</f>
        <v>Apparel</v>
      </c>
      <c r="J675">
        <f>_xlfn.XLOOKUP(tblOrders[[#This Row],[ProductID]],tblProducts[ProductID],tblProducts[UnitPrice],"not found")</f>
        <v>226.96</v>
      </c>
      <c r="K675" t="str">
        <f>_xlfn.XLOOKUP(tblOrders[[#This Row],[ProductID]],tblProducts[ProductID],tblProducts[Supplier],"not found")</f>
        <v>Velez, Washington and Bailey</v>
      </c>
      <c r="L675" s="1">
        <v>45052</v>
      </c>
      <c r="M6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45052</v>
      </c>
      <c r="N675">
        <v>1</v>
      </c>
      <c r="O675">
        <v>226.96</v>
      </c>
      <c r="P675">
        <f>tblOrders[[#This Row],[Quantity]]*tblOrders[[#This Row],[Unit Price]]</f>
        <v>226.96</v>
      </c>
      <c r="Q675">
        <f>tblOrders[[#This Row],[TotalSales]]-tblOrders[[#This Row],[Calculated Sales]]</f>
        <v>0</v>
      </c>
    </row>
    <row r="676" spans="1:17" x14ac:dyDescent="0.25">
      <c r="A676">
        <v>240</v>
      </c>
      <c r="B676">
        <v>73</v>
      </c>
      <c r="C676" t="str">
        <f>_xlfn.XLOOKUP(tblOrders[[#This Row],[CustomerID]],tblCustomers[CustomerID],tblCustomers[CustomerName],"not found")</f>
        <v>Troy Hicks</v>
      </c>
      <c r="D676">
        <f>_xlfn.XLOOKUP(tblOrders[[#This Row],[CustomerID]],tblCustomers[CustomerID],tblCustomers[Age],"not found")</f>
        <v>20</v>
      </c>
      <c r="E676" t="str">
        <f>_xlfn.XLOOKUP(tblOrders[[#This Row],[CustomerID]],tblCustomers[CustomerID],tblCustomers[Gender],"not found")</f>
        <v>Male</v>
      </c>
      <c r="F676" t="str">
        <f>_xlfn.XLOOKUP(tblOrders[[#This Row],[CustomerID]],tblCustomers[CustomerID],tblCustomers[Region],"not found")</f>
        <v>North</v>
      </c>
      <c r="G676">
        <v>1014</v>
      </c>
      <c r="H676" t="str">
        <f>_xlfn.XLOOKUP(tblOrders[[#This Row],[ProductID]],tblProducts[ProductID],tblProducts[ProductName],"not found")</f>
        <v>Senior</v>
      </c>
      <c r="I676" t="str">
        <f>_xlfn.XLOOKUP(tblOrders[[#This Row],[ProductID]],tblProducts[ProductID],tblProducts[Category],"not found")</f>
        <v>Apparel</v>
      </c>
      <c r="J676">
        <f>_xlfn.XLOOKUP(tblOrders[[#This Row],[ProductID]],tblProducts[ProductID],tblProducts[UnitPrice],"not found")</f>
        <v>226.96</v>
      </c>
      <c r="K676" t="str">
        <f>_xlfn.XLOOKUP(tblOrders[[#This Row],[ProductID]],tblProducts[ProductID],tblProducts[Supplier],"not found")</f>
        <v>Velez, Washington and Bailey</v>
      </c>
      <c r="L676" s="1">
        <v>44723</v>
      </c>
      <c r="M6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676">
        <v>9</v>
      </c>
      <c r="O676">
        <v>2042.64</v>
      </c>
      <c r="P676">
        <f>tblOrders[[#This Row],[Quantity]]*tblOrders[[#This Row],[Unit Price]]</f>
        <v>2042.64</v>
      </c>
      <c r="Q676">
        <f>tblOrders[[#This Row],[TotalSales]]-tblOrders[[#This Row],[Calculated Sales]]</f>
        <v>0</v>
      </c>
    </row>
    <row r="677" spans="1:17" x14ac:dyDescent="0.25">
      <c r="A677">
        <v>293</v>
      </c>
      <c r="B677">
        <v>494</v>
      </c>
      <c r="C677" t="str">
        <f>_xlfn.XLOOKUP(tblOrders[[#This Row],[CustomerID]],tblCustomers[CustomerID],tblCustomers[CustomerName],"not found")</f>
        <v>Rachel Leon</v>
      </c>
      <c r="D677">
        <f>_xlfn.XLOOKUP(tblOrders[[#This Row],[CustomerID]],tblCustomers[CustomerID],tblCustomers[Age],"not found")</f>
        <v>68</v>
      </c>
      <c r="E677" t="str">
        <f>_xlfn.XLOOKUP(tblOrders[[#This Row],[CustomerID]],tblCustomers[CustomerID],tblCustomers[Gender],"not found")</f>
        <v>Female</v>
      </c>
      <c r="F677" t="str">
        <f>_xlfn.XLOOKUP(tblOrders[[#This Row],[CustomerID]],tblCustomers[CustomerID],tblCustomers[Region],"not found")</f>
        <v>North</v>
      </c>
      <c r="G677">
        <v>1014</v>
      </c>
      <c r="H677" t="str">
        <f>_xlfn.XLOOKUP(tblOrders[[#This Row],[ProductID]],tblProducts[ProductID],tblProducts[ProductName],"not found")</f>
        <v>Senior</v>
      </c>
      <c r="I677" t="str">
        <f>_xlfn.XLOOKUP(tblOrders[[#This Row],[ProductID]],tblProducts[ProductID],tblProducts[Category],"not found")</f>
        <v>Apparel</v>
      </c>
      <c r="J677">
        <f>_xlfn.XLOOKUP(tblOrders[[#This Row],[ProductID]],tblProducts[ProductID],tblProducts[UnitPrice],"not found")</f>
        <v>226.96</v>
      </c>
      <c r="K677" t="str">
        <f>_xlfn.XLOOKUP(tblOrders[[#This Row],[ProductID]],tblProducts[ProductID],tblProducts[Supplier],"not found")</f>
        <v>Velez, Washington and Bailey</v>
      </c>
      <c r="L677" s="1" t="s">
        <v>2202</v>
      </c>
      <c r="M6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45157</v>
      </c>
      <c r="N677">
        <v>2</v>
      </c>
      <c r="O677">
        <v>453.92</v>
      </c>
      <c r="P677">
        <f>tblOrders[[#This Row],[Quantity]]*tblOrders[[#This Row],[Unit Price]]</f>
        <v>453.92</v>
      </c>
      <c r="Q677">
        <f>tblOrders[[#This Row],[TotalSales]]-tblOrders[[#This Row],[Calculated Sales]]</f>
        <v>0</v>
      </c>
    </row>
    <row r="678" spans="1:17" x14ac:dyDescent="0.25">
      <c r="A678">
        <v>403</v>
      </c>
      <c r="B678">
        <v>878</v>
      </c>
      <c r="C678" t="str">
        <f>_xlfn.XLOOKUP(tblOrders[[#This Row],[CustomerID]],tblCustomers[CustomerID],tblCustomers[CustomerName],"not found")</f>
        <v>Vanessa Chandler</v>
      </c>
      <c r="D678">
        <f>_xlfn.XLOOKUP(tblOrders[[#This Row],[CustomerID]],tblCustomers[CustomerID],tblCustomers[Age],"not found")</f>
        <v>60</v>
      </c>
      <c r="E678" t="str">
        <f>_xlfn.XLOOKUP(tblOrders[[#This Row],[CustomerID]],tblCustomers[CustomerID],tblCustomers[Gender],"not found")</f>
        <v>Male</v>
      </c>
      <c r="F678" t="str">
        <f>_xlfn.XLOOKUP(tblOrders[[#This Row],[CustomerID]],tblCustomers[CustomerID],tblCustomers[Region],"not found")</f>
        <v>South</v>
      </c>
      <c r="G678">
        <v>1014</v>
      </c>
      <c r="H678" t="str">
        <f>_xlfn.XLOOKUP(tblOrders[[#This Row],[ProductID]],tblProducts[ProductID],tblProducts[ProductName],"not found")</f>
        <v>Senior</v>
      </c>
      <c r="I678" t="str">
        <f>_xlfn.XLOOKUP(tblOrders[[#This Row],[ProductID]],tblProducts[ProductID],tblProducts[Category],"not found")</f>
        <v>Apparel</v>
      </c>
      <c r="J678">
        <f>_xlfn.XLOOKUP(tblOrders[[#This Row],[ProductID]],tblProducts[ProductID],tblProducts[UnitPrice],"not found")</f>
        <v>226.96</v>
      </c>
      <c r="K678" t="str">
        <f>_xlfn.XLOOKUP(tblOrders[[#This Row],[ProductID]],tblProducts[ProductID],tblProducts[Supplier],"not found")</f>
        <v>Velez, Washington and Bailey</v>
      </c>
      <c r="L678" s="1">
        <v>45384</v>
      </c>
      <c r="M6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45384</v>
      </c>
      <c r="N678">
        <v>5</v>
      </c>
      <c r="O678">
        <v>1134.8</v>
      </c>
      <c r="P678">
        <f>tblOrders[[#This Row],[Quantity]]*tblOrders[[#This Row],[Unit Price]]</f>
        <v>1134.8</v>
      </c>
      <c r="Q678">
        <f>tblOrders[[#This Row],[TotalSales]]-tblOrders[[#This Row],[Calculated Sales]]</f>
        <v>0</v>
      </c>
    </row>
    <row r="679" spans="1:17" x14ac:dyDescent="0.25">
      <c r="A679">
        <v>462</v>
      </c>
      <c r="B679">
        <v>995</v>
      </c>
      <c r="C679" t="str">
        <f>_xlfn.XLOOKUP(tblOrders[[#This Row],[CustomerID]],tblCustomers[CustomerID],tblCustomers[CustomerName],"not found")</f>
        <v>Angela Wood</v>
      </c>
      <c r="D679">
        <f>_xlfn.XLOOKUP(tblOrders[[#This Row],[CustomerID]],tblCustomers[CustomerID],tblCustomers[Age],"not found")</f>
        <v>64</v>
      </c>
      <c r="E679" t="str">
        <f>_xlfn.XLOOKUP(tblOrders[[#This Row],[CustomerID]],tblCustomers[CustomerID],tblCustomers[Gender],"not found")</f>
        <v>Female</v>
      </c>
      <c r="F679" t="str">
        <f>_xlfn.XLOOKUP(tblOrders[[#This Row],[CustomerID]],tblCustomers[CustomerID],tblCustomers[Region],"not found")</f>
        <v>East</v>
      </c>
      <c r="G679">
        <v>1014</v>
      </c>
      <c r="H679" t="str">
        <f>_xlfn.XLOOKUP(tblOrders[[#This Row],[ProductID]],tblProducts[ProductID],tblProducts[ProductName],"not found")</f>
        <v>Senior</v>
      </c>
      <c r="I679" t="str">
        <f>_xlfn.XLOOKUP(tblOrders[[#This Row],[ProductID]],tblProducts[ProductID],tblProducts[Category],"not found")</f>
        <v>Apparel</v>
      </c>
      <c r="J679">
        <f>_xlfn.XLOOKUP(tblOrders[[#This Row],[ProductID]],tblProducts[ProductID],tblProducts[UnitPrice],"not found")</f>
        <v>226.96</v>
      </c>
      <c r="K679" t="str">
        <f>_xlfn.XLOOKUP(tblOrders[[#This Row],[ProductID]],tblProducts[ProductID],tblProducts[Supplier],"not found")</f>
        <v>Velez, Washington and Bailey</v>
      </c>
      <c r="L679" s="1" t="s">
        <v>2153</v>
      </c>
      <c r="M6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44985</v>
      </c>
      <c r="N679">
        <v>5</v>
      </c>
      <c r="O679">
        <v>1134.8</v>
      </c>
      <c r="P679">
        <f>tblOrders[[#This Row],[Quantity]]*tblOrders[[#This Row],[Unit Price]]</f>
        <v>1134.8</v>
      </c>
      <c r="Q679">
        <f>tblOrders[[#This Row],[TotalSales]]-tblOrders[[#This Row],[Calculated Sales]]</f>
        <v>0</v>
      </c>
    </row>
    <row r="680" spans="1:17" x14ac:dyDescent="0.25">
      <c r="A680">
        <v>478</v>
      </c>
      <c r="B680">
        <v>329</v>
      </c>
      <c r="C680" t="str">
        <f>_xlfn.XLOOKUP(tblOrders[[#This Row],[CustomerID]],tblCustomers[CustomerID],tblCustomers[CustomerName],"not found")</f>
        <v>Mark Christian</v>
      </c>
      <c r="D680">
        <f>_xlfn.XLOOKUP(tblOrders[[#This Row],[CustomerID]],tblCustomers[CustomerID],tblCustomers[Age],"not found")</f>
        <v>59</v>
      </c>
      <c r="E680" t="str">
        <f>_xlfn.XLOOKUP(tblOrders[[#This Row],[CustomerID]],tblCustomers[CustomerID],tblCustomers[Gender],"not found")</f>
        <v>Female</v>
      </c>
      <c r="F680" t="str">
        <f>_xlfn.XLOOKUP(tblOrders[[#This Row],[CustomerID]],tblCustomers[CustomerID],tblCustomers[Region],"not found")</f>
        <v>East</v>
      </c>
      <c r="G680">
        <v>1014</v>
      </c>
      <c r="H680" t="str">
        <f>_xlfn.XLOOKUP(tblOrders[[#This Row],[ProductID]],tblProducts[ProductID],tblProducts[ProductName],"not found")</f>
        <v>Senior</v>
      </c>
      <c r="I680" t="str">
        <f>_xlfn.XLOOKUP(tblOrders[[#This Row],[ProductID]],tblProducts[ProductID],tblProducts[Category],"not found")</f>
        <v>Apparel</v>
      </c>
      <c r="J680">
        <f>_xlfn.XLOOKUP(tblOrders[[#This Row],[ProductID]],tblProducts[ProductID],tblProducts[UnitPrice],"not found")</f>
        <v>226.96</v>
      </c>
      <c r="K680" t="str">
        <f>_xlfn.XLOOKUP(tblOrders[[#This Row],[ProductID]],tblProducts[ProductID],tblProducts[Supplier],"not found")</f>
        <v>Velez, Washington and Bailey</v>
      </c>
      <c r="L680" s="1" t="s">
        <v>2265</v>
      </c>
      <c r="M6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45433</v>
      </c>
      <c r="N680">
        <v>2</v>
      </c>
      <c r="O680">
        <v>453.92</v>
      </c>
      <c r="P680">
        <f>tblOrders[[#This Row],[Quantity]]*tblOrders[[#This Row],[Unit Price]]</f>
        <v>453.92</v>
      </c>
      <c r="Q680">
        <f>tblOrders[[#This Row],[TotalSales]]-tblOrders[[#This Row],[Calculated Sales]]</f>
        <v>0</v>
      </c>
    </row>
    <row r="681" spans="1:17" x14ac:dyDescent="0.25">
      <c r="A681">
        <v>551</v>
      </c>
      <c r="B681">
        <v>250</v>
      </c>
      <c r="C681" t="str">
        <f>_xlfn.XLOOKUP(tblOrders[[#This Row],[CustomerID]],tblCustomers[CustomerID],tblCustomers[CustomerName],"not found")</f>
        <v>Lawrence Ball</v>
      </c>
      <c r="D681">
        <f>_xlfn.XLOOKUP(tblOrders[[#This Row],[CustomerID]],tblCustomers[CustomerID],tblCustomers[Age],"not found")</f>
        <v>23</v>
      </c>
      <c r="E681" t="str">
        <f>_xlfn.XLOOKUP(tblOrders[[#This Row],[CustomerID]],tblCustomers[CustomerID],tblCustomers[Gender],"not found")</f>
        <v>Male</v>
      </c>
      <c r="F681" t="str">
        <f>_xlfn.XLOOKUP(tblOrders[[#This Row],[CustomerID]],tblCustomers[CustomerID],tblCustomers[Region],"not found")</f>
        <v>North</v>
      </c>
      <c r="G681">
        <v>1014</v>
      </c>
      <c r="H681" t="str">
        <f>_xlfn.XLOOKUP(tblOrders[[#This Row],[ProductID]],tblProducts[ProductID],tblProducts[ProductName],"not found")</f>
        <v>Senior</v>
      </c>
      <c r="I681" t="str">
        <f>_xlfn.XLOOKUP(tblOrders[[#This Row],[ProductID]],tblProducts[ProductID],tblProducts[Category],"not found")</f>
        <v>Apparel</v>
      </c>
      <c r="J681">
        <f>_xlfn.XLOOKUP(tblOrders[[#This Row],[ProductID]],tblProducts[ProductID],tblProducts[UnitPrice],"not found")</f>
        <v>226.96</v>
      </c>
      <c r="K681" t="str">
        <f>_xlfn.XLOOKUP(tblOrders[[#This Row],[ProductID]],tblProducts[ProductID],tblProducts[Supplier],"not found")</f>
        <v>Velez, Washington and Bailey</v>
      </c>
      <c r="L681" s="1" t="s">
        <v>2152</v>
      </c>
      <c r="M6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45314</v>
      </c>
      <c r="N681">
        <v>7</v>
      </c>
      <c r="O681">
        <v>1588.72</v>
      </c>
      <c r="P681">
        <f>tblOrders[[#This Row],[Quantity]]*tblOrders[[#This Row],[Unit Price]]</f>
        <v>1588.72</v>
      </c>
      <c r="Q681">
        <f>tblOrders[[#This Row],[TotalSales]]-tblOrders[[#This Row],[Calculated Sales]]</f>
        <v>0</v>
      </c>
    </row>
    <row r="682" spans="1:17" x14ac:dyDescent="0.25">
      <c r="A682">
        <v>795</v>
      </c>
      <c r="B682">
        <v>56</v>
      </c>
      <c r="C682" t="str">
        <f>_xlfn.XLOOKUP(tblOrders[[#This Row],[CustomerID]],tblCustomers[CustomerID],tblCustomers[CustomerName],"not found")</f>
        <v>Susan Sanders</v>
      </c>
      <c r="D682">
        <f>_xlfn.XLOOKUP(tblOrders[[#This Row],[CustomerID]],tblCustomers[CustomerID],tblCustomers[Age],"not found")</f>
        <v>63</v>
      </c>
      <c r="E682" t="str">
        <f>_xlfn.XLOOKUP(tblOrders[[#This Row],[CustomerID]],tblCustomers[CustomerID],tblCustomers[Gender],"not found")</f>
        <v>Male</v>
      </c>
      <c r="F682" t="str">
        <f>_xlfn.XLOOKUP(tblOrders[[#This Row],[CustomerID]],tblCustomers[CustomerID],tblCustomers[Region],"not found")</f>
        <v>South</v>
      </c>
      <c r="G682">
        <v>1014</v>
      </c>
      <c r="H682" t="str">
        <f>_xlfn.XLOOKUP(tblOrders[[#This Row],[ProductID]],tblProducts[ProductID],tblProducts[ProductName],"not found")</f>
        <v>Senior</v>
      </c>
      <c r="I682" t="str">
        <f>_xlfn.XLOOKUP(tblOrders[[#This Row],[ProductID]],tblProducts[ProductID],tblProducts[Category],"not found")</f>
        <v>Apparel</v>
      </c>
      <c r="J682">
        <f>_xlfn.XLOOKUP(tblOrders[[#This Row],[ProductID]],tblProducts[ProductID],tblProducts[UnitPrice],"not found")</f>
        <v>226.96</v>
      </c>
      <c r="K682" t="str">
        <f>_xlfn.XLOOKUP(tblOrders[[#This Row],[ProductID]],tblProducts[ProductID],tblProducts[Supplier],"not found")</f>
        <v>Velez, Washington and Bailey</v>
      </c>
      <c r="L682" s="1" t="s">
        <v>2277</v>
      </c>
      <c r="M6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45230</v>
      </c>
      <c r="N682">
        <v>5</v>
      </c>
      <c r="O682">
        <v>1134.8</v>
      </c>
      <c r="P682">
        <f>tblOrders[[#This Row],[Quantity]]*tblOrders[[#This Row],[Unit Price]]</f>
        <v>1134.8</v>
      </c>
      <c r="Q682">
        <f>tblOrders[[#This Row],[TotalSales]]-tblOrders[[#This Row],[Calculated Sales]]</f>
        <v>0</v>
      </c>
    </row>
    <row r="683" spans="1:17" x14ac:dyDescent="0.25">
      <c r="A683">
        <v>940</v>
      </c>
      <c r="B683">
        <v>278</v>
      </c>
      <c r="C683" t="str">
        <f>_xlfn.XLOOKUP(tblOrders[[#This Row],[CustomerID]],tblCustomers[CustomerID],tblCustomers[CustomerName],"not found")</f>
        <v>Lindsay Foster</v>
      </c>
      <c r="D683">
        <f>_xlfn.XLOOKUP(tblOrders[[#This Row],[CustomerID]],tblCustomers[CustomerID],tblCustomers[Age],"not found")</f>
        <v>43</v>
      </c>
      <c r="E683" t="str">
        <f>_xlfn.XLOOKUP(tblOrders[[#This Row],[CustomerID]],tblCustomers[CustomerID],tblCustomers[Gender],"not found")</f>
        <v>Female</v>
      </c>
      <c r="F683" t="str">
        <f>_xlfn.XLOOKUP(tblOrders[[#This Row],[CustomerID]],tblCustomers[CustomerID],tblCustomers[Region],"not found")</f>
        <v>East</v>
      </c>
      <c r="G683">
        <v>1014</v>
      </c>
      <c r="H683" t="str">
        <f>_xlfn.XLOOKUP(tblOrders[[#This Row],[ProductID]],tblProducts[ProductID],tblProducts[ProductName],"not found")</f>
        <v>Senior</v>
      </c>
      <c r="I683" t="str">
        <f>_xlfn.XLOOKUP(tblOrders[[#This Row],[ProductID]],tblProducts[ProductID],tblProducts[Category],"not found")</f>
        <v>Apparel</v>
      </c>
      <c r="J683">
        <f>_xlfn.XLOOKUP(tblOrders[[#This Row],[ProductID]],tblProducts[ProductID],tblProducts[UnitPrice],"not found")</f>
        <v>226.96</v>
      </c>
      <c r="K683" t="str">
        <f>_xlfn.XLOOKUP(tblOrders[[#This Row],[ProductID]],tblProducts[ProductID],tblProducts[Supplier],"not found")</f>
        <v>Velez, Washington and Bailey</v>
      </c>
      <c r="L683" s="1" t="s">
        <v>2107</v>
      </c>
      <c r="M6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683">
        <v>6</v>
      </c>
      <c r="O683">
        <v>1361.76</v>
      </c>
      <c r="P683">
        <f>tblOrders[[#This Row],[Quantity]]*tblOrders[[#This Row],[Unit Price]]</f>
        <v>1361.76</v>
      </c>
      <c r="Q683">
        <f>tblOrders[[#This Row],[TotalSales]]-tblOrders[[#This Row],[Calculated Sales]]</f>
        <v>0</v>
      </c>
    </row>
    <row r="684" spans="1:17" x14ac:dyDescent="0.25">
      <c r="A684">
        <v>1148</v>
      </c>
      <c r="B684">
        <v>875</v>
      </c>
      <c r="C684" t="str">
        <f>_xlfn.XLOOKUP(tblOrders[[#This Row],[CustomerID]],tblCustomers[CustomerID],tblCustomers[CustomerName],"not found")</f>
        <v>Jamie White</v>
      </c>
      <c r="D684">
        <f>_xlfn.XLOOKUP(tblOrders[[#This Row],[CustomerID]],tblCustomers[CustomerID],tblCustomers[Age],"not found")</f>
        <v>66</v>
      </c>
      <c r="E684" t="str">
        <f>_xlfn.XLOOKUP(tblOrders[[#This Row],[CustomerID]],tblCustomers[CustomerID],tblCustomers[Gender],"not found")</f>
        <v>Female</v>
      </c>
      <c r="F684" t="str">
        <f>_xlfn.XLOOKUP(tblOrders[[#This Row],[CustomerID]],tblCustomers[CustomerID],tblCustomers[Region],"not found")</f>
        <v>Central</v>
      </c>
      <c r="G684">
        <v>1014</v>
      </c>
      <c r="H684" t="str">
        <f>_xlfn.XLOOKUP(tblOrders[[#This Row],[ProductID]],tblProducts[ProductID],tblProducts[ProductName],"not found")</f>
        <v>Senior</v>
      </c>
      <c r="I684" t="str">
        <f>_xlfn.XLOOKUP(tblOrders[[#This Row],[ProductID]],tblProducts[ProductID],tblProducts[Category],"not found")</f>
        <v>Apparel</v>
      </c>
      <c r="J684">
        <f>_xlfn.XLOOKUP(tblOrders[[#This Row],[ProductID]],tblProducts[ProductID],tblProducts[UnitPrice],"not found")</f>
        <v>226.96</v>
      </c>
      <c r="K684" t="str">
        <f>_xlfn.XLOOKUP(tblOrders[[#This Row],[ProductID]],tblProducts[ProductID],tblProducts[Supplier],"not found")</f>
        <v>Velez, Washington and Bailey</v>
      </c>
      <c r="L684" s="1">
        <v>45600</v>
      </c>
      <c r="M6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45600</v>
      </c>
      <c r="N684">
        <v>9</v>
      </c>
      <c r="O684">
        <v>2042.64</v>
      </c>
      <c r="P684">
        <f>tblOrders[[#This Row],[Quantity]]*tblOrders[[#This Row],[Unit Price]]</f>
        <v>2042.64</v>
      </c>
      <c r="Q684">
        <f>tblOrders[[#This Row],[TotalSales]]-tblOrders[[#This Row],[Calculated Sales]]</f>
        <v>0</v>
      </c>
    </row>
    <row r="685" spans="1:17" x14ac:dyDescent="0.25">
      <c r="A685">
        <v>1201</v>
      </c>
      <c r="B685">
        <v>78</v>
      </c>
      <c r="C685" t="str">
        <f>_xlfn.XLOOKUP(tblOrders[[#This Row],[CustomerID]],tblCustomers[CustomerID],tblCustomers[CustomerName],"not found")</f>
        <v>Kimberly Walton</v>
      </c>
      <c r="D685">
        <f>_xlfn.XLOOKUP(tblOrders[[#This Row],[CustomerID]],tblCustomers[CustomerID],tblCustomers[Age],"not found")</f>
        <v>28</v>
      </c>
      <c r="E685" t="str">
        <f>_xlfn.XLOOKUP(tblOrders[[#This Row],[CustomerID]],tblCustomers[CustomerID],tblCustomers[Gender],"not found")</f>
        <v>Female</v>
      </c>
      <c r="F685" t="str">
        <f>_xlfn.XLOOKUP(tblOrders[[#This Row],[CustomerID]],tblCustomers[CustomerID],tblCustomers[Region],"not found")</f>
        <v>Central</v>
      </c>
      <c r="G685">
        <v>1014</v>
      </c>
      <c r="H685" t="str">
        <f>_xlfn.XLOOKUP(tblOrders[[#This Row],[ProductID]],tblProducts[ProductID],tblProducts[ProductName],"not found")</f>
        <v>Senior</v>
      </c>
      <c r="I685" t="str">
        <f>_xlfn.XLOOKUP(tblOrders[[#This Row],[ProductID]],tblProducts[ProductID],tblProducts[Category],"not found")</f>
        <v>Apparel</v>
      </c>
      <c r="J685">
        <f>_xlfn.XLOOKUP(tblOrders[[#This Row],[ProductID]],tblProducts[ProductID],tblProducts[UnitPrice],"not found")</f>
        <v>226.96</v>
      </c>
      <c r="K685" t="str">
        <f>_xlfn.XLOOKUP(tblOrders[[#This Row],[ProductID]],tblProducts[ProductID],tblProducts[Supplier],"not found")</f>
        <v>Velez, Washington and Bailey</v>
      </c>
      <c r="L685" s="1" t="s">
        <v>2079</v>
      </c>
      <c r="M6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45004</v>
      </c>
      <c r="N685">
        <v>2</v>
      </c>
      <c r="O685">
        <v>453.92</v>
      </c>
      <c r="P685">
        <f>tblOrders[[#This Row],[Quantity]]*tblOrders[[#This Row],[Unit Price]]</f>
        <v>453.92</v>
      </c>
      <c r="Q685">
        <f>tblOrders[[#This Row],[TotalSales]]-tblOrders[[#This Row],[Calculated Sales]]</f>
        <v>0</v>
      </c>
    </row>
    <row r="686" spans="1:17" x14ac:dyDescent="0.25">
      <c r="A686">
        <v>1383</v>
      </c>
      <c r="B686">
        <v>985</v>
      </c>
      <c r="C686" t="str">
        <f>_xlfn.XLOOKUP(tblOrders[[#This Row],[CustomerID]],tblCustomers[CustomerID],tblCustomers[CustomerName],"not found")</f>
        <v>Juan Miller</v>
      </c>
      <c r="D686">
        <f>_xlfn.XLOOKUP(tblOrders[[#This Row],[CustomerID]],tblCustomers[CustomerID],tblCustomers[Age],"not found")</f>
        <v>30</v>
      </c>
      <c r="E686" t="str">
        <f>_xlfn.XLOOKUP(tblOrders[[#This Row],[CustomerID]],tblCustomers[CustomerID],tblCustomers[Gender],"not found")</f>
        <v>Female</v>
      </c>
      <c r="F686" t="str">
        <f>_xlfn.XLOOKUP(tblOrders[[#This Row],[CustomerID]],tblCustomers[CustomerID],tblCustomers[Region],"not found")</f>
        <v>North</v>
      </c>
      <c r="G686">
        <v>1014</v>
      </c>
      <c r="H686" t="str">
        <f>_xlfn.XLOOKUP(tblOrders[[#This Row],[ProductID]],tblProducts[ProductID],tblProducts[ProductName],"not found")</f>
        <v>Senior</v>
      </c>
      <c r="I686" t="str">
        <f>_xlfn.XLOOKUP(tblOrders[[#This Row],[ProductID]],tblProducts[ProductID],tblProducts[Category],"not found")</f>
        <v>Apparel</v>
      </c>
      <c r="J686">
        <f>_xlfn.XLOOKUP(tblOrders[[#This Row],[ProductID]],tblProducts[ProductID],tblProducts[UnitPrice],"not found")</f>
        <v>226.96</v>
      </c>
      <c r="K686" t="str">
        <f>_xlfn.XLOOKUP(tblOrders[[#This Row],[ProductID]],tblProducts[ProductID],tblProducts[Supplier],"not found")</f>
        <v>Velez, Washington and Bailey</v>
      </c>
      <c r="L686" s="1" t="s">
        <v>2157</v>
      </c>
      <c r="M6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45558</v>
      </c>
      <c r="N686">
        <v>7</v>
      </c>
      <c r="O686">
        <v>1588.72</v>
      </c>
      <c r="P686">
        <f>tblOrders[[#This Row],[Quantity]]*tblOrders[[#This Row],[Unit Price]]</f>
        <v>1588.72</v>
      </c>
      <c r="Q686">
        <f>tblOrders[[#This Row],[TotalSales]]-tblOrders[[#This Row],[Calculated Sales]]</f>
        <v>0</v>
      </c>
    </row>
    <row r="687" spans="1:17" x14ac:dyDescent="0.25">
      <c r="A687">
        <v>1717</v>
      </c>
      <c r="B687">
        <v>324</v>
      </c>
      <c r="C687" t="str">
        <f>_xlfn.XLOOKUP(tblOrders[[#This Row],[CustomerID]],tblCustomers[CustomerID],tblCustomers[CustomerName],"not found")</f>
        <v>Gregory Mills</v>
      </c>
      <c r="D687">
        <f>_xlfn.XLOOKUP(tblOrders[[#This Row],[CustomerID]],tblCustomers[CustomerID],tblCustomers[Age],"not found")</f>
        <v>32</v>
      </c>
      <c r="E687" t="str">
        <f>_xlfn.XLOOKUP(tblOrders[[#This Row],[CustomerID]],tblCustomers[CustomerID],tblCustomers[Gender],"not found")</f>
        <v>Male</v>
      </c>
      <c r="F687" t="str">
        <f>_xlfn.XLOOKUP(tblOrders[[#This Row],[CustomerID]],tblCustomers[CustomerID],tblCustomers[Region],"not found")</f>
        <v>East</v>
      </c>
      <c r="G687">
        <v>1014</v>
      </c>
      <c r="H687" t="str">
        <f>_xlfn.XLOOKUP(tblOrders[[#This Row],[ProductID]],tblProducts[ProductID],tblProducts[ProductName],"not found")</f>
        <v>Senior</v>
      </c>
      <c r="I687" t="str">
        <f>_xlfn.XLOOKUP(tblOrders[[#This Row],[ProductID]],tblProducts[ProductID],tblProducts[Category],"not found")</f>
        <v>Apparel</v>
      </c>
      <c r="J687">
        <f>_xlfn.XLOOKUP(tblOrders[[#This Row],[ProductID]],tblProducts[ProductID],tblProducts[UnitPrice],"not found")</f>
        <v>226.96</v>
      </c>
      <c r="K687" t="str">
        <f>_xlfn.XLOOKUP(tblOrders[[#This Row],[ProductID]],tblProducts[ProductID],tblProducts[Supplier],"not found")</f>
        <v>Velez, Washington and Bailey</v>
      </c>
      <c r="L687" s="1">
        <v>44938</v>
      </c>
      <c r="M6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44938</v>
      </c>
      <c r="N687">
        <v>2</v>
      </c>
      <c r="O687">
        <v>453.92</v>
      </c>
      <c r="P687">
        <f>tblOrders[[#This Row],[Quantity]]*tblOrders[[#This Row],[Unit Price]]</f>
        <v>453.92</v>
      </c>
      <c r="Q687">
        <f>tblOrders[[#This Row],[TotalSales]]-tblOrders[[#This Row],[Calculated Sales]]</f>
        <v>0</v>
      </c>
    </row>
    <row r="688" spans="1:17" x14ac:dyDescent="0.25">
      <c r="A688">
        <v>1768</v>
      </c>
      <c r="B688">
        <v>351</v>
      </c>
      <c r="C688" t="str">
        <f>_xlfn.XLOOKUP(tblOrders[[#This Row],[CustomerID]],tblCustomers[CustomerID],tblCustomers[CustomerName],"not found")</f>
        <v>David Zamora V</v>
      </c>
      <c r="D688">
        <f>_xlfn.XLOOKUP(tblOrders[[#This Row],[CustomerID]],tblCustomers[CustomerID],tblCustomers[Age],"not found")</f>
        <v>64</v>
      </c>
      <c r="E688" t="str">
        <f>_xlfn.XLOOKUP(tblOrders[[#This Row],[CustomerID]],tblCustomers[CustomerID],tblCustomers[Gender],"not found")</f>
        <v>Female</v>
      </c>
      <c r="F688" t="str">
        <f>_xlfn.XLOOKUP(tblOrders[[#This Row],[CustomerID]],tblCustomers[CustomerID],tblCustomers[Region],"not found")</f>
        <v>East</v>
      </c>
      <c r="G688">
        <v>1014</v>
      </c>
      <c r="H688" t="str">
        <f>_xlfn.XLOOKUP(tblOrders[[#This Row],[ProductID]],tblProducts[ProductID],tblProducts[ProductName],"not found")</f>
        <v>Senior</v>
      </c>
      <c r="I688" t="str">
        <f>_xlfn.XLOOKUP(tblOrders[[#This Row],[ProductID]],tblProducts[ProductID],tblProducts[Category],"not found")</f>
        <v>Apparel</v>
      </c>
      <c r="J688">
        <f>_xlfn.XLOOKUP(tblOrders[[#This Row],[ProductID]],tblProducts[ProductID],tblProducts[UnitPrice],"not found")</f>
        <v>226.96</v>
      </c>
      <c r="K688" t="str">
        <f>_xlfn.XLOOKUP(tblOrders[[#This Row],[ProductID]],tblProducts[ProductID],tblProducts[Supplier],"not found")</f>
        <v>Velez, Washington and Bailey</v>
      </c>
      <c r="L688" s="1" t="s">
        <v>2165</v>
      </c>
      <c r="M6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44982</v>
      </c>
      <c r="N688">
        <v>5</v>
      </c>
      <c r="O688">
        <v>1134.8</v>
      </c>
      <c r="P688">
        <f>tblOrders[[#This Row],[Quantity]]*tblOrders[[#This Row],[Unit Price]]</f>
        <v>1134.8</v>
      </c>
      <c r="Q688">
        <f>tblOrders[[#This Row],[TotalSales]]-tblOrders[[#This Row],[Calculated Sales]]</f>
        <v>0</v>
      </c>
    </row>
    <row r="689" spans="1:17" x14ac:dyDescent="0.25">
      <c r="A689">
        <v>1876</v>
      </c>
      <c r="B689">
        <v>866</v>
      </c>
      <c r="C689" t="str">
        <f>_xlfn.XLOOKUP(tblOrders[[#This Row],[CustomerID]],tblCustomers[CustomerID],tblCustomers[CustomerName],"not found")</f>
        <v>Mrs. Linda Harrison MD</v>
      </c>
      <c r="D689">
        <f>_xlfn.XLOOKUP(tblOrders[[#This Row],[CustomerID]],tblCustomers[CustomerID],tblCustomers[Age],"not found")</f>
        <v>27</v>
      </c>
      <c r="E689" t="str">
        <f>_xlfn.XLOOKUP(tblOrders[[#This Row],[CustomerID]],tblCustomers[CustomerID],tblCustomers[Gender],"not found")</f>
        <v>Male</v>
      </c>
      <c r="F689" t="str">
        <f>_xlfn.XLOOKUP(tblOrders[[#This Row],[CustomerID]],tblCustomers[CustomerID],tblCustomers[Region],"not found")</f>
        <v>North</v>
      </c>
      <c r="G689">
        <v>1014</v>
      </c>
      <c r="H689" t="str">
        <f>_xlfn.XLOOKUP(tblOrders[[#This Row],[ProductID]],tblProducts[ProductID],tblProducts[ProductName],"not found")</f>
        <v>Senior</v>
      </c>
      <c r="I689" t="str">
        <f>_xlfn.XLOOKUP(tblOrders[[#This Row],[ProductID]],tblProducts[ProductID],tblProducts[Category],"not found")</f>
        <v>Apparel</v>
      </c>
      <c r="J689">
        <f>_xlfn.XLOOKUP(tblOrders[[#This Row],[ProductID]],tblProducts[ProductID],tblProducts[UnitPrice],"not found")</f>
        <v>226.96</v>
      </c>
      <c r="K689" t="str">
        <f>_xlfn.XLOOKUP(tblOrders[[#This Row],[ProductID]],tblProducts[ProductID],tblProducts[Supplier],"not found")</f>
        <v>Velez, Washington and Bailey</v>
      </c>
      <c r="L689" s="1" t="s">
        <v>2278</v>
      </c>
      <c r="M6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45289</v>
      </c>
      <c r="N689">
        <v>5</v>
      </c>
      <c r="O689">
        <v>1134.8</v>
      </c>
      <c r="P689">
        <f>tblOrders[[#This Row],[Quantity]]*tblOrders[[#This Row],[Unit Price]]</f>
        <v>1134.8</v>
      </c>
      <c r="Q689">
        <f>tblOrders[[#This Row],[TotalSales]]-tblOrders[[#This Row],[Calculated Sales]]</f>
        <v>0</v>
      </c>
    </row>
    <row r="690" spans="1:17" x14ac:dyDescent="0.25">
      <c r="A690">
        <v>36</v>
      </c>
      <c r="B690">
        <v>792</v>
      </c>
      <c r="C690" t="str">
        <f>_xlfn.XLOOKUP(tblOrders[[#This Row],[CustomerID]],tblCustomers[CustomerID],tblCustomers[CustomerName],"not found")</f>
        <v>Stephanie Garcia</v>
      </c>
      <c r="D690">
        <f>_xlfn.XLOOKUP(tblOrders[[#This Row],[CustomerID]],tblCustomers[CustomerID],tblCustomers[Age],"not found")</f>
        <v>29</v>
      </c>
      <c r="E690" t="str">
        <f>_xlfn.XLOOKUP(tblOrders[[#This Row],[CustomerID]],tblCustomers[CustomerID],tblCustomers[Gender],"not found")</f>
        <v>Male</v>
      </c>
      <c r="F690" t="str">
        <f>_xlfn.XLOOKUP(tblOrders[[#This Row],[CustomerID]],tblCustomers[CustomerID],tblCustomers[Region],"not found")</f>
        <v>East</v>
      </c>
      <c r="G690">
        <v>1008</v>
      </c>
      <c r="H690" t="str">
        <f>_xlfn.XLOOKUP(tblOrders[[#This Row],[ProductID]],tblProducts[ProductID],tblProducts[ProductName],"not found")</f>
        <v>Deep</v>
      </c>
      <c r="I690" t="str">
        <f>_xlfn.XLOOKUP(tblOrders[[#This Row],[ProductID]],tblProducts[ProductID],tblProducts[Category],"not found")</f>
        <v>Furniture</v>
      </c>
      <c r="J690">
        <f>_xlfn.XLOOKUP(tblOrders[[#This Row],[ProductID]],tblProducts[ProductID],tblProducts[UnitPrice],"not found")</f>
        <v>81.239999999999995</v>
      </c>
      <c r="K690" t="str">
        <f>_xlfn.XLOOKUP(tblOrders[[#This Row],[ProductID]],tblProducts[ProductID],tblProducts[Supplier],"not found")</f>
        <v>Mays-Griffith</v>
      </c>
      <c r="L690" s="1">
        <v>45628</v>
      </c>
      <c r="M6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45628</v>
      </c>
      <c r="N690">
        <v>7</v>
      </c>
      <c r="O690">
        <v>568.67999999999995</v>
      </c>
      <c r="P690">
        <f>tblOrders[[#This Row],[Quantity]]*tblOrders[[#This Row],[Unit Price]]</f>
        <v>568.67999999999995</v>
      </c>
      <c r="Q690">
        <f>tblOrders[[#This Row],[TotalSales]]-tblOrders[[#This Row],[Calculated Sales]]</f>
        <v>0</v>
      </c>
    </row>
    <row r="691" spans="1:17" x14ac:dyDescent="0.25">
      <c r="A691">
        <v>127</v>
      </c>
      <c r="B691">
        <v>891</v>
      </c>
      <c r="C691" t="str">
        <f>_xlfn.XLOOKUP(tblOrders[[#This Row],[CustomerID]],tblCustomers[CustomerID],tblCustomers[CustomerName],"not found")</f>
        <v>Kimberly Gillespie</v>
      </c>
      <c r="D691">
        <f>_xlfn.XLOOKUP(tblOrders[[#This Row],[CustomerID]],tblCustomers[CustomerID],tblCustomers[Age],"not found")</f>
        <v>19</v>
      </c>
      <c r="E691" t="str">
        <f>_xlfn.XLOOKUP(tblOrders[[#This Row],[CustomerID]],tblCustomers[CustomerID],tblCustomers[Gender],"not found")</f>
        <v>Female</v>
      </c>
      <c r="F691" t="str">
        <f>_xlfn.XLOOKUP(tblOrders[[#This Row],[CustomerID]],tblCustomers[CustomerID],tblCustomers[Region],"not found")</f>
        <v>North</v>
      </c>
      <c r="G691">
        <v>1008</v>
      </c>
      <c r="H691" t="str">
        <f>_xlfn.XLOOKUP(tblOrders[[#This Row],[ProductID]],tblProducts[ProductID],tblProducts[ProductName],"not found")</f>
        <v>Deep</v>
      </c>
      <c r="I691" t="str">
        <f>_xlfn.XLOOKUP(tblOrders[[#This Row],[ProductID]],tblProducts[ProductID],tblProducts[Category],"not found")</f>
        <v>Furniture</v>
      </c>
      <c r="J691">
        <f>_xlfn.XLOOKUP(tblOrders[[#This Row],[ProductID]],tblProducts[ProductID],tblProducts[UnitPrice],"not found")</f>
        <v>81.239999999999995</v>
      </c>
      <c r="K691" t="str">
        <f>_xlfn.XLOOKUP(tblOrders[[#This Row],[ProductID]],tblProducts[ProductID],tblProducts[Supplier],"not found")</f>
        <v>Mays-Griffith</v>
      </c>
      <c r="L691" s="1" t="s">
        <v>2119</v>
      </c>
      <c r="M6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44979</v>
      </c>
      <c r="N691">
        <v>1</v>
      </c>
      <c r="O691">
        <v>81.239999999999995</v>
      </c>
      <c r="P691">
        <f>tblOrders[[#This Row],[Quantity]]*tblOrders[[#This Row],[Unit Price]]</f>
        <v>81.239999999999995</v>
      </c>
      <c r="Q691">
        <f>tblOrders[[#This Row],[TotalSales]]-tblOrders[[#This Row],[Calculated Sales]]</f>
        <v>0</v>
      </c>
    </row>
    <row r="692" spans="1:17" x14ac:dyDescent="0.25">
      <c r="A692">
        <v>174</v>
      </c>
      <c r="B692">
        <v>983</v>
      </c>
      <c r="C692" t="str">
        <f>_xlfn.XLOOKUP(tblOrders[[#This Row],[CustomerID]],tblCustomers[CustomerID],tblCustomers[CustomerName],"not found")</f>
        <v>Sara Liu</v>
      </c>
      <c r="D692">
        <f>_xlfn.XLOOKUP(tblOrders[[#This Row],[CustomerID]],tblCustomers[CustomerID],tblCustomers[Age],"not found")</f>
        <v>26</v>
      </c>
      <c r="E692" t="str">
        <f>_xlfn.XLOOKUP(tblOrders[[#This Row],[CustomerID]],tblCustomers[CustomerID],tblCustomers[Gender],"not found")</f>
        <v>Female</v>
      </c>
      <c r="F692" t="str">
        <f>_xlfn.XLOOKUP(tblOrders[[#This Row],[CustomerID]],tblCustomers[CustomerID],tblCustomers[Region],"not found")</f>
        <v>South</v>
      </c>
      <c r="G692">
        <v>1008</v>
      </c>
      <c r="H692" t="str">
        <f>_xlfn.XLOOKUP(tblOrders[[#This Row],[ProductID]],tblProducts[ProductID],tblProducts[ProductName],"not found")</f>
        <v>Deep</v>
      </c>
      <c r="I692" t="str">
        <f>_xlfn.XLOOKUP(tblOrders[[#This Row],[ProductID]],tblProducts[ProductID],tblProducts[Category],"not found")</f>
        <v>Furniture</v>
      </c>
      <c r="J692">
        <f>_xlfn.XLOOKUP(tblOrders[[#This Row],[ProductID]],tblProducts[ProductID],tblProducts[UnitPrice],"not found")</f>
        <v>81.239999999999995</v>
      </c>
      <c r="K692" t="str">
        <f>_xlfn.XLOOKUP(tblOrders[[#This Row],[ProductID]],tblProducts[ProductID],tblProducts[Supplier],"not found")</f>
        <v>Mays-Griffith</v>
      </c>
      <c r="L692" s="1" t="s">
        <v>2147</v>
      </c>
      <c r="M6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692">
        <v>5</v>
      </c>
      <c r="O692">
        <v>406.2</v>
      </c>
      <c r="P692">
        <f>tblOrders[[#This Row],[Quantity]]*tblOrders[[#This Row],[Unit Price]]</f>
        <v>406.2</v>
      </c>
      <c r="Q692">
        <f>tblOrders[[#This Row],[TotalSales]]-tblOrders[[#This Row],[Calculated Sales]]</f>
        <v>0</v>
      </c>
    </row>
    <row r="693" spans="1:17" x14ac:dyDescent="0.25">
      <c r="A693">
        <v>235</v>
      </c>
      <c r="B693">
        <v>487</v>
      </c>
      <c r="C693" t="str">
        <f>_xlfn.XLOOKUP(tblOrders[[#This Row],[CustomerID]],tblCustomers[CustomerID],tblCustomers[CustomerName],"not found")</f>
        <v>Amber Gentry</v>
      </c>
      <c r="D693">
        <f>_xlfn.XLOOKUP(tblOrders[[#This Row],[CustomerID]],tblCustomers[CustomerID],tblCustomers[Age],"not found")</f>
        <v>47</v>
      </c>
      <c r="E693" t="str">
        <f>_xlfn.XLOOKUP(tblOrders[[#This Row],[CustomerID]],tblCustomers[CustomerID],tblCustomers[Gender],"not found")</f>
        <v>Male</v>
      </c>
      <c r="F693" t="str">
        <f>_xlfn.XLOOKUP(tblOrders[[#This Row],[CustomerID]],tblCustomers[CustomerID],tblCustomers[Region],"not found")</f>
        <v>South</v>
      </c>
      <c r="G693">
        <v>1008</v>
      </c>
      <c r="H693" t="str">
        <f>_xlfn.XLOOKUP(tblOrders[[#This Row],[ProductID]],tblProducts[ProductID],tblProducts[ProductName],"not found")</f>
        <v>Deep</v>
      </c>
      <c r="I693" t="str">
        <f>_xlfn.XLOOKUP(tblOrders[[#This Row],[ProductID]],tblProducts[ProductID],tblProducts[Category],"not found")</f>
        <v>Furniture</v>
      </c>
      <c r="J693">
        <f>_xlfn.XLOOKUP(tblOrders[[#This Row],[ProductID]],tblProducts[ProductID],tblProducts[UnitPrice],"not found")</f>
        <v>81.239999999999995</v>
      </c>
      <c r="K693" t="str">
        <f>_xlfn.XLOOKUP(tblOrders[[#This Row],[ProductID]],tblProducts[ProductID],tblProducts[Supplier],"not found")</f>
        <v>Mays-Griffith</v>
      </c>
      <c r="L693" s="1" t="s">
        <v>2279</v>
      </c>
      <c r="M6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45521</v>
      </c>
      <c r="N693">
        <v>8</v>
      </c>
      <c r="O693">
        <v>649.91999999999996</v>
      </c>
      <c r="P693">
        <f>tblOrders[[#This Row],[Quantity]]*tblOrders[[#This Row],[Unit Price]]</f>
        <v>649.91999999999996</v>
      </c>
      <c r="Q693">
        <f>tblOrders[[#This Row],[TotalSales]]-tblOrders[[#This Row],[Calculated Sales]]</f>
        <v>0</v>
      </c>
    </row>
    <row r="694" spans="1:17" x14ac:dyDescent="0.25">
      <c r="A694">
        <v>238</v>
      </c>
      <c r="B694">
        <v>740</v>
      </c>
      <c r="C694" t="str">
        <f>_xlfn.XLOOKUP(tblOrders[[#This Row],[CustomerID]],tblCustomers[CustomerID],tblCustomers[CustomerName],"not found")</f>
        <v>Jonathan Strong</v>
      </c>
      <c r="D694">
        <f>_xlfn.XLOOKUP(tblOrders[[#This Row],[CustomerID]],tblCustomers[CustomerID],tblCustomers[Age],"not found")</f>
        <v>31</v>
      </c>
      <c r="E694" t="str">
        <f>_xlfn.XLOOKUP(tblOrders[[#This Row],[CustomerID]],tblCustomers[CustomerID],tblCustomers[Gender],"not found")</f>
        <v>Female</v>
      </c>
      <c r="F694" t="str">
        <f>_xlfn.XLOOKUP(tblOrders[[#This Row],[CustomerID]],tblCustomers[CustomerID],tblCustomers[Region],"not found")</f>
        <v>North</v>
      </c>
      <c r="G694">
        <v>1008</v>
      </c>
      <c r="H694" t="str">
        <f>_xlfn.XLOOKUP(tblOrders[[#This Row],[ProductID]],tblProducts[ProductID],tblProducts[ProductName],"not found")</f>
        <v>Deep</v>
      </c>
      <c r="I694" t="str">
        <f>_xlfn.XLOOKUP(tblOrders[[#This Row],[ProductID]],tblProducts[ProductID],tblProducts[Category],"not found")</f>
        <v>Furniture</v>
      </c>
      <c r="J694">
        <f>_xlfn.XLOOKUP(tblOrders[[#This Row],[ProductID]],tblProducts[ProductID],tblProducts[UnitPrice],"not found")</f>
        <v>81.239999999999995</v>
      </c>
      <c r="K694" t="str">
        <f>_xlfn.XLOOKUP(tblOrders[[#This Row],[ProductID]],tblProducts[ProductID],tblProducts[Supplier],"not found")</f>
        <v>Mays-Griffith</v>
      </c>
      <c r="L694" s="1" t="s">
        <v>2280</v>
      </c>
      <c r="M6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45346</v>
      </c>
      <c r="N694">
        <v>7</v>
      </c>
      <c r="O694">
        <v>568.67999999999995</v>
      </c>
      <c r="P694">
        <f>tblOrders[[#This Row],[Quantity]]*tblOrders[[#This Row],[Unit Price]]</f>
        <v>568.67999999999995</v>
      </c>
      <c r="Q694">
        <f>tblOrders[[#This Row],[TotalSales]]-tblOrders[[#This Row],[Calculated Sales]]</f>
        <v>0</v>
      </c>
    </row>
    <row r="695" spans="1:17" x14ac:dyDescent="0.25">
      <c r="A695">
        <v>446</v>
      </c>
      <c r="B695">
        <v>419</v>
      </c>
      <c r="C695" t="str">
        <f>_xlfn.XLOOKUP(tblOrders[[#This Row],[CustomerID]],tblCustomers[CustomerID],tblCustomers[CustomerName],"not found")</f>
        <v>Jordan Berry</v>
      </c>
      <c r="D695">
        <f>_xlfn.XLOOKUP(tblOrders[[#This Row],[CustomerID]],tblCustomers[CustomerID],tblCustomers[Age],"not found")</f>
        <v>65</v>
      </c>
      <c r="E695" t="str">
        <f>_xlfn.XLOOKUP(tblOrders[[#This Row],[CustomerID]],tblCustomers[CustomerID],tblCustomers[Gender],"not found")</f>
        <v>Female</v>
      </c>
      <c r="F695" t="str">
        <f>_xlfn.XLOOKUP(tblOrders[[#This Row],[CustomerID]],tblCustomers[CustomerID],tblCustomers[Region],"not found")</f>
        <v>Central</v>
      </c>
      <c r="G695">
        <v>1008</v>
      </c>
      <c r="H695" t="str">
        <f>_xlfn.XLOOKUP(tblOrders[[#This Row],[ProductID]],tblProducts[ProductID],tblProducts[ProductName],"not found")</f>
        <v>Deep</v>
      </c>
      <c r="I695" t="str">
        <f>_xlfn.XLOOKUP(tblOrders[[#This Row],[ProductID]],tblProducts[ProductID],tblProducts[Category],"not found")</f>
        <v>Furniture</v>
      </c>
      <c r="J695">
        <f>_xlfn.XLOOKUP(tblOrders[[#This Row],[ProductID]],tblProducts[ProductID],tblProducts[UnitPrice],"not found")</f>
        <v>81.239999999999995</v>
      </c>
      <c r="K695" t="str">
        <f>_xlfn.XLOOKUP(tblOrders[[#This Row],[ProductID]],tblProducts[ProductID],tblProducts[Supplier],"not found")</f>
        <v>Mays-Griffith</v>
      </c>
      <c r="L695" s="1">
        <v>45293</v>
      </c>
      <c r="M6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45293</v>
      </c>
      <c r="N695">
        <v>2</v>
      </c>
      <c r="O695">
        <v>162.47999999999999</v>
      </c>
      <c r="P695">
        <f>tblOrders[[#This Row],[Quantity]]*tblOrders[[#This Row],[Unit Price]]</f>
        <v>162.47999999999999</v>
      </c>
      <c r="Q695">
        <f>tblOrders[[#This Row],[TotalSales]]-tblOrders[[#This Row],[Calculated Sales]]</f>
        <v>0</v>
      </c>
    </row>
    <row r="696" spans="1:17" x14ac:dyDescent="0.25">
      <c r="A696">
        <v>623</v>
      </c>
      <c r="B696">
        <v>965</v>
      </c>
      <c r="C696" t="str">
        <f>_xlfn.XLOOKUP(tblOrders[[#This Row],[CustomerID]],tblCustomers[CustomerID],tblCustomers[CustomerName],"not found")</f>
        <v>Nicole Ryan</v>
      </c>
      <c r="D696">
        <f>_xlfn.XLOOKUP(tblOrders[[#This Row],[CustomerID]],tblCustomers[CustomerID],tblCustomers[Age],"not found")</f>
        <v>66</v>
      </c>
      <c r="E696" t="str">
        <f>_xlfn.XLOOKUP(tblOrders[[#This Row],[CustomerID]],tblCustomers[CustomerID],tblCustomers[Gender],"not found")</f>
        <v>Male</v>
      </c>
      <c r="F696" t="str">
        <f>_xlfn.XLOOKUP(tblOrders[[#This Row],[CustomerID]],tblCustomers[CustomerID],tblCustomers[Region],"not found")</f>
        <v>North</v>
      </c>
      <c r="G696">
        <v>1008</v>
      </c>
      <c r="H696" t="str">
        <f>_xlfn.XLOOKUP(tblOrders[[#This Row],[ProductID]],tblProducts[ProductID],tblProducts[ProductName],"not found")</f>
        <v>Deep</v>
      </c>
      <c r="I696" t="str">
        <f>_xlfn.XLOOKUP(tblOrders[[#This Row],[ProductID]],tblProducts[ProductID],tblProducts[Category],"not found")</f>
        <v>Furniture</v>
      </c>
      <c r="J696">
        <f>_xlfn.XLOOKUP(tblOrders[[#This Row],[ProductID]],tblProducts[ProductID],tblProducts[UnitPrice],"not found")</f>
        <v>81.239999999999995</v>
      </c>
      <c r="K696" t="str">
        <f>_xlfn.XLOOKUP(tblOrders[[#This Row],[ProductID]],tblProducts[ProductID],tblProducts[Supplier],"not found")</f>
        <v>Mays-Griffith</v>
      </c>
      <c r="L696" s="1">
        <v>45176</v>
      </c>
      <c r="M6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45176</v>
      </c>
      <c r="N696">
        <v>2</v>
      </c>
      <c r="O696">
        <v>162.47999999999999</v>
      </c>
      <c r="P696">
        <f>tblOrders[[#This Row],[Quantity]]*tblOrders[[#This Row],[Unit Price]]</f>
        <v>162.47999999999999</v>
      </c>
      <c r="Q696">
        <f>tblOrders[[#This Row],[TotalSales]]-tblOrders[[#This Row],[Calculated Sales]]</f>
        <v>0</v>
      </c>
    </row>
    <row r="697" spans="1:17" x14ac:dyDescent="0.25">
      <c r="A697">
        <v>702</v>
      </c>
      <c r="B697">
        <v>917</v>
      </c>
      <c r="C697" t="str">
        <f>_xlfn.XLOOKUP(tblOrders[[#This Row],[CustomerID]],tblCustomers[CustomerID],tblCustomers[CustomerName],"not found")</f>
        <v>Nancy Welch</v>
      </c>
      <c r="D697">
        <f>_xlfn.XLOOKUP(tblOrders[[#This Row],[CustomerID]],tblCustomers[CustomerID],tblCustomers[Age],"not found")</f>
        <v>34</v>
      </c>
      <c r="E697" t="str">
        <f>_xlfn.XLOOKUP(tblOrders[[#This Row],[CustomerID]],tblCustomers[CustomerID],tblCustomers[Gender],"not found")</f>
        <v>Female</v>
      </c>
      <c r="F697" t="str">
        <f>_xlfn.XLOOKUP(tblOrders[[#This Row],[CustomerID]],tblCustomers[CustomerID],tblCustomers[Region],"not found")</f>
        <v>Central</v>
      </c>
      <c r="G697">
        <v>1008</v>
      </c>
      <c r="H697" t="str">
        <f>_xlfn.XLOOKUP(tblOrders[[#This Row],[ProductID]],tblProducts[ProductID],tblProducts[ProductName],"not found")</f>
        <v>Deep</v>
      </c>
      <c r="I697" t="str">
        <f>_xlfn.XLOOKUP(tblOrders[[#This Row],[ProductID]],tblProducts[ProductID],tblProducts[Category],"not found")</f>
        <v>Furniture</v>
      </c>
      <c r="J697">
        <f>_xlfn.XLOOKUP(tblOrders[[#This Row],[ProductID]],tblProducts[ProductID],tblProducts[UnitPrice],"not found")</f>
        <v>81.239999999999995</v>
      </c>
      <c r="K697" t="str">
        <f>_xlfn.XLOOKUP(tblOrders[[#This Row],[ProductID]],tblProducts[ProductID],tblProducts[Supplier],"not found")</f>
        <v>Mays-Griffith</v>
      </c>
      <c r="L697" s="1" t="s">
        <v>2189</v>
      </c>
      <c r="M6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44922</v>
      </c>
      <c r="N697">
        <v>6</v>
      </c>
      <c r="O697">
        <v>487.44</v>
      </c>
      <c r="P697">
        <f>tblOrders[[#This Row],[Quantity]]*tblOrders[[#This Row],[Unit Price]]</f>
        <v>487.43999999999994</v>
      </c>
      <c r="Q697">
        <f>tblOrders[[#This Row],[TotalSales]]-tblOrders[[#This Row],[Calculated Sales]]</f>
        <v>0</v>
      </c>
    </row>
    <row r="698" spans="1:17" x14ac:dyDescent="0.25">
      <c r="A698">
        <v>763</v>
      </c>
      <c r="B698">
        <v>639</v>
      </c>
      <c r="C698" t="str">
        <f>_xlfn.XLOOKUP(tblOrders[[#This Row],[CustomerID]],tblCustomers[CustomerID],tblCustomers[CustomerName],"not found")</f>
        <v>Yvonne Walker</v>
      </c>
      <c r="D698">
        <f>_xlfn.XLOOKUP(tblOrders[[#This Row],[CustomerID]],tblCustomers[CustomerID],tblCustomers[Age],"not found")</f>
        <v>67</v>
      </c>
      <c r="E698" t="str">
        <f>_xlfn.XLOOKUP(tblOrders[[#This Row],[CustomerID]],tblCustomers[CustomerID],tblCustomers[Gender],"not found")</f>
        <v>Female</v>
      </c>
      <c r="F698" t="str">
        <f>_xlfn.XLOOKUP(tblOrders[[#This Row],[CustomerID]],tblCustomers[CustomerID],tblCustomers[Region],"not found")</f>
        <v>South</v>
      </c>
      <c r="G698">
        <v>1008</v>
      </c>
      <c r="H698" t="str">
        <f>_xlfn.XLOOKUP(tblOrders[[#This Row],[ProductID]],tblProducts[ProductID],tblProducts[ProductName],"not found")</f>
        <v>Deep</v>
      </c>
      <c r="I698" t="str">
        <f>_xlfn.XLOOKUP(tblOrders[[#This Row],[ProductID]],tblProducts[ProductID],tblProducts[Category],"not found")</f>
        <v>Furniture</v>
      </c>
      <c r="J698">
        <f>_xlfn.XLOOKUP(tblOrders[[#This Row],[ProductID]],tblProducts[ProductID],tblProducts[UnitPrice],"not found")</f>
        <v>81.239999999999995</v>
      </c>
      <c r="K698" t="str">
        <f>_xlfn.XLOOKUP(tblOrders[[#This Row],[ProductID]],tblProducts[ProductID],tblProducts[Supplier],"not found")</f>
        <v>Mays-Griffith</v>
      </c>
      <c r="L698" s="1">
        <v>45118</v>
      </c>
      <c r="M6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45118</v>
      </c>
      <c r="N698">
        <v>7</v>
      </c>
      <c r="O698">
        <v>568.67999999999995</v>
      </c>
      <c r="P698">
        <f>tblOrders[[#This Row],[Quantity]]*tblOrders[[#This Row],[Unit Price]]</f>
        <v>568.67999999999995</v>
      </c>
      <c r="Q698">
        <f>tblOrders[[#This Row],[TotalSales]]-tblOrders[[#This Row],[Calculated Sales]]</f>
        <v>0</v>
      </c>
    </row>
    <row r="699" spans="1:17" x14ac:dyDescent="0.25">
      <c r="A699">
        <v>863</v>
      </c>
      <c r="B699">
        <v>983</v>
      </c>
      <c r="C699" t="str">
        <f>_xlfn.XLOOKUP(tblOrders[[#This Row],[CustomerID]],tblCustomers[CustomerID],tblCustomers[CustomerName],"not found")</f>
        <v>Sara Liu</v>
      </c>
      <c r="D699">
        <f>_xlfn.XLOOKUP(tblOrders[[#This Row],[CustomerID]],tblCustomers[CustomerID],tblCustomers[Age],"not found")</f>
        <v>26</v>
      </c>
      <c r="E699" t="str">
        <f>_xlfn.XLOOKUP(tblOrders[[#This Row],[CustomerID]],tblCustomers[CustomerID],tblCustomers[Gender],"not found")</f>
        <v>Female</v>
      </c>
      <c r="F699" t="str">
        <f>_xlfn.XLOOKUP(tblOrders[[#This Row],[CustomerID]],tblCustomers[CustomerID],tblCustomers[Region],"not found")</f>
        <v>South</v>
      </c>
      <c r="G699">
        <v>1008</v>
      </c>
      <c r="H699" t="str">
        <f>_xlfn.XLOOKUP(tblOrders[[#This Row],[ProductID]],tblProducts[ProductID],tblProducts[ProductName],"not found")</f>
        <v>Deep</v>
      </c>
      <c r="I699" t="str">
        <f>_xlfn.XLOOKUP(tblOrders[[#This Row],[ProductID]],tblProducts[ProductID],tblProducts[Category],"not found")</f>
        <v>Furniture</v>
      </c>
      <c r="J699">
        <f>_xlfn.XLOOKUP(tblOrders[[#This Row],[ProductID]],tblProducts[ProductID],tblProducts[UnitPrice],"not found")</f>
        <v>81.239999999999995</v>
      </c>
      <c r="K699" t="str">
        <f>_xlfn.XLOOKUP(tblOrders[[#This Row],[ProductID]],tblProducts[ProductID],tblProducts[Supplier],"not found")</f>
        <v>Mays-Griffith</v>
      </c>
      <c r="L699" s="1" t="s">
        <v>2220</v>
      </c>
      <c r="M6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45342</v>
      </c>
      <c r="N699">
        <v>9</v>
      </c>
      <c r="O699">
        <v>731.16</v>
      </c>
      <c r="P699">
        <f>tblOrders[[#This Row],[Quantity]]*tblOrders[[#This Row],[Unit Price]]</f>
        <v>731.16</v>
      </c>
      <c r="Q699">
        <f>tblOrders[[#This Row],[TotalSales]]-tblOrders[[#This Row],[Calculated Sales]]</f>
        <v>0</v>
      </c>
    </row>
    <row r="700" spans="1:17" x14ac:dyDescent="0.25">
      <c r="A700">
        <v>874</v>
      </c>
      <c r="B700">
        <v>641</v>
      </c>
      <c r="C700" t="str">
        <f>_xlfn.XLOOKUP(tblOrders[[#This Row],[CustomerID]],tblCustomers[CustomerID],tblCustomers[CustomerName],"not found")</f>
        <v>Lindsay Wong</v>
      </c>
      <c r="D700">
        <f>_xlfn.XLOOKUP(tblOrders[[#This Row],[CustomerID]],tblCustomers[CustomerID],tblCustomers[Age],"not found")</f>
        <v>38</v>
      </c>
      <c r="E700" t="str">
        <f>_xlfn.XLOOKUP(tblOrders[[#This Row],[CustomerID]],tblCustomers[CustomerID],tblCustomers[Gender],"not found")</f>
        <v>Female</v>
      </c>
      <c r="F700" t="str">
        <f>_xlfn.XLOOKUP(tblOrders[[#This Row],[CustomerID]],tblCustomers[CustomerID],tblCustomers[Region],"not found")</f>
        <v>East</v>
      </c>
      <c r="G700">
        <v>1008</v>
      </c>
      <c r="H700" t="str">
        <f>_xlfn.XLOOKUP(tblOrders[[#This Row],[ProductID]],tblProducts[ProductID],tblProducts[ProductName],"not found")</f>
        <v>Deep</v>
      </c>
      <c r="I700" t="str">
        <f>_xlfn.XLOOKUP(tblOrders[[#This Row],[ProductID]],tblProducts[ProductID],tblProducts[Category],"not found")</f>
        <v>Furniture</v>
      </c>
      <c r="J700">
        <f>_xlfn.XLOOKUP(tblOrders[[#This Row],[ProductID]],tblProducts[ProductID],tblProducts[UnitPrice],"not found")</f>
        <v>81.239999999999995</v>
      </c>
      <c r="K700" t="str">
        <f>_xlfn.XLOOKUP(tblOrders[[#This Row],[ProductID]],tblProducts[ProductID],tblProducts[Supplier],"not found")</f>
        <v>Mays-Griffith</v>
      </c>
      <c r="L700" s="1" t="s">
        <v>2218</v>
      </c>
      <c r="M7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45098</v>
      </c>
      <c r="N700">
        <v>8</v>
      </c>
      <c r="O700">
        <v>649.91999999999996</v>
      </c>
      <c r="P700">
        <f>tblOrders[[#This Row],[Quantity]]*tblOrders[[#This Row],[Unit Price]]</f>
        <v>649.91999999999996</v>
      </c>
      <c r="Q700">
        <f>tblOrders[[#This Row],[TotalSales]]-tblOrders[[#This Row],[Calculated Sales]]</f>
        <v>0</v>
      </c>
    </row>
    <row r="701" spans="1:17" x14ac:dyDescent="0.25">
      <c r="A701">
        <v>884</v>
      </c>
      <c r="B701">
        <v>633</v>
      </c>
      <c r="C701" t="str">
        <f>_xlfn.XLOOKUP(tblOrders[[#This Row],[CustomerID]],tblCustomers[CustomerID],tblCustomers[CustomerName],"not found")</f>
        <v>Austin Burns</v>
      </c>
      <c r="D701">
        <f>_xlfn.XLOOKUP(tblOrders[[#This Row],[CustomerID]],tblCustomers[CustomerID],tblCustomers[Age],"not found")</f>
        <v>36</v>
      </c>
      <c r="E701" t="str">
        <f>_xlfn.XLOOKUP(tblOrders[[#This Row],[CustomerID]],tblCustomers[CustomerID],tblCustomers[Gender],"not found")</f>
        <v>Female</v>
      </c>
      <c r="F701" t="str">
        <f>_xlfn.XLOOKUP(tblOrders[[#This Row],[CustomerID]],tblCustomers[CustomerID],tblCustomers[Region],"not found")</f>
        <v>West</v>
      </c>
      <c r="G701">
        <v>1008</v>
      </c>
      <c r="H701" t="str">
        <f>_xlfn.XLOOKUP(tblOrders[[#This Row],[ProductID]],tblProducts[ProductID],tblProducts[ProductName],"not found")</f>
        <v>Deep</v>
      </c>
      <c r="I701" t="str">
        <f>_xlfn.XLOOKUP(tblOrders[[#This Row],[ProductID]],tblProducts[ProductID],tblProducts[Category],"not found")</f>
        <v>Furniture</v>
      </c>
      <c r="J701">
        <f>_xlfn.XLOOKUP(tblOrders[[#This Row],[ProductID]],tblProducts[ProductID],tblProducts[UnitPrice],"not found")</f>
        <v>81.239999999999995</v>
      </c>
      <c r="K701" t="str">
        <f>_xlfn.XLOOKUP(tblOrders[[#This Row],[ProductID]],tblProducts[ProductID],tblProducts[Supplier],"not found")</f>
        <v>Mays-Griffith</v>
      </c>
      <c r="L701" s="1">
        <v>45510</v>
      </c>
      <c r="M7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45510</v>
      </c>
      <c r="N701">
        <v>1</v>
      </c>
      <c r="O701">
        <v>81.239999999999995</v>
      </c>
      <c r="P701">
        <f>tblOrders[[#This Row],[Quantity]]*tblOrders[[#This Row],[Unit Price]]</f>
        <v>81.239999999999995</v>
      </c>
      <c r="Q701">
        <f>tblOrders[[#This Row],[TotalSales]]-tblOrders[[#This Row],[Calculated Sales]]</f>
        <v>0</v>
      </c>
    </row>
    <row r="702" spans="1:17" x14ac:dyDescent="0.25">
      <c r="A702">
        <v>1095</v>
      </c>
      <c r="B702">
        <v>750</v>
      </c>
      <c r="C702" t="str">
        <f>_xlfn.XLOOKUP(tblOrders[[#This Row],[CustomerID]],tblCustomers[CustomerID],tblCustomers[CustomerName],"not found")</f>
        <v>James Hughes</v>
      </c>
      <c r="D702">
        <f>_xlfn.XLOOKUP(tblOrders[[#This Row],[CustomerID]],tblCustomers[CustomerID],tblCustomers[Age],"not found")</f>
        <v>60</v>
      </c>
      <c r="E702" t="str">
        <f>_xlfn.XLOOKUP(tblOrders[[#This Row],[CustomerID]],tblCustomers[CustomerID],tblCustomers[Gender],"not found")</f>
        <v>Female</v>
      </c>
      <c r="F702" t="str">
        <f>_xlfn.XLOOKUP(tblOrders[[#This Row],[CustomerID]],tblCustomers[CustomerID],tblCustomers[Region],"not found")</f>
        <v>West</v>
      </c>
      <c r="G702">
        <v>1008</v>
      </c>
      <c r="H702" t="str">
        <f>_xlfn.XLOOKUP(tblOrders[[#This Row],[ProductID]],tblProducts[ProductID],tblProducts[ProductName],"not found")</f>
        <v>Deep</v>
      </c>
      <c r="I702" t="str">
        <f>_xlfn.XLOOKUP(tblOrders[[#This Row],[ProductID]],tblProducts[ProductID],tblProducts[Category],"not found")</f>
        <v>Furniture</v>
      </c>
      <c r="J702">
        <f>_xlfn.XLOOKUP(tblOrders[[#This Row],[ProductID]],tblProducts[ProductID],tblProducts[UnitPrice],"not found")</f>
        <v>81.239999999999995</v>
      </c>
      <c r="K702" t="str">
        <f>_xlfn.XLOOKUP(tblOrders[[#This Row],[ProductID]],tblProducts[ProductID],tblProducts[Supplier],"not found")</f>
        <v>Mays-Griffith</v>
      </c>
      <c r="L702" s="1" t="s">
        <v>2239</v>
      </c>
      <c r="M7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45155</v>
      </c>
      <c r="N702">
        <v>6</v>
      </c>
      <c r="O702">
        <v>487.44</v>
      </c>
      <c r="P702">
        <f>tblOrders[[#This Row],[Quantity]]*tblOrders[[#This Row],[Unit Price]]</f>
        <v>487.43999999999994</v>
      </c>
      <c r="Q702">
        <f>tblOrders[[#This Row],[TotalSales]]-tblOrders[[#This Row],[Calculated Sales]]</f>
        <v>0</v>
      </c>
    </row>
    <row r="703" spans="1:17" x14ac:dyDescent="0.25">
      <c r="A703">
        <v>1198</v>
      </c>
      <c r="B703">
        <v>718</v>
      </c>
      <c r="C703" t="str">
        <f>_xlfn.XLOOKUP(tblOrders[[#This Row],[CustomerID]],tblCustomers[CustomerID],tblCustomers[CustomerName],"not found")</f>
        <v>Mike Mcknight</v>
      </c>
      <c r="D703">
        <f>_xlfn.XLOOKUP(tblOrders[[#This Row],[CustomerID]],tblCustomers[CustomerID],tblCustomers[Age],"not found")</f>
        <v>65</v>
      </c>
      <c r="E703" t="str">
        <f>_xlfn.XLOOKUP(tblOrders[[#This Row],[CustomerID]],tblCustomers[CustomerID],tblCustomers[Gender],"not found")</f>
        <v>Male</v>
      </c>
      <c r="F703" t="str">
        <f>_xlfn.XLOOKUP(tblOrders[[#This Row],[CustomerID]],tblCustomers[CustomerID],tblCustomers[Region],"not found")</f>
        <v>West</v>
      </c>
      <c r="G703">
        <v>1008</v>
      </c>
      <c r="H703" t="str">
        <f>_xlfn.XLOOKUP(tblOrders[[#This Row],[ProductID]],tblProducts[ProductID],tblProducts[ProductName],"not found")</f>
        <v>Deep</v>
      </c>
      <c r="I703" t="str">
        <f>_xlfn.XLOOKUP(tblOrders[[#This Row],[ProductID]],tblProducts[ProductID],tblProducts[Category],"not found")</f>
        <v>Furniture</v>
      </c>
      <c r="J703">
        <f>_xlfn.XLOOKUP(tblOrders[[#This Row],[ProductID]],tblProducts[ProductID],tblProducts[UnitPrice],"not found")</f>
        <v>81.239999999999995</v>
      </c>
      <c r="K703" t="str">
        <f>_xlfn.XLOOKUP(tblOrders[[#This Row],[ProductID]],tblProducts[ProductID],tblProducts[Supplier],"not found")</f>
        <v>Mays-Griffith</v>
      </c>
      <c r="L703" s="1" t="s">
        <v>2177</v>
      </c>
      <c r="M7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44944</v>
      </c>
      <c r="N703">
        <v>5</v>
      </c>
      <c r="O703">
        <v>406.2</v>
      </c>
      <c r="P703">
        <f>tblOrders[[#This Row],[Quantity]]*tblOrders[[#This Row],[Unit Price]]</f>
        <v>406.2</v>
      </c>
      <c r="Q703">
        <f>tblOrders[[#This Row],[TotalSales]]-tblOrders[[#This Row],[Calculated Sales]]</f>
        <v>0</v>
      </c>
    </row>
    <row r="704" spans="1:17" x14ac:dyDescent="0.25">
      <c r="A704">
        <v>1245</v>
      </c>
      <c r="B704">
        <v>498</v>
      </c>
      <c r="C704" t="str">
        <f>_xlfn.XLOOKUP(tblOrders[[#This Row],[CustomerID]],tblCustomers[CustomerID],tblCustomers[CustomerName],"not found")</f>
        <v>Shelby Marshall</v>
      </c>
      <c r="D704">
        <f>_xlfn.XLOOKUP(tblOrders[[#This Row],[CustomerID]],tblCustomers[CustomerID],tblCustomers[Age],"not found")</f>
        <v>61</v>
      </c>
      <c r="E704" t="str">
        <f>_xlfn.XLOOKUP(tblOrders[[#This Row],[CustomerID]],tblCustomers[CustomerID],tblCustomers[Gender],"not found")</f>
        <v>Male</v>
      </c>
      <c r="F704" t="str">
        <f>_xlfn.XLOOKUP(tblOrders[[#This Row],[CustomerID]],tblCustomers[CustomerID],tblCustomers[Region],"not found")</f>
        <v>South</v>
      </c>
      <c r="G704">
        <v>1008</v>
      </c>
      <c r="H704" t="str">
        <f>_xlfn.XLOOKUP(tblOrders[[#This Row],[ProductID]],tblProducts[ProductID],tblProducts[ProductName],"not found")</f>
        <v>Deep</v>
      </c>
      <c r="I704" t="str">
        <f>_xlfn.XLOOKUP(tblOrders[[#This Row],[ProductID]],tblProducts[ProductID],tblProducts[Category],"not found")</f>
        <v>Furniture</v>
      </c>
      <c r="J704">
        <f>_xlfn.XLOOKUP(tblOrders[[#This Row],[ProductID]],tblProducts[ProductID],tblProducts[UnitPrice],"not found")</f>
        <v>81.239999999999995</v>
      </c>
      <c r="K704" t="str">
        <f>_xlfn.XLOOKUP(tblOrders[[#This Row],[ProductID]],tblProducts[ProductID],tblProducts[Supplier],"not found")</f>
        <v>Mays-Griffith</v>
      </c>
      <c r="L704" s="1" t="s">
        <v>2018</v>
      </c>
      <c r="M7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45457</v>
      </c>
      <c r="N704">
        <v>6</v>
      </c>
      <c r="O704">
        <v>487.44</v>
      </c>
      <c r="P704">
        <f>tblOrders[[#This Row],[Quantity]]*tblOrders[[#This Row],[Unit Price]]</f>
        <v>487.43999999999994</v>
      </c>
      <c r="Q704">
        <f>tblOrders[[#This Row],[TotalSales]]-tblOrders[[#This Row],[Calculated Sales]]</f>
        <v>0</v>
      </c>
    </row>
    <row r="705" spans="1:17" x14ac:dyDescent="0.25">
      <c r="A705">
        <v>1327</v>
      </c>
      <c r="B705">
        <v>183</v>
      </c>
      <c r="C705" t="str">
        <f>_xlfn.XLOOKUP(tblOrders[[#This Row],[CustomerID]],tblCustomers[CustomerID],tblCustomers[CustomerName],"not found")</f>
        <v>Ryan Martinez</v>
      </c>
      <c r="D705">
        <f>_xlfn.XLOOKUP(tblOrders[[#This Row],[CustomerID]],tblCustomers[CustomerID],tblCustomers[Age],"not found")</f>
        <v>23</v>
      </c>
      <c r="E705" t="str">
        <f>_xlfn.XLOOKUP(tblOrders[[#This Row],[CustomerID]],tblCustomers[CustomerID],tblCustomers[Gender],"not found")</f>
        <v>Male</v>
      </c>
      <c r="F705" t="str">
        <f>_xlfn.XLOOKUP(tblOrders[[#This Row],[CustomerID]],tblCustomers[CustomerID],tblCustomers[Region],"not found")</f>
        <v>West</v>
      </c>
      <c r="G705">
        <v>1008</v>
      </c>
      <c r="H705" t="str">
        <f>_xlfn.XLOOKUP(tblOrders[[#This Row],[ProductID]],tblProducts[ProductID],tblProducts[ProductName],"not found")</f>
        <v>Deep</v>
      </c>
      <c r="I705" t="str">
        <f>_xlfn.XLOOKUP(tblOrders[[#This Row],[ProductID]],tblProducts[ProductID],tblProducts[Category],"not found")</f>
        <v>Furniture</v>
      </c>
      <c r="J705">
        <f>_xlfn.XLOOKUP(tblOrders[[#This Row],[ProductID]],tblProducts[ProductID],tblProducts[UnitPrice],"not found")</f>
        <v>81.239999999999995</v>
      </c>
      <c r="K705" t="str">
        <f>_xlfn.XLOOKUP(tblOrders[[#This Row],[ProductID]],tblProducts[ProductID],tblProducts[Supplier],"not found")</f>
        <v>Mays-Griffith</v>
      </c>
      <c r="L705" s="1" t="s">
        <v>2229</v>
      </c>
      <c r="M7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45310</v>
      </c>
      <c r="N705">
        <v>8</v>
      </c>
      <c r="O705">
        <v>649.91999999999996</v>
      </c>
      <c r="P705">
        <f>tblOrders[[#This Row],[Quantity]]*tblOrders[[#This Row],[Unit Price]]</f>
        <v>649.91999999999996</v>
      </c>
      <c r="Q705">
        <f>tblOrders[[#This Row],[TotalSales]]-tblOrders[[#This Row],[Calculated Sales]]</f>
        <v>0</v>
      </c>
    </row>
    <row r="706" spans="1:17" x14ac:dyDescent="0.25">
      <c r="A706">
        <v>1439</v>
      </c>
      <c r="B706">
        <v>845</v>
      </c>
      <c r="C706" t="str">
        <f>_xlfn.XLOOKUP(tblOrders[[#This Row],[CustomerID]],tblCustomers[CustomerID],tblCustomers[CustomerName],"not found")</f>
        <v>Meghan Davidson</v>
      </c>
      <c r="D706">
        <f>_xlfn.XLOOKUP(tblOrders[[#This Row],[CustomerID]],tblCustomers[CustomerID],tblCustomers[Age],"not found")</f>
        <v>44</v>
      </c>
      <c r="E706" t="str">
        <f>_xlfn.XLOOKUP(tblOrders[[#This Row],[CustomerID]],tblCustomers[CustomerID],tblCustomers[Gender],"not found")</f>
        <v>Female</v>
      </c>
      <c r="F706" t="str">
        <f>_xlfn.XLOOKUP(tblOrders[[#This Row],[CustomerID]],tblCustomers[CustomerID],tblCustomers[Region],"not found")</f>
        <v>East</v>
      </c>
      <c r="G706">
        <v>1008</v>
      </c>
      <c r="H706" t="str">
        <f>_xlfn.XLOOKUP(tblOrders[[#This Row],[ProductID]],tblProducts[ProductID],tblProducts[ProductName],"not found")</f>
        <v>Deep</v>
      </c>
      <c r="I706" t="str">
        <f>_xlfn.XLOOKUP(tblOrders[[#This Row],[ProductID]],tblProducts[ProductID],tblProducts[Category],"not found")</f>
        <v>Furniture</v>
      </c>
      <c r="J706">
        <f>_xlfn.XLOOKUP(tblOrders[[#This Row],[ProductID]],tblProducts[ProductID],tblProducts[UnitPrice],"not found")</f>
        <v>81.239999999999995</v>
      </c>
      <c r="K706" t="str">
        <f>_xlfn.XLOOKUP(tblOrders[[#This Row],[ProductID]],tblProducts[ProductID],tblProducts[Supplier],"not found")</f>
        <v>Mays-Griffith</v>
      </c>
      <c r="L706" s="1" t="s">
        <v>2028</v>
      </c>
      <c r="M7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45596</v>
      </c>
      <c r="N706">
        <v>7</v>
      </c>
      <c r="O706">
        <v>568.67999999999995</v>
      </c>
      <c r="P706">
        <f>tblOrders[[#This Row],[Quantity]]*tblOrders[[#This Row],[Unit Price]]</f>
        <v>568.67999999999995</v>
      </c>
      <c r="Q706">
        <f>tblOrders[[#This Row],[TotalSales]]-tblOrders[[#This Row],[Calculated Sales]]</f>
        <v>0</v>
      </c>
    </row>
    <row r="707" spans="1:17" x14ac:dyDescent="0.25">
      <c r="A707">
        <v>1462</v>
      </c>
      <c r="B707">
        <v>679</v>
      </c>
      <c r="C707" t="str">
        <f>_xlfn.XLOOKUP(tblOrders[[#This Row],[CustomerID]],tblCustomers[CustomerID],tblCustomers[CustomerName],"not found")</f>
        <v>Pamela Pugh</v>
      </c>
      <c r="D707">
        <f>_xlfn.XLOOKUP(tblOrders[[#This Row],[CustomerID]],tblCustomers[CustomerID],tblCustomers[Age],"not found")</f>
        <v>51</v>
      </c>
      <c r="E707" t="str">
        <f>_xlfn.XLOOKUP(tblOrders[[#This Row],[CustomerID]],tblCustomers[CustomerID],tblCustomers[Gender],"not found")</f>
        <v>Female</v>
      </c>
      <c r="F707" t="str">
        <f>_xlfn.XLOOKUP(tblOrders[[#This Row],[CustomerID]],tblCustomers[CustomerID],tblCustomers[Region],"not found")</f>
        <v>Central</v>
      </c>
      <c r="G707">
        <v>1008</v>
      </c>
      <c r="H707" t="str">
        <f>_xlfn.XLOOKUP(tblOrders[[#This Row],[ProductID]],tblProducts[ProductID],tblProducts[ProductName],"not found")</f>
        <v>Deep</v>
      </c>
      <c r="I707" t="str">
        <f>_xlfn.XLOOKUP(tblOrders[[#This Row],[ProductID]],tblProducts[ProductID],tblProducts[Category],"not found")</f>
        <v>Furniture</v>
      </c>
      <c r="J707">
        <f>_xlfn.XLOOKUP(tblOrders[[#This Row],[ProductID]],tblProducts[ProductID],tblProducts[UnitPrice],"not found")</f>
        <v>81.239999999999995</v>
      </c>
      <c r="K707" t="str">
        <f>_xlfn.XLOOKUP(tblOrders[[#This Row],[ProductID]],tblProducts[ProductID],tblProducts[Supplier],"not found")</f>
        <v>Mays-Griffith</v>
      </c>
      <c r="L707" s="1">
        <v>45355</v>
      </c>
      <c r="M7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45355</v>
      </c>
      <c r="N707">
        <v>7</v>
      </c>
      <c r="O707">
        <v>568.67999999999995</v>
      </c>
      <c r="P707">
        <f>tblOrders[[#This Row],[Quantity]]*tblOrders[[#This Row],[Unit Price]]</f>
        <v>568.67999999999995</v>
      </c>
      <c r="Q707">
        <f>tblOrders[[#This Row],[TotalSales]]-tblOrders[[#This Row],[Calculated Sales]]</f>
        <v>0</v>
      </c>
    </row>
    <row r="708" spans="1:17" x14ac:dyDescent="0.25">
      <c r="A708">
        <v>1478</v>
      </c>
      <c r="B708">
        <v>497</v>
      </c>
      <c r="C708" t="str">
        <f>_xlfn.XLOOKUP(tblOrders[[#This Row],[CustomerID]],tblCustomers[CustomerID],tblCustomers[CustomerName],"not found")</f>
        <v>Sarah Perez</v>
      </c>
      <c r="D708">
        <f>_xlfn.XLOOKUP(tblOrders[[#This Row],[CustomerID]],tblCustomers[CustomerID],tblCustomers[Age],"not found")</f>
        <v>33</v>
      </c>
      <c r="E708" t="str">
        <f>_xlfn.XLOOKUP(tblOrders[[#This Row],[CustomerID]],tblCustomers[CustomerID],tblCustomers[Gender],"not found")</f>
        <v>Female</v>
      </c>
      <c r="F708" t="str">
        <f>_xlfn.XLOOKUP(tblOrders[[#This Row],[CustomerID]],tblCustomers[CustomerID],tblCustomers[Region],"not found")</f>
        <v>West</v>
      </c>
      <c r="G708">
        <v>1008</v>
      </c>
      <c r="H708" t="str">
        <f>_xlfn.XLOOKUP(tblOrders[[#This Row],[ProductID]],tblProducts[ProductID],tblProducts[ProductName],"not found")</f>
        <v>Deep</v>
      </c>
      <c r="I708" t="str">
        <f>_xlfn.XLOOKUP(tblOrders[[#This Row],[ProductID]],tblProducts[ProductID],tblProducts[Category],"not found")</f>
        <v>Furniture</v>
      </c>
      <c r="J708">
        <f>_xlfn.XLOOKUP(tblOrders[[#This Row],[ProductID]],tblProducts[ProductID],tblProducts[UnitPrice],"not found")</f>
        <v>81.239999999999995</v>
      </c>
      <c r="K708" t="str">
        <f>_xlfn.XLOOKUP(tblOrders[[#This Row],[ProductID]],tblProducts[ProductID],tblProducts[Supplier],"not found")</f>
        <v>Mays-Griffith</v>
      </c>
      <c r="L708" s="1" t="s">
        <v>2015</v>
      </c>
      <c r="M7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45556</v>
      </c>
      <c r="N708">
        <v>1</v>
      </c>
      <c r="O708">
        <v>81.239999999999995</v>
      </c>
      <c r="P708">
        <f>tblOrders[[#This Row],[Quantity]]*tblOrders[[#This Row],[Unit Price]]</f>
        <v>81.239999999999995</v>
      </c>
      <c r="Q708">
        <f>tblOrders[[#This Row],[TotalSales]]-tblOrders[[#This Row],[Calculated Sales]]</f>
        <v>0</v>
      </c>
    </row>
    <row r="709" spans="1:17" x14ac:dyDescent="0.25">
      <c r="A709">
        <v>1479</v>
      </c>
      <c r="B709">
        <v>334</v>
      </c>
      <c r="C709" t="str">
        <f>_xlfn.XLOOKUP(tblOrders[[#This Row],[CustomerID]],tblCustomers[CustomerID],tblCustomers[CustomerName],"not found")</f>
        <v>Erin Shepherd</v>
      </c>
      <c r="D709">
        <f>_xlfn.XLOOKUP(tblOrders[[#This Row],[CustomerID]],tblCustomers[CustomerID],tblCustomers[Age],"not found")</f>
        <v>64</v>
      </c>
      <c r="E709" t="str">
        <f>_xlfn.XLOOKUP(tblOrders[[#This Row],[CustomerID]],tblCustomers[CustomerID],tblCustomers[Gender],"not found")</f>
        <v>Male</v>
      </c>
      <c r="F709" t="str">
        <f>_xlfn.XLOOKUP(tblOrders[[#This Row],[CustomerID]],tblCustomers[CustomerID],tblCustomers[Region],"not found")</f>
        <v>South</v>
      </c>
      <c r="G709">
        <v>1008</v>
      </c>
      <c r="H709" t="str">
        <f>_xlfn.XLOOKUP(tblOrders[[#This Row],[ProductID]],tblProducts[ProductID],tblProducts[ProductName],"not found")</f>
        <v>Deep</v>
      </c>
      <c r="I709" t="str">
        <f>_xlfn.XLOOKUP(tblOrders[[#This Row],[ProductID]],tblProducts[ProductID],tblProducts[Category],"not found")</f>
        <v>Furniture</v>
      </c>
      <c r="J709">
        <f>_xlfn.XLOOKUP(tblOrders[[#This Row],[ProductID]],tblProducts[ProductID],tblProducts[UnitPrice],"not found")</f>
        <v>81.239999999999995</v>
      </c>
      <c r="K709" t="str">
        <f>_xlfn.XLOOKUP(tblOrders[[#This Row],[ProductID]],tblProducts[ProductID],tblProducts[Supplier],"not found")</f>
        <v>Mays-Griffith</v>
      </c>
      <c r="L709" s="1" t="s">
        <v>2281</v>
      </c>
      <c r="M7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45014</v>
      </c>
      <c r="N709">
        <v>3</v>
      </c>
      <c r="O709">
        <v>243.72</v>
      </c>
      <c r="P709">
        <f>tblOrders[[#This Row],[Quantity]]*tblOrders[[#This Row],[Unit Price]]</f>
        <v>243.71999999999997</v>
      </c>
      <c r="Q709">
        <f>tblOrders[[#This Row],[TotalSales]]-tblOrders[[#This Row],[Calculated Sales]]</f>
        <v>0</v>
      </c>
    </row>
    <row r="710" spans="1:17" x14ac:dyDescent="0.25">
      <c r="A710">
        <v>1555</v>
      </c>
      <c r="B710">
        <v>556</v>
      </c>
      <c r="C710" t="str">
        <f>_xlfn.XLOOKUP(tblOrders[[#This Row],[CustomerID]],tblCustomers[CustomerID],tblCustomers[CustomerName],"not found")</f>
        <v>Ethan Andrews</v>
      </c>
      <c r="D710">
        <f>_xlfn.XLOOKUP(tblOrders[[#This Row],[CustomerID]],tblCustomers[CustomerID],tblCustomers[Age],"not found")</f>
        <v>28</v>
      </c>
      <c r="E710" t="str">
        <f>_xlfn.XLOOKUP(tblOrders[[#This Row],[CustomerID]],tblCustomers[CustomerID],tblCustomers[Gender],"not found")</f>
        <v>Female</v>
      </c>
      <c r="F710" t="str">
        <f>_xlfn.XLOOKUP(tblOrders[[#This Row],[CustomerID]],tblCustomers[CustomerID],tblCustomers[Region],"not found")</f>
        <v>South</v>
      </c>
      <c r="G710">
        <v>1008</v>
      </c>
      <c r="H710" t="str">
        <f>_xlfn.XLOOKUP(tblOrders[[#This Row],[ProductID]],tblProducts[ProductID],tblProducts[ProductName],"not found")</f>
        <v>Deep</v>
      </c>
      <c r="I710" t="str">
        <f>_xlfn.XLOOKUP(tblOrders[[#This Row],[ProductID]],tblProducts[ProductID],tblProducts[Category],"not found")</f>
        <v>Furniture</v>
      </c>
      <c r="J710">
        <f>_xlfn.XLOOKUP(tblOrders[[#This Row],[ProductID]],tblProducts[ProductID],tblProducts[UnitPrice],"not found")</f>
        <v>81.239999999999995</v>
      </c>
      <c r="K710" t="str">
        <f>_xlfn.XLOOKUP(tblOrders[[#This Row],[ProductID]],tblProducts[ProductID],tblProducts[Supplier],"not found")</f>
        <v>Mays-Griffith</v>
      </c>
      <c r="L710" s="1" t="s">
        <v>2102</v>
      </c>
      <c r="M7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45249</v>
      </c>
      <c r="N710">
        <v>3</v>
      </c>
      <c r="O710">
        <v>243.72</v>
      </c>
      <c r="P710">
        <f>tblOrders[[#This Row],[Quantity]]*tblOrders[[#This Row],[Unit Price]]</f>
        <v>243.71999999999997</v>
      </c>
      <c r="Q710">
        <f>tblOrders[[#This Row],[TotalSales]]-tblOrders[[#This Row],[Calculated Sales]]</f>
        <v>0</v>
      </c>
    </row>
    <row r="711" spans="1:17" x14ac:dyDescent="0.25">
      <c r="A711">
        <v>1618</v>
      </c>
      <c r="B711">
        <v>190</v>
      </c>
      <c r="C711" t="str">
        <f>_xlfn.XLOOKUP(tblOrders[[#This Row],[CustomerID]],tblCustomers[CustomerID],tblCustomers[CustomerName],"not found")</f>
        <v>Jessica Flores</v>
      </c>
      <c r="D711">
        <f>_xlfn.XLOOKUP(tblOrders[[#This Row],[CustomerID]],tblCustomers[CustomerID],tblCustomers[Age],"not found")</f>
        <v>60</v>
      </c>
      <c r="E711" t="str">
        <f>_xlfn.XLOOKUP(tblOrders[[#This Row],[CustomerID]],tblCustomers[CustomerID],tblCustomers[Gender],"not found")</f>
        <v>Male</v>
      </c>
      <c r="F711" t="str">
        <f>_xlfn.XLOOKUP(tblOrders[[#This Row],[CustomerID]],tblCustomers[CustomerID],tblCustomers[Region],"not found")</f>
        <v>East</v>
      </c>
      <c r="G711">
        <v>1008</v>
      </c>
      <c r="H711" t="str">
        <f>_xlfn.XLOOKUP(tblOrders[[#This Row],[ProductID]],tblProducts[ProductID],tblProducts[ProductName],"not found")</f>
        <v>Deep</v>
      </c>
      <c r="I711" t="str">
        <f>_xlfn.XLOOKUP(tblOrders[[#This Row],[ProductID]],tblProducts[ProductID],tblProducts[Category],"not found")</f>
        <v>Furniture</v>
      </c>
      <c r="J711">
        <f>_xlfn.XLOOKUP(tblOrders[[#This Row],[ProductID]],tblProducts[ProductID],tblProducts[UnitPrice],"not found")</f>
        <v>81.239999999999995</v>
      </c>
      <c r="K711" t="str">
        <f>_xlfn.XLOOKUP(tblOrders[[#This Row],[ProductID]],tblProducts[ProductID],tblProducts[Supplier],"not found")</f>
        <v>Mays-Griffith</v>
      </c>
      <c r="L711" s="1">
        <v>45023</v>
      </c>
      <c r="M7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45023</v>
      </c>
      <c r="N711">
        <v>9</v>
      </c>
      <c r="O711">
        <v>731.16</v>
      </c>
      <c r="P711">
        <f>tblOrders[[#This Row],[Quantity]]*tblOrders[[#This Row],[Unit Price]]</f>
        <v>731.16</v>
      </c>
      <c r="Q711">
        <f>tblOrders[[#This Row],[TotalSales]]-tblOrders[[#This Row],[Calculated Sales]]</f>
        <v>0</v>
      </c>
    </row>
    <row r="712" spans="1:17" x14ac:dyDescent="0.25">
      <c r="A712">
        <v>1628</v>
      </c>
      <c r="B712">
        <v>838</v>
      </c>
      <c r="C712" t="str">
        <f>_xlfn.XLOOKUP(tblOrders[[#This Row],[CustomerID]],tblCustomers[CustomerID],tblCustomers[CustomerName],"not found")</f>
        <v>Robert Mason</v>
      </c>
      <c r="D712">
        <f>_xlfn.XLOOKUP(tblOrders[[#This Row],[CustomerID]],tblCustomers[CustomerID],tblCustomers[Age],"not found")</f>
        <v>26</v>
      </c>
      <c r="E712" t="str">
        <f>_xlfn.XLOOKUP(tblOrders[[#This Row],[CustomerID]],tblCustomers[CustomerID],tblCustomers[Gender],"not found")</f>
        <v>Female</v>
      </c>
      <c r="F712" t="str">
        <f>_xlfn.XLOOKUP(tblOrders[[#This Row],[CustomerID]],tblCustomers[CustomerID],tblCustomers[Region],"not found")</f>
        <v>East</v>
      </c>
      <c r="G712">
        <v>1008</v>
      </c>
      <c r="H712" t="str">
        <f>_xlfn.XLOOKUP(tblOrders[[#This Row],[ProductID]],tblProducts[ProductID],tblProducts[ProductName],"not found")</f>
        <v>Deep</v>
      </c>
      <c r="I712" t="str">
        <f>_xlfn.XLOOKUP(tblOrders[[#This Row],[ProductID]],tblProducts[ProductID],tblProducts[Category],"not found")</f>
        <v>Furniture</v>
      </c>
      <c r="J712">
        <f>_xlfn.XLOOKUP(tblOrders[[#This Row],[ProductID]],tblProducts[ProductID],tblProducts[UnitPrice],"not found")</f>
        <v>81.239999999999995</v>
      </c>
      <c r="K712" t="str">
        <f>_xlfn.XLOOKUP(tblOrders[[#This Row],[ProductID]],tblProducts[ProductID],tblProducts[Supplier],"not found")</f>
        <v>Mays-Griffith</v>
      </c>
      <c r="L712" s="1">
        <v>45111</v>
      </c>
      <c r="M7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45111</v>
      </c>
      <c r="N712">
        <v>1</v>
      </c>
      <c r="O712">
        <v>81.239999999999995</v>
      </c>
      <c r="P712">
        <f>tblOrders[[#This Row],[Quantity]]*tblOrders[[#This Row],[Unit Price]]</f>
        <v>81.239999999999995</v>
      </c>
      <c r="Q712">
        <f>tblOrders[[#This Row],[TotalSales]]-tblOrders[[#This Row],[Calculated Sales]]</f>
        <v>0</v>
      </c>
    </row>
    <row r="713" spans="1:17" x14ac:dyDescent="0.25">
      <c r="A713">
        <v>1755</v>
      </c>
      <c r="B713">
        <v>306</v>
      </c>
      <c r="C713" t="str">
        <f>_xlfn.XLOOKUP(tblOrders[[#This Row],[CustomerID]],tblCustomers[CustomerID],tblCustomers[CustomerName],"not found")</f>
        <v>Philip Meyers</v>
      </c>
      <c r="D713">
        <f>_xlfn.XLOOKUP(tblOrders[[#This Row],[CustomerID]],tblCustomers[CustomerID],tblCustomers[Age],"not found")</f>
        <v>56</v>
      </c>
      <c r="E713" t="str">
        <f>_xlfn.XLOOKUP(tblOrders[[#This Row],[CustomerID]],tblCustomers[CustomerID],tblCustomers[Gender],"not found")</f>
        <v>Male</v>
      </c>
      <c r="F713" t="str">
        <f>_xlfn.XLOOKUP(tblOrders[[#This Row],[CustomerID]],tblCustomers[CustomerID],tblCustomers[Region],"not found")</f>
        <v>West</v>
      </c>
      <c r="G713">
        <v>1008</v>
      </c>
      <c r="H713" t="str">
        <f>_xlfn.XLOOKUP(tblOrders[[#This Row],[ProductID]],tblProducts[ProductID],tblProducts[ProductName],"not found")</f>
        <v>Deep</v>
      </c>
      <c r="I713" t="str">
        <f>_xlfn.XLOOKUP(tblOrders[[#This Row],[ProductID]],tblProducts[ProductID],tblProducts[Category],"not found")</f>
        <v>Furniture</v>
      </c>
      <c r="J713">
        <f>_xlfn.XLOOKUP(tblOrders[[#This Row],[ProductID]],tblProducts[ProductID],tblProducts[UnitPrice],"not found")</f>
        <v>81.239999999999995</v>
      </c>
      <c r="K713" t="str">
        <f>_xlfn.XLOOKUP(tblOrders[[#This Row],[ProductID]],tblProducts[ProductID],tblProducts[Supplier],"not found")</f>
        <v>Mays-Griffith</v>
      </c>
      <c r="L713" s="1">
        <v>45268</v>
      </c>
      <c r="M7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45268</v>
      </c>
      <c r="N713">
        <v>4</v>
      </c>
      <c r="O713">
        <v>324.95999999999998</v>
      </c>
      <c r="P713">
        <f>tblOrders[[#This Row],[Quantity]]*tblOrders[[#This Row],[Unit Price]]</f>
        <v>324.95999999999998</v>
      </c>
      <c r="Q713">
        <f>tblOrders[[#This Row],[TotalSales]]-tblOrders[[#This Row],[Calculated Sales]]</f>
        <v>0</v>
      </c>
    </row>
    <row r="714" spans="1:17" x14ac:dyDescent="0.25">
      <c r="A714">
        <v>1770</v>
      </c>
      <c r="B714">
        <v>489</v>
      </c>
      <c r="C714" t="str">
        <f>_xlfn.XLOOKUP(tblOrders[[#This Row],[CustomerID]],tblCustomers[CustomerID],tblCustomers[CustomerName],"not found")</f>
        <v>Amber Lopez</v>
      </c>
      <c r="D714">
        <f>_xlfn.XLOOKUP(tblOrders[[#This Row],[CustomerID]],tblCustomers[CustomerID],tblCustomers[Age],"not found")</f>
        <v>33</v>
      </c>
      <c r="E714" t="str">
        <f>_xlfn.XLOOKUP(tblOrders[[#This Row],[CustomerID]],tblCustomers[CustomerID],tblCustomers[Gender],"not found")</f>
        <v>Female</v>
      </c>
      <c r="F714" t="str">
        <f>_xlfn.XLOOKUP(tblOrders[[#This Row],[CustomerID]],tblCustomers[CustomerID],tblCustomers[Region],"not found")</f>
        <v>East</v>
      </c>
      <c r="G714">
        <v>1008</v>
      </c>
      <c r="H714" t="str">
        <f>_xlfn.XLOOKUP(tblOrders[[#This Row],[ProductID]],tblProducts[ProductID],tblProducts[ProductName],"not found")</f>
        <v>Deep</v>
      </c>
      <c r="I714" t="str">
        <f>_xlfn.XLOOKUP(tblOrders[[#This Row],[ProductID]],tblProducts[ProductID],tblProducts[Category],"not found")</f>
        <v>Furniture</v>
      </c>
      <c r="J714">
        <f>_xlfn.XLOOKUP(tblOrders[[#This Row],[ProductID]],tblProducts[ProductID],tblProducts[UnitPrice],"not found")</f>
        <v>81.239999999999995</v>
      </c>
      <c r="K714" t="str">
        <f>_xlfn.XLOOKUP(tblOrders[[#This Row],[ProductID]],tblProducts[ProductID],tblProducts[Supplier],"not found")</f>
        <v>Mays-Griffith</v>
      </c>
      <c r="L714" s="1">
        <v>45362</v>
      </c>
      <c r="M7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45362</v>
      </c>
      <c r="N714">
        <v>6</v>
      </c>
      <c r="O714">
        <v>487.44</v>
      </c>
      <c r="P714">
        <f>tblOrders[[#This Row],[Quantity]]*tblOrders[[#This Row],[Unit Price]]</f>
        <v>487.43999999999994</v>
      </c>
      <c r="Q714">
        <f>tblOrders[[#This Row],[TotalSales]]-tblOrders[[#This Row],[Calculated Sales]]</f>
        <v>0</v>
      </c>
    </row>
    <row r="715" spans="1:17" x14ac:dyDescent="0.25">
      <c r="A715">
        <v>1813</v>
      </c>
      <c r="B715">
        <v>86</v>
      </c>
      <c r="C715" t="str">
        <f>_xlfn.XLOOKUP(tblOrders[[#This Row],[CustomerID]],tblCustomers[CustomerID],tblCustomers[CustomerName],"not found")</f>
        <v>Ruben Simmons</v>
      </c>
      <c r="D715">
        <f>_xlfn.XLOOKUP(tblOrders[[#This Row],[CustomerID]],tblCustomers[CustomerID],tblCustomers[Age],"not found")</f>
        <v>50</v>
      </c>
      <c r="E715" t="str">
        <f>_xlfn.XLOOKUP(tblOrders[[#This Row],[CustomerID]],tblCustomers[CustomerID],tblCustomers[Gender],"not found")</f>
        <v>Female</v>
      </c>
      <c r="F715" t="str">
        <f>_xlfn.XLOOKUP(tblOrders[[#This Row],[CustomerID]],tblCustomers[CustomerID],tblCustomers[Region],"not found")</f>
        <v>East</v>
      </c>
      <c r="G715">
        <v>1008</v>
      </c>
      <c r="H715" t="str">
        <f>_xlfn.XLOOKUP(tblOrders[[#This Row],[ProductID]],tblProducts[ProductID],tblProducts[ProductName],"not found")</f>
        <v>Deep</v>
      </c>
      <c r="I715" t="str">
        <f>_xlfn.XLOOKUP(tblOrders[[#This Row],[ProductID]],tblProducts[ProductID],tblProducts[Category],"not found")</f>
        <v>Furniture</v>
      </c>
      <c r="J715">
        <f>_xlfn.XLOOKUP(tblOrders[[#This Row],[ProductID]],tblProducts[ProductID],tblProducts[UnitPrice],"not found")</f>
        <v>81.239999999999995</v>
      </c>
      <c r="K715" t="str">
        <f>_xlfn.XLOOKUP(tblOrders[[#This Row],[ProductID]],tblProducts[ProductID],tblProducts[Supplier],"not found")</f>
        <v>Mays-Griffith</v>
      </c>
      <c r="L715" s="1">
        <v>44933</v>
      </c>
      <c r="M7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44933</v>
      </c>
      <c r="N715">
        <v>5</v>
      </c>
      <c r="O715">
        <v>406.2</v>
      </c>
      <c r="P715">
        <f>tblOrders[[#This Row],[Quantity]]*tblOrders[[#This Row],[Unit Price]]</f>
        <v>406.2</v>
      </c>
      <c r="Q715">
        <f>tblOrders[[#This Row],[TotalSales]]-tblOrders[[#This Row],[Calculated Sales]]</f>
        <v>0</v>
      </c>
    </row>
    <row r="716" spans="1:17" x14ac:dyDescent="0.25">
      <c r="A716">
        <v>38</v>
      </c>
      <c r="B716">
        <v>522</v>
      </c>
      <c r="C716" t="str">
        <f>_xlfn.XLOOKUP(tblOrders[[#This Row],[CustomerID]],tblCustomers[CustomerID],tblCustomers[CustomerName],"not found")</f>
        <v>Gina Hood</v>
      </c>
      <c r="D716">
        <f>_xlfn.XLOOKUP(tblOrders[[#This Row],[CustomerID]],tblCustomers[CustomerID],tblCustomers[Age],"not found")</f>
        <v>36</v>
      </c>
      <c r="E716" t="str">
        <f>_xlfn.XLOOKUP(tblOrders[[#This Row],[CustomerID]],tblCustomers[CustomerID],tblCustomers[Gender],"not found")</f>
        <v>Male</v>
      </c>
      <c r="F716" t="str">
        <f>_xlfn.XLOOKUP(tblOrders[[#This Row],[CustomerID]],tblCustomers[CustomerID],tblCustomers[Region],"not found")</f>
        <v>East</v>
      </c>
      <c r="G716">
        <v>1059</v>
      </c>
      <c r="H716" t="str">
        <f>_xlfn.XLOOKUP(tblOrders[[#This Row],[ProductID]],tblProducts[ProductID],tblProducts[ProductName],"not found")</f>
        <v>Rise</v>
      </c>
      <c r="I716" t="str">
        <f>_xlfn.XLOOKUP(tblOrders[[#This Row],[ProductID]],tblProducts[ProductID],tblProducts[Category],"not found")</f>
        <v>Electronics</v>
      </c>
      <c r="J716">
        <f>_xlfn.XLOOKUP(tblOrders[[#This Row],[ProductID]],tblProducts[ProductID],tblProducts[UnitPrice],"not found")</f>
        <v>481.42</v>
      </c>
      <c r="K716" t="str">
        <f>_xlfn.XLOOKUP(tblOrders[[#This Row],[ProductID]],tblProducts[ProductID],tblProducts[Supplier],"not found")</f>
        <v>Landry Inc</v>
      </c>
      <c r="L716" s="1" t="s">
        <v>2064</v>
      </c>
      <c r="M7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45135</v>
      </c>
      <c r="N716">
        <v>8</v>
      </c>
      <c r="O716">
        <v>3851.36</v>
      </c>
      <c r="P716">
        <f>tblOrders[[#This Row],[Quantity]]*tblOrders[[#This Row],[Unit Price]]</f>
        <v>3851.36</v>
      </c>
      <c r="Q716">
        <f>tblOrders[[#This Row],[TotalSales]]-tblOrders[[#This Row],[Calculated Sales]]</f>
        <v>0</v>
      </c>
    </row>
    <row r="717" spans="1:17" x14ac:dyDescent="0.25">
      <c r="A717">
        <v>129</v>
      </c>
      <c r="B717">
        <v>603</v>
      </c>
      <c r="C717" t="str">
        <f>_xlfn.XLOOKUP(tblOrders[[#This Row],[CustomerID]],tblCustomers[CustomerID],tblCustomers[CustomerName],"not found")</f>
        <v>Robert Fuller</v>
      </c>
      <c r="D717">
        <f>_xlfn.XLOOKUP(tblOrders[[#This Row],[CustomerID]],tblCustomers[CustomerID],tblCustomers[Age],"not found")</f>
        <v>26</v>
      </c>
      <c r="E717" t="str">
        <f>_xlfn.XLOOKUP(tblOrders[[#This Row],[CustomerID]],tblCustomers[CustomerID],tblCustomers[Gender],"not found")</f>
        <v>Female</v>
      </c>
      <c r="F717" t="str">
        <f>_xlfn.XLOOKUP(tblOrders[[#This Row],[CustomerID]],tblCustomers[CustomerID],tblCustomers[Region],"not found")</f>
        <v>Central</v>
      </c>
      <c r="G717">
        <v>1059</v>
      </c>
      <c r="H717" t="str">
        <f>_xlfn.XLOOKUP(tblOrders[[#This Row],[ProductID]],tblProducts[ProductID],tblProducts[ProductName],"not found")</f>
        <v>Rise</v>
      </c>
      <c r="I717" t="str">
        <f>_xlfn.XLOOKUP(tblOrders[[#This Row],[ProductID]],tblProducts[ProductID],tblProducts[Category],"not found")</f>
        <v>Electronics</v>
      </c>
      <c r="J717">
        <f>_xlfn.XLOOKUP(tblOrders[[#This Row],[ProductID]],tblProducts[ProductID],tblProducts[UnitPrice],"not found")</f>
        <v>481.42</v>
      </c>
      <c r="K717" t="str">
        <f>_xlfn.XLOOKUP(tblOrders[[#This Row],[ProductID]],tblProducts[ProductID],tblProducts[Supplier],"not found")</f>
        <v>Landry Inc</v>
      </c>
      <c r="L717" s="1" t="s">
        <v>2240</v>
      </c>
      <c r="M7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45037</v>
      </c>
      <c r="N717">
        <v>5</v>
      </c>
      <c r="O717">
        <v>2407.1</v>
      </c>
      <c r="P717">
        <f>tblOrders[[#This Row],[Quantity]]*tblOrders[[#This Row],[Unit Price]]</f>
        <v>2407.1</v>
      </c>
      <c r="Q717">
        <f>tblOrders[[#This Row],[TotalSales]]-tblOrders[[#This Row],[Calculated Sales]]</f>
        <v>0</v>
      </c>
    </row>
    <row r="718" spans="1:17" x14ac:dyDescent="0.25">
      <c r="A718">
        <v>225</v>
      </c>
      <c r="B718">
        <v>19</v>
      </c>
      <c r="C718" t="str">
        <f>_xlfn.XLOOKUP(tblOrders[[#This Row],[CustomerID]],tblCustomers[CustomerID],tblCustomers[CustomerName],"not found")</f>
        <v>Brenda Williams</v>
      </c>
      <c r="D718">
        <f>_xlfn.XLOOKUP(tblOrders[[#This Row],[CustomerID]],tblCustomers[CustomerID],tblCustomers[Age],"not found")</f>
        <v>39</v>
      </c>
      <c r="E718" t="str">
        <f>_xlfn.XLOOKUP(tblOrders[[#This Row],[CustomerID]],tblCustomers[CustomerID],tblCustomers[Gender],"not found")</f>
        <v>Male</v>
      </c>
      <c r="F718" t="str">
        <f>_xlfn.XLOOKUP(tblOrders[[#This Row],[CustomerID]],tblCustomers[CustomerID],tblCustomers[Region],"not found")</f>
        <v>East</v>
      </c>
      <c r="G718">
        <v>1059</v>
      </c>
      <c r="H718" t="str">
        <f>_xlfn.XLOOKUP(tblOrders[[#This Row],[ProductID]],tblProducts[ProductID],tblProducts[ProductName],"not found")</f>
        <v>Rise</v>
      </c>
      <c r="I718" t="str">
        <f>_xlfn.XLOOKUP(tblOrders[[#This Row],[ProductID]],tblProducts[ProductID],tblProducts[Category],"not found")</f>
        <v>Electronics</v>
      </c>
      <c r="J718">
        <f>_xlfn.XLOOKUP(tblOrders[[#This Row],[ProductID]],tblProducts[ProductID],tblProducts[UnitPrice],"not found")</f>
        <v>481.42</v>
      </c>
      <c r="K718" t="str">
        <f>_xlfn.XLOOKUP(tblOrders[[#This Row],[ProductID]],tblProducts[ProductID],tblProducts[Supplier],"not found")</f>
        <v>Landry Inc</v>
      </c>
      <c r="L718" s="1" t="s">
        <v>2282</v>
      </c>
      <c r="M7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44889</v>
      </c>
      <c r="N718">
        <v>3</v>
      </c>
      <c r="O718">
        <v>1444.26</v>
      </c>
      <c r="P718">
        <f>tblOrders[[#This Row],[Quantity]]*tblOrders[[#This Row],[Unit Price]]</f>
        <v>1444.26</v>
      </c>
      <c r="Q718">
        <f>tblOrders[[#This Row],[TotalSales]]-tblOrders[[#This Row],[Calculated Sales]]</f>
        <v>0</v>
      </c>
    </row>
    <row r="719" spans="1:17" x14ac:dyDescent="0.25">
      <c r="A719">
        <v>338</v>
      </c>
      <c r="B719">
        <v>511</v>
      </c>
      <c r="C719" t="str">
        <f>_xlfn.XLOOKUP(tblOrders[[#This Row],[CustomerID]],tblCustomers[CustomerID],tblCustomers[CustomerName],"not found")</f>
        <v>Karina Gomez</v>
      </c>
      <c r="D719">
        <f>_xlfn.XLOOKUP(tblOrders[[#This Row],[CustomerID]],tblCustomers[CustomerID],tblCustomers[Age],"not found")</f>
        <v>19</v>
      </c>
      <c r="E719" t="str">
        <f>_xlfn.XLOOKUP(tblOrders[[#This Row],[CustomerID]],tblCustomers[CustomerID],tblCustomers[Gender],"not found")</f>
        <v>Male</v>
      </c>
      <c r="F719" t="str">
        <f>_xlfn.XLOOKUP(tblOrders[[#This Row],[CustomerID]],tblCustomers[CustomerID],tblCustomers[Region],"not found")</f>
        <v>South</v>
      </c>
      <c r="G719">
        <v>1059</v>
      </c>
      <c r="H719" t="str">
        <f>_xlfn.XLOOKUP(tblOrders[[#This Row],[ProductID]],tblProducts[ProductID],tblProducts[ProductName],"not found")</f>
        <v>Rise</v>
      </c>
      <c r="I719" t="str">
        <f>_xlfn.XLOOKUP(tblOrders[[#This Row],[ProductID]],tblProducts[ProductID],tblProducts[Category],"not found")</f>
        <v>Electronics</v>
      </c>
      <c r="J719">
        <f>_xlfn.XLOOKUP(tblOrders[[#This Row],[ProductID]],tblProducts[ProductID],tblProducts[UnitPrice],"not found")</f>
        <v>481.42</v>
      </c>
      <c r="K719" t="str">
        <f>_xlfn.XLOOKUP(tblOrders[[#This Row],[ProductID]],tblProducts[ProductID],tblProducts[Supplier],"not found")</f>
        <v>Landry Inc</v>
      </c>
      <c r="L719" s="1" t="s">
        <v>2283</v>
      </c>
      <c r="M7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45099</v>
      </c>
      <c r="N719">
        <v>9</v>
      </c>
      <c r="O719">
        <v>4332.78</v>
      </c>
      <c r="P719">
        <f>tblOrders[[#This Row],[Quantity]]*tblOrders[[#This Row],[Unit Price]]</f>
        <v>4332.78</v>
      </c>
      <c r="Q719">
        <f>tblOrders[[#This Row],[TotalSales]]-tblOrders[[#This Row],[Calculated Sales]]</f>
        <v>0</v>
      </c>
    </row>
    <row r="720" spans="1:17" x14ac:dyDescent="0.25">
      <c r="A720">
        <v>390</v>
      </c>
      <c r="B720">
        <v>273</v>
      </c>
      <c r="C720" t="str">
        <f>_xlfn.XLOOKUP(tblOrders[[#This Row],[CustomerID]],tblCustomers[CustomerID],tblCustomers[CustomerName],"not found")</f>
        <v>Mr. Ryan Pitts</v>
      </c>
      <c r="D720">
        <f>_xlfn.XLOOKUP(tblOrders[[#This Row],[CustomerID]],tblCustomers[CustomerID],tblCustomers[Age],"not found")</f>
        <v>69</v>
      </c>
      <c r="E720" t="str">
        <f>_xlfn.XLOOKUP(tblOrders[[#This Row],[CustomerID]],tblCustomers[CustomerID],tblCustomers[Gender],"not found")</f>
        <v>Female</v>
      </c>
      <c r="F720" t="str">
        <f>_xlfn.XLOOKUP(tblOrders[[#This Row],[CustomerID]],tblCustomers[CustomerID],tblCustomers[Region],"not found")</f>
        <v>West</v>
      </c>
      <c r="G720">
        <v>1059</v>
      </c>
      <c r="H720" t="str">
        <f>_xlfn.XLOOKUP(tblOrders[[#This Row],[ProductID]],tblProducts[ProductID],tblProducts[ProductName],"not found")</f>
        <v>Rise</v>
      </c>
      <c r="I720" t="str">
        <f>_xlfn.XLOOKUP(tblOrders[[#This Row],[ProductID]],tblProducts[ProductID],tblProducts[Category],"not found")</f>
        <v>Electronics</v>
      </c>
      <c r="J720">
        <f>_xlfn.XLOOKUP(tblOrders[[#This Row],[ProductID]],tblProducts[ProductID],tblProducts[UnitPrice],"not found")</f>
        <v>481.42</v>
      </c>
      <c r="K720" t="str">
        <f>_xlfn.XLOOKUP(tblOrders[[#This Row],[ProductID]],tblProducts[ProductID],tblProducts[Supplier],"not found")</f>
        <v>Landry Inc</v>
      </c>
      <c r="L720" s="1">
        <v>45418</v>
      </c>
      <c r="M7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45418</v>
      </c>
      <c r="N720">
        <v>6</v>
      </c>
      <c r="O720">
        <v>2888.52</v>
      </c>
      <c r="P720">
        <f>tblOrders[[#This Row],[Quantity]]*tblOrders[[#This Row],[Unit Price]]</f>
        <v>2888.52</v>
      </c>
      <c r="Q720">
        <f>tblOrders[[#This Row],[TotalSales]]-tblOrders[[#This Row],[Calculated Sales]]</f>
        <v>0</v>
      </c>
    </row>
    <row r="721" spans="1:17" x14ac:dyDescent="0.25">
      <c r="A721">
        <v>525</v>
      </c>
      <c r="B721">
        <v>621</v>
      </c>
      <c r="C721" t="str">
        <f>_xlfn.XLOOKUP(tblOrders[[#This Row],[CustomerID]],tblCustomers[CustomerID],tblCustomers[CustomerName],"not found")</f>
        <v>Maria Gutierrez</v>
      </c>
      <c r="D721">
        <f>_xlfn.XLOOKUP(tblOrders[[#This Row],[CustomerID]],tblCustomers[CustomerID],tblCustomers[Age],"not found")</f>
        <v>37</v>
      </c>
      <c r="E721" t="str">
        <f>_xlfn.XLOOKUP(tblOrders[[#This Row],[CustomerID]],tblCustomers[CustomerID],tblCustomers[Gender],"not found")</f>
        <v>Female</v>
      </c>
      <c r="F721" t="str">
        <f>_xlfn.XLOOKUP(tblOrders[[#This Row],[CustomerID]],tblCustomers[CustomerID],tblCustomers[Region],"not found")</f>
        <v>North</v>
      </c>
      <c r="G721">
        <v>1059</v>
      </c>
      <c r="H721" t="str">
        <f>_xlfn.XLOOKUP(tblOrders[[#This Row],[ProductID]],tblProducts[ProductID],tblProducts[ProductName],"not found")</f>
        <v>Rise</v>
      </c>
      <c r="I721" t="str">
        <f>_xlfn.XLOOKUP(tblOrders[[#This Row],[ProductID]],tblProducts[ProductID],tblProducts[Category],"not found")</f>
        <v>Electronics</v>
      </c>
      <c r="J721">
        <f>_xlfn.XLOOKUP(tblOrders[[#This Row],[ProductID]],tblProducts[ProductID],tblProducts[UnitPrice],"not found")</f>
        <v>481.42</v>
      </c>
      <c r="K721" t="str">
        <f>_xlfn.XLOOKUP(tblOrders[[#This Row],[ProductID]],tblProducts[ProductID],tblProducts[Supplier],"not found")</f>
        <v>Landry Inc</v>
      </c>
      <c r="L721" s="1" t="s">
        <v>2284</v>
      </c>
      <c r="M7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44893</v>
      </c>
      <c r="N721">
        <v>3</v>
      </c>
      <c r="O721">
        <v>1444.26</v>
      </c>
      <c r="P721">
        <f>tblOrders[[#This Row],[Quantity]]*tblOrders[[#This Row],[Unit Price]]</f>
        <v>1444.26</v>
      </c>
      <c r="Q721">
        <f>tblOrders[[#This Row],[TotalSales]]-tblOrders[[#This Row],[Calculated Sales]]</f>
        <v>0</v>
      </c>
    </row>
    <row r="722" spans="1:17" x14ac:dyDescent="0.25">
      <c r="A722">
        <v>657</v>
      </c>
      <c r="B722">
        <v>255</v>
      </c>
      <c r="C722" t="str">
        <f>_xlfn.XLOOKUP(tblOrders[[#This Row],[CustomerID]],tblCustomers[CustomerID],tblCustomers[CustomerName],"not found")</f>
        <v>Amber Mann DVM</v>
      </c>
      <c r="D722">
        <f>_xlfn.XLOOKUP(tblOrders[[#This Row],[CustomerID]],tblCustomers[CustomerID],tblCustomers[Age],"not found")</f>
        <v>25</v>
      </c>
      <c r="E722" t="str">
        <f>_xlfn.XLOOKUP(tblOrders[[#This Row],[CustomerID]],tblCustomers[CustomerID],tblCustomers[Gender],"not found")</f>
        <v>Male</v>
      </c>
      <c r="F722" t="str">
        <f>_xlfn.XLOOKUP(tblOrders[[#This Row],[CustomerID]],tblCustomers[CustomerID],tblCustomers[Region],"not found")</f>
        <v>Central</v>
      </c>
      <c r="G722">
        <v>1059</v>
      </c>
      <c r="H722" t="str">
        <f>_xlfn.XLOOKUP(tblOrders[[#This Row],[ProductID]],tblProducts[ProductID],tblProducts[ProductName],"not found")</f>
        <v>Rise</v>
      </c>
      <c r="I722" t="str">
        <f>_xlfn.XLOOKUP(tblOrders[[#This Row],[ProductID]],tblProducts[ProductID],tblProducts[Category],"not found")</f>
        <v>Electronics</v>
      </c>
      <c r="J722">
        <f>_xlfn.XLOOKUP(tblOrders[[#This Row],[ProductID]],tblProducts[ProductID],tblProducts[UnitPrice],"not found")</f>
        <v>481.42</v>
      </c>
      <c r="K722" t="str">
        <f>_xlfn.XLOOKUP(tblOrders[[#This Row],[ProductID]],tblProducts[ProductID],tblProducts[Supplier],"not found")</f>
        <v>Landry Inc</v>
      </c>
      <c r="L722" s="1">
        <v>45116</v>
      </c>
      <c r="M7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45116</v>
      </c>
      <c r="N722">
        <v>9</v>
      </c>
      <c r="O722">
        <v>4332.78</v>
      </c>
      <c r="P722">
        <f>tblOrders[[#This Row],[Quantity]]*tblOrders[[#This Row],[Unit Price]]</f>
        <v>4332.78</v>
      </c>
      <c r="Q722">
        <f>tblOrders[[#This Row],[TotalSales]]-tblOrders[[#This Row],[Calculated Sales]]</f>
        <v>0</v>
      </c>
    </row>
    <row r="723" spans="1:17" x14ac:dyDescent="0.25">
      <c r="A723">
        <v>761</v>
      </c>
      <c r="B723">
        <v>419</v>
      </c>
      <c r="C723" t="str">
        <f>_xlfn.XLOOKUP(tblOrders[[#This Row],[CustomerID]],tblCustomers[CustomerID],tblCustomers[CustomerName],"not found")</f>
        <v>Jordan Berry</v>
      </c>
      <c r="D723">
        <f>_xlfn.XLOOKUP(tblOrders[[#This Row],[CustomerID]],tblCustomers[CustomerID],tblCustomers[Age],"not found")</f>
        <v>65</v>
      </c>
      <c r="E723" t="str">
        <f>_xlfn.XLOOKUP(tblOrders[[#This Row],[CustomerID]],tblCustomers[CustomerID],tblCustomers[Gender],"not found")</f>
        <v>Female</v>
      </c>
      <c r="F723" t="str">
        <f>_xlfn.XLOOKUP(tblOrders[[#This Row],[CustomerID]],tblCustomers[CustomerID],tblCustomers[Region],"not found")</f>
        <v>Central</v>
      </c>
      <c r="G723">
        <v>1059</v>
      </c>
      <c r="H723" t="str">
        <f>_xlfn.XLOOKUP(tblOrders[[#This Row],[ProductID]],tblProducts[ProductID],tblProducts[ProductName],"not found")</f>
        <v>Rise</v>
      </c>
      <c r="I723" t="str">
        <f>_xlfn.XLOOKUP(tblOrders[[#This Row],[ProductID]],tblProducts[ProductID],tblProducts[Category],"not found")</f>
        <v>Electronics</v>
      </c>
      <c r="J723">
        <f>_xlfn.XLOOKUP(tblOrders[[#This Row],[ProductID]],tblProducts[ProductID],tblProducts[UnitPrice],"not found")</f>
        <v>481.42</v>
      </c>
      <c r="K723" t="str">
        <f>_xlfn.XLOOKUP(tblOrders[[#This Row],[ProductID]],tblProducts[ProductID],tblProducts[Supplier],"not found")</f>
        <v>Landry Inc</v>
      </c>
      <c r="L723" s="1" t="s">
        <v>2239</v>
      </c>
      <c r="M7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45155</v>
      </c>
      <c r="N723">
        <v>6</v>
      </c>
      <c r="O723">
        <v>2888.52</v>
      </c>
      <c r="P723">
        <f>tblOrders[[#This Row],[Quantity]]*tblOrders[[#This Row],[Unit Price]]</f>
        <v>2888.52</v>
      </c>
      <c r="Q723">
        <f>tblOrders[[#This Row],[TotalSales]]-tblOrders[[#This Row],[Calculated Sales]]</f>
        <v>0</v>
      </c>
    </row>
    <row r="724" spans="1:17" x14ac:dyDescent="0.25">
      <c r="A724">
        <v>1092</v>
      </c>
      <c r="B724">
        <v>191</v>
      </c>
      <c r="C724" t="str">
        <f>_xlfn.XLOOKUP(tblOrders[[#This Row],[CustomerID]],tblCustomers[CustomerID],tblCustomers[CustomerName],"not found")</f>
        <v>Deanna Suarez</v>
      </c>
      <c r="D724">
        <f>_xlfn.XLOOKUP(tblOrders[[#This Row],[CustomerID]],tblCustomers[CustomerID],tblCustomers[Age],"not found")</f>
        <v>21</v>
      </c>
      <c r="E724" t="str">
        <f>_xlfn.XLOOKUP(tblOrders[[#This Row],[CustomerID]],tblCustomers[CustomerID],tblCustomers[Gender],"not found")</f>
        <v>Male</v>
      </c>
      <c r="F724" t="str">
        <f>_xlfn.XLOOKUP(tblOrders[[#This Row],[CustomerID]],tblCustomers[CustomerID],tblCustomers[Region],"not found")</f>
        <v>East</v>
      </c>
      <c r="G724">
        <v>1059</v>
      </c>
      <c r="H724" t="str">
        <f>_xlfn.XLOOKUP(tblOrders[[#This Row],[ProductID]],tblProducts[ProductID],tblProducts[ProductName],"not found")</f>
        <v>Rise</v>
      </c>
      <c r="I724" t="str">
        <f>_xlfn.XLOOKUP(tblOrders[[#This Row],[ProductID]],tblProducts[ProductID],tblProducts[Category],"not found")</f>
        <v>Electronics</v>
      </c>
      <c r="J724">
        <f>_xlfn.XLOOKUP(tblOrders[[#This Row],[ProductID]],tblProducts[ProductID],tblProducts[UnitPrice],"not found")</f>
        <v>481.42</v>
      </c>
      <c r="K724" t="str">
        <f>_xlfn.XLOOKUP(tblOrders[[#This Row],[ProductID]],tblProducts[ProductID],tblProducts[Supplier],"not found")</f>
        <v>Landry Inc</v>
      </c>
      <c r="L724" s="1" t="s">
        <v>2130</v>
      </c>
      <c r="M7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724">
        <v>6</v>
      </c>
      <c r="O724">
        <v>2888.52</v>
      </c>
      <c r="P724">
        <f>tblOrders[[#This Row],[Quantity]]*tblOrders[[#This Row],[Unit Price]]</f>
        <v>2888.52</v>
      </c>
      <c r="Q724">
        <f>tblOrders[[#This Row],[TotalSales]]-tblOrders[[#This Row],[Calculated Sales]]</f>
        <v>0</v>
      </c>
    </row>
    <row r="725" spans="1:17" x14ac:dyDescent="0.25">
      <c r="A725">
        <v>1102</v>
      </c>
      <c r="B725">
        <v>404</v>
      </c>
      <c r="C725" t="str">
        <f>_xlfn.XLOOKUP(tblOrders[[#This Row],[CustomerID]],tblCustomers[CustomerID],tblCustomers[CustomerName],"not found")</f>
        <v>Nancy Schneider</v>
      </c>
      <c r="D725">
        <f>_xlfn.XLOOKUP(tblOrders[[#This Row],[CustomerID]],tblCustomers[CustomerID],tblCustomers[Age],"not found")</f>
        <v>45</v>
      </c>
      <c r="E725" t="str">
        <f>_xlfn.XLOOKUP(tblOrders[[#This Row],[CustomerID]],tblCustomers[CustomerID],tblCustomers[Gender],"not found")</f>
        <v>Female</v>
      </c>
      <c r="F725" t="str">
        <f>_xlfn.XLOOKUP(tblOrders[[#This Row],[CustomerID]],tblCustomers[CustomerID],tblCustomers[Region],"not found")</f>
        <v>South</v>
      </c>
      <c r="G725">
        <v>1059</v>
      </c>
      <c r="H725" t="str">
        <f>_xlfn.XLOOKUP(tblOrders[[#This Row],[ProductID]],tblProducts[ProductID],tblProducts[ProductName],"not found")</f>
        <v>Rise</v>
      </c>
      <c r="I725" t="str">
        <f>_xlfn.XLOOKUP(tblOrders[[#This Row],[ProductID]],tblProducts[ProductID],tblProducts[Category],"not found")</f>
        <v>Electronics</v>
      </c>
      <c r="J725">
        <f>_xlfn.XLOOKUP(tblOrders[[#This Row],[ProductID]],tblProducts[ProductID],tblProducts[UnitPrice],"not found")</f>
        <v>481.42</v>
      </c>
      <c r="K725" t="str">
        <f>_xlfn.XLOOKUP(tblOrders[[#This Row],[ProductID]],tblProducts[ProductID],tblProducts[Supplier],"not found")</f>
        <v>Landry Inc</v>
      </c>
      <c r="L725" s="1" t="s">
        <v>2285</v>
      </c>
      <c r="M7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44909</v>
      </c>
      <c r="N725">
        <v>3</v>
      </c>
      <c r="O725">
        <v>1444.26</v>
      </c>
      <c r="P725">
        <f>tblOrders[[#This Row],[Quantity]]*tblOrders[[#This Row],[Unit Price]]</f>
        <v>1444.26</v>
      </c>
      <c r="Q725">
        <f>tblOrders[[#This Row],[TotalSales]]-tblOrders[[#This Row],[Calculated Sales]]</f>
        <v>0</v>
      </c>
    </row>
    <row r="726" spans="1:17" x14ac:dyDescent="0.25">
      <c r="A726">
        <v>1271</v>
      </c>
      <c r="B726">
        <v>997</v>
      </c>
      <c r="C726" t="str">
        <f>_xlfn.XLOOKUP(tblOrders[[#This Row],[CustomerID]],tblCustomers[CustomerID],tblCustomers[CustomerName],"not found")</f>
        <v>Alison Ward</v>
      </c>
      <c r="D726">
        <f>_xlfn.XLOOKUP(tblOrders[[#This Row],[CustomerID]],tblCustomers[CustomerID],tblCustomers[Age],"not found")</f>
        <v>41</v>
      </c>
      <c r="E726" t="str">
        <f>_xlfn.XLOOKUP(tblOrders[[#This Row],[CustomerID]],tblCustomers[CustomerID],tblCustomers[Gender],"not found")</f>
        <v>Male</v>
      </c>
      <c r="F726" t="str">
        <f>_xlfn.XLOOKUP(tblOrders[[#This Row],[CustomerID]],tblCustomers[CustomerID],tblCustomers[Region],"not found")</f>
        <v>South</v>
      </c>
      <c r="G726">
        <v>1059</v>
      </c>
      <c r="H726" t="str">
        <f>_xlfn.XLOOKUP(tblOrders[[#This Row],[ProductID]],tblProducts[ProductID],tblProducts[ProductName],"not found")</f>
        <v>Rise</v>
      </c>
      <c r="I726" t="str">
        <f>_xlfn.XLOOKUP(tblOrders[[#This Row],[ProductID]],tblProducts[ProductID],tblProducts[Category],"not found")</f>
        <v>Electronics</v>
      </c>
      <c r="J726">
        <f>_xlfn.XLOOKUP(tblOrders[[#This Row],[ProductID]],tblProducts[ProductID],tblProducts[UnitPrice],"not found")</f>
        <v>481.42</v>
      </c>
      <c r="K726" t="str">
        <f>_xlfn.XLOOKUP(tblOrders[[#This Row],[ProductID]],tblProducts[ProductID],tblProducts[Supplier],"not found")</f>
        <v>Landry Inc</v>
      </c>
      <c r="L726" s="1">
        <v>44938</v>
      </c>
      <c r="M7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44938</v>
      </c>
      <c r="N726">
        <v>7</v>
      </c>
      <c r="O726">
        <v>3369.94</v>
      </c>
      <c r="P726">
        <f>tblOrders[[#This Row],[Quantity]]*tblOrders[[#This Row],[Unit Price]]</f>
        <v>3369.94</v>
      </c>
      <c r="Q726">
        <f>tblOrders[[#This Row],[TotalSales]]-tblOrders[[#This Row],[Calculated Sales]]</f>
        <v>0</v>
      </c>
    </row>
    <row r="727" spans="1:17" x14ac:dyDescent="0.25">
      <c r="A727">
        <v>1396</v>
      </c>
      <c r="B727">
        <v>277</v>
      </c>
      <c r="C727" t="str">
        <f>_xlfn.XLOOKUP(tblOrders[[#This Row],[CustomerID]],tblCustomers[CustomerID],tblCustomers[CustomerName],"not found")</f>
        <v>Yolanda White</v>
      </c>
      <c r="D727">
        <f>_xlfn.XLOOKUP(tblOrders[[#This Row],[CustomerID]],tblCustomers[CustomerID],tblCustomers[Age],"not found")</f>
        <v>65</v>
      </c>
      <c r="E727" t="str">
        <f>_xlfn.XLOOKUP(tblOrders[[#This Row],[CustomerID]],tblCustomers[CustomerID],tblCustomers[Gender],"not found")</f>
        <v>Female</v>
      </c>
      <c r="F727" t="str">
        <f>_xlfn.XLOOKUP(tblOrders[[#This Row],[CustomerID]],tblCustomers[CustomerID],tblCustomers[Region],"not found")</f>
        <v>South</v>
      </c>
      <c r="G727">
        <v>1059</v>
      </c>
      <c r="H727" t="str">
        <f>_xlfn.XLOOKUP(tblOrders[[#This Row],[ProductID]],tblProducts[ProductID],tblProducts[ProductName],"not found")</f>
        <v>Rise</v>
      </c>
      <c r="I727" t="str">
        <f>_xlfn.XLOOKUP(tblOrders[[#This Row],[ProductID]],tblProducts[ProductID],tblProducts[Category],"not found")</f>
        <v>Electronics</v>
      </c>
      <c r="J727">
        <f>_xlfn.XLOOKUP(tblOrders[[#This Row],[ProductID]],tblProducts[ProductID],tblProducts[UnitPrice],"not found")</f>
        <v>481.42</v>
      </c>
      <c r="K727" t="str">
        <f>_xlfn.XLOOKUP(tblOrders[[#This Row],[ProductID]],tblProducts[ProductID],tblProducts[Supplier],"not found")</f>
        <v>Landry Inc</v>
      </c>
      <c r="L727" s="1">
        <v>45206</v>
      </c>
      <c r="M7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45206</v>
      </c>
      <c r="N727">
        <v>4</v>
      </c>
      <c r="O727">
        <v>1925.68</v>
      </c>
      <c r="P727">
        <f>tblOrders[[#This Row],[Quantity]]*tblOrders[[#This Row],[Unit Price]]</f>
        <v>1925.68</v>
      </c>
      <c r="Q727">
        <f>tblOrders[[#This Row],[TotalSales]]-tblOrders[[#This Row],[Calculated Sales]]</f>
        <v>0</v>
      </c>
    </row>
    <row r="728" spans="1:17" x14ac:dyDescent="0.25">
      <c r="A728">
        <v>1583</v>
      </c>
      <c r="B728">
        <v>941</v>
      </c>
      <c r="C728" t="str">
        <f>_xlfn.XLOOKUP(tblOrders[[#This Row],[CustomerID]],tblCustomers[CustomerID],tblCustomers[CustomerName],"not found")</f>
        <v>Deanna Barrett</v>
      </c>
      <c r="D728">
        <f>_xlfn.XLOOKUP(tblOrders[[#This Row],[CustomerID]],tblCustomers[CustomerID],tblCustomers[Age],"not found")</f>
        <v>50</v>
      </c>
      <c r="E728" t="str">
        <f>_xlfn.XLOOKUP(tblOrders[[#This Row],[CustomerID]],tblCustomers[CustomerID],tblCustomers[Gender],"not found")</f>
        <v>Female</v>
      </c>
      <c r="F728" t="str">
        <f>_xlfn.XLOOKUP(tblOrders[[#This Row],[CustomerID]],tblCustomers[CustomerID],tblCustomers[Region],"not found")</f>
        <v>South</v>
      </c>
      <c r="G728">
        <v>1059</v>
      </c>
      <c r="H728" t="str">
        <f>_xlfn.XLOOKUP(tblOrders[[#This Row],[ProductID]],tblProducts[ProductID],tblProducts[ProductName],"not found")</f>
        <v>Rise</v>
      </c>
      <c r="I728" t="str">
        <f>_xlfn.XLOOKUP(tblOrders[[#This Row],[ProductID]],tblProducts[ProductID],tblProducts[Category],"not found")</f>
        <v>Electronics</v>
      </c>
      <c r="J728">
        <f>_xlfn.XLOOKUP(tblOrders[[#This Row],[ProductID]],tblProducts[ProductID],tblProducts[UnitPrice],"not found")</f>
        <v>481.42</v>
      </c>
      <c r="K728" t="str">
        <f>_xlfn.XLOOKUP(tblOrders[[#This Row],[ProductID]],tblProducts[ProductID],tblProducts[Supplier],"not found")</f>
        <v>Landry Inc</v>
      </c>
      <c r="L728" s="1" t="s">
        <v>2119</v>
      </c>
      <c r="M7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44979</v>
      </c>
      <c r="N728">
        <v>3</v>
      </c>
      <c r="O728">
        <v>1444.26</v>
      </c>
      <c r="P728">
        <f>tblOrders[[#This Row],[Quantity]]*tblOrders[[#This Row],[Unit Price]]</f>
        <v>1444.26</v>
      </c>
      <c r="Q728">
        <f>tblOrders[[#This Row],[TotalSales]]-tblOrders[[#This Row],[Calculated Sales]]</f>
        <v>0</v>
      </c>
    </row>
    <row r="729" spans="1:17" x14ac:dyDescent="0.25">
      <c r="A729">
        <v>1597</v>
      </c>
      <c r="B729">
        <v>748</v>
      </c>
      <c r="C729" t="str">
        <f>_xlfn.XLOOKUP(tblOrders[[#This Row],[CustomerID]],tblCustomers[CustomerID],tblCustomers[CustomerName],"not found")</f>
        <v>Heather Carter</v>
      </c>
      <c r="D729">
        <f>_xlfn.XLOOKUP(tblOrders[[#This Row],[CustomerID]],tblCustomers[CustomerID],tblCustomers[Age],"not found")</f>
        <v>37</v>
      </c>
      <c r="E729" t="str">
        <f>_xlfn.XLOOKUP(tblOrders[[#This Row],[CustomerID]],tblCustomers[CustomerID],tblCustomers[Gender],"not found")</f>
        <v>Male</v>
      </c>
      <c r="F729" t="str">
        <f>_xlfn.XLOOKUP(tblOrders[[#This Row],[CustomerID]],tblCustomers[CustomerID],tblCustomers[Region],"not found")</f>
        <v>Central</v>
      </c>
      <c r="G729">
        <v>1059</v>
      </c>
      <c r="H729" t="str">
        <f>_xlfn.XLOOKUP(tblOrders[[#This Row],[ProductID]],tblProducts[ProductID],tblProducts[ProductName],"not found")</f>
        <v>Rise</v>
      </c>
      <c r="I729" t="str">
        <f>_xlfn.XLOOKUP(tblOrders[[#This Row],[ProductID]],tblProducts[ProductID],tblProducts[Category],"not found")</f>
        <v>Electronics</v>
      </c>
      <c r="J729">
        <f>_xlfn.XLOOKUP(tblOrders[[#This Row],[ProductID]],tblProducts[ProductID],tblProducts[UnitPrice],"not found")</f>
        <v>481.42</v>
      </c>
      <c r="K729" t="str">
        <f>_xlfn.XLOOKUP(tblOrders[[#This Row],[ProductID]],tblProducts[ProductID],tblProducts[Supplier],"not found")</f>
        <v>Landry Inc</v>
      </c>
      <c r="L729" s="1">
        <v>44724</v>
      </c>
      <c r="M7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44724</v>
      </c>
      <c r="N729">
        <v>7</v>
      </c>
      <c r="O729">
        <v>3369.94</v>
      </c>
      <c r="P729">
        <f>tblOrders[[#This Row],[Quantity]]*tblOrders[[#This Row],[Unit Price]]</f>
        <v>3369.94</v>
      </c>
      <c r="Q729">
        <f>tblOrders[[#This Row],[TotalSales]]-tblOrders[[#This Row],[Calculated Sales]]</f>
        <v>0</v>
      </c>
    </row>
    <row r="730" spans="1:17" x14ac:dyDescent="0.25">
      <c r="A730">
        <v>1601</v>
      </c>
      <c r="B730">
        <v>587</v>
      </c>
      <c r="C730" t="str">
        <f>_xlfn.XLOOKUP(tblOrders[[#This Row],[CustomerID]],tblCustomers[CustomerID],tblCustomers[CustomerName],"not found")</f>
        <v>Allison Rodriguez</v>
      </c>
      <c r="D730">
        <f>_xlfn.XLOOKUP(tblOrders[[#This Row],[CustomerID]],tblCustomers[CustomerID],tblCustomers[Age],"not found")</f>
        <v>61</v>
      </c>
      <c r="E730" t="str">
        <f>_xlfn.XLOOKUP(tblOrders[[#This Row],[CustomerID]],tblCustomers[CustomerID],tblCustomers[Gender],"not found")</f>
        <v>Female</v>
      </c>
      <c r="F730" t="str">
        <f>_xlfn.XLOOKUP(tblOrders[[#This Row],[CustomerID]],tblCustomers[CustomerID],tblCustomers[Region],"not found")</f>
        <v>Central</v>
      </c>
      <c r="G730">
        <v>1059</v>
      </c>
      <c r="H730" t="str">
        <f>_xlfn.XLOOKUP(tblOrders[[#This Row],[ProductID]],tblProducts[ProductID],tblProducts[ProductName],"not found")</f>
        <v>Rise</v>
      </c>
      <c r="I730" t="str">
        <f>_xlfn.XLOOKUP(tblOrders[[#This Row],[ProductID]],tblProducts[ProductID],tblProducts[Category],"not found")</f>
        <v>Electronics</v>
      </c>
      <c r="J730">
        <f>_xlfn.XLOOKUP(tblOrders[[#This Row],[ProductID]],tblProducts[ProductID],tblProducts[UnitPrice],"not found")</f>
        <v>481.42</v>
      </c>
      <c r="K730" t="str">
        <f>_xlfn.XLOOKUP(tblOrders[[#This Row],[ProductID]],tblProducts[ProductID],tblProducts[Supplier],"not found")</f>
        <v>Landry Inc</v>
      </c>
      <c r="L730" s="1" t="s">
        <v>2059</v>
      </c>
      <c r="M7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45290</v>
      </c>
      <c r="N730">
        <v>3</v>
      </c>
      <c r="O730">
        <v>1444.26</v>
      </c>
      <c r="P730">
        <f>tblOrders[[#This Row],[Quantity]]*tblOrders[[#This Row],[Unit Price]]</f>
        <v>1444.26</v>
      </c>
      <c r="Q730">
        <f>tblOrders[[#This Row],[TotalSales]]-tblOrders[[#This Row],[Calculated Sales]]</f>
        <v>0</v>
      </c>
    </row>
    <row r="731" spans="1:17" x14ac:dyDescent="0.25">
      <c r="A731">
        <v>1715</v>
      </c>
      <c r="B731">
        <v>502</v>
      </c>
      <c r="C731" t="str">
        <f>_xlfn.XLOOKUP(tblOrders[[#This Row],[CustomerID]],tblCustomers[CustomerID],tblCustomers[CustomerName],"not found")</f>
        <v>Larry Brown</v>
      </c>
      <c r="D731">
        <f>_xlfn.XLOOKUP(tblOrders[[#This Row],[CustomerID]],tblCustomers[CustomerID],tblCustomers[Age],"not found")</f>
        <v>24</v>
      </c>
      <c r="E731" t="str">
        <f>_xlfn.XLOOKUP(tblOrders[[#This Row],[CustomerID]],tblCustomers[CustomerID],tblCustomers[Gender],"not found")</f>
        <v>Female</v>
      </c>
      <c r="F731" t="str">
        <f>_xlfn.XLOOKUP(tblOrders[[#This Row],[CustomerID]],tblCustomers[CustomerID],tblCustomers[Region],"not found")</f>
        <v>North</v>
      </c>
      <c r="G731">
        <v>1059</v>
      </c>
      <c r="H731" t="str">
        <f>_xlfn.XLOOKUP(tblOrders[[#This Row],[ProductID]],tblProducts[ProductID],tblProducts[ProductName],"not found")</f>
        <v>Rise</v>
      </c>
      <c r="I731" t="str">
        <f>_xlfn.XLOOKUP(tblOrders[[#This Row],[ProductID]],tblProducts[ProductID],tblProducts[Category],"not found")</f>
        <v>Electronics</v>
      </c>
      <c r="J731">
        <f>_xlfn.XLOOKUP(tblOrders[[#This Row],[ProductID]],tblProducts[ProductID],tblProducts[UnitPrice],"not found")</f>
        <v>481.42</v>
      </c>
      <c r="K731" t="str">
        <f>_xlfn.XLOOKUP(tblOrders[[#This Row],[ProductID]],tblProducts[ProductID],tblProducts[Supplier],"not found")</f>
        <v>Landry Inc</v>
      </c>
      <c r="L731" s="1">
        <v>45536</v>
      </c>
      <c r="M7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45536</v>
      </c>
      <c r="N731">
        <v>1</v>
      </c>
      <c r="O731">
        <v>481.42</v>
      </c>
      <c r="P731">
        <f>tblOrders[[#This Row],[Quantity]]*tblOrders[[#This Row],[Unit Price]]</f>
        <v>481.42</v>
      </c>
      <c r="Q731">
        <f>tblOrders[[#This Row],[TotalSales]]-tblOrders[[#This Row],[Calculated Sales]]</f>
        <v>0</v>
      </c>
    </row>
    <row r="732" spans="1:17" x14ac:dyDescent="0.25">
      <c r="A732">
        <v>1757</v>
      </c>
      <c r="B732">
        <v>116</v>
      </c>
      <c r="C732" t="str">
        <f>_xlfn.XLOOKUP(tblOrders[[#This Row],[CustomerID]],tblCustomers[CustomerID],tblCustomers[CustomerName],"not found")</f>
        <v>Samantha Hood</v>
      </c>
      <c r="D732">
        <f>_xlfn.XLOOKUP(tblOrders[[#This Row],[CustomerID]],tblCustomers[CustomerID],tblCustomers[Age],"not found")</f>
        <v>66</v>
      </c>
      <c r="E732" t="str">
        <f>_xlfn.XLOOKUP(tblOrders[[#This Row],[CustomerID]],tblCustomers[CustomerID],tblCustomers[Gender],"not found")</f>
        <v>Female</v>
      </c>
      <c r="F732" t="str">
        <f>_xlfn.XLOOKUP(tblOrders[[#This Row],[CustomerID]],tblCustomers[CustomerID],tblCustomers[Region],"not found")</f>
        <v>East</v>
      </c>
      <c r="G732">
        <v>1059</v>
      </c>
      <c r="H732" t="str">
        <f>_xlfn.XLOOKUP(tblOrders[[#This Row],[ProductID]],tblProducts[ProductID],tblProducts[ProductName],"not found")</f>
        <v>Rise</v>
      </c>
      <c r="I732" t="str">
        <f>_xlfn.XLOOKUP(tblOrders[[#This Row],[ProductID]],tblProducts[ProductID],tblProducts[Category],"not found")</f>
        <v>Electronics</v>
      </c>
      <c r="J732">
        <f>_xlfn.XLOOKUP(tblOrders[[#This Row],[ProductID]],tblProducts[ProductID],tblProducts[UnitPrice],"not found")</f>
        <v>481.42</v>
      </c>
      <c r="K732" t="str">
        <f>_xlfn.XLOOKUP(tblOrders[[#This Row],[ProductID]],tblProducts[ProductID],tblProducts[Supplier],"not found")</f>
        <v>Landry Inc</v>
      </c>
      <c r="L732" s="1">
        <v>45475</v>
      </c>
      <c r="M7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45475</v>
      </c>
      <c r="N732">
        <v>9</v>
      </c>
      <c r="O732">
        <v>4332.78</v>
      </c>
      <c r="P732">
        <f>tblOrders[[#This Row],[Quantity]]*tblOrders[[#This Row],[Unit Price]]</f>
        <v>4332.78</v>
      </c>
      <c r="Q732">
        <f>tblOrders[[#This Row],[TotalSales]]-tblOrders[[#This Row],[Calculated Sales]]</f>
        <v>0</v>
      </c>
    </row>
    <row r="733" spans="1:17" x14ac:dyDescent="0.25">
      <c r="A733">
        <v>1759</v>
      </c>
      <c r="B733">
        <v>221</v>
      </c>
      <c r="C733" t="str">
        <f>_xlfn.XLOOKUP(tblOrders[[#This Row],[CustomerID]],tblCustomers[CustomerID],tblCustomers[CustomerName],"not found")</f>
        <v>Leslie Logan</v>
      </c>
      <c r="D733">
        <f>_xlfn.XLOOKUP(tblOrders[[#This Row],[CustomerID]],tblCustomers[CustomerID],tblCustomers[Age],"not found")</f>
        <v>53</v>
      </c>
      <c r="E733" t="str">
        <f>_xlfn.XLOOKUP(tblOrders[[#This Row],[CustomerID]],tblCustomers[CustomerID],tblCustomers[Gender],"not found")</f>
        <v>Male</v>
      </c>
      <c r="F733" t="str">
        <f>_xlfn.XLOOKUP(tblOrders[[#This Row],[CustomerID]],tblCustomers[CustomerID],tblCustomers[Region],"not found")</f>
        <v>North</v>
      </c>
      <c r="G733">
        <v>1059</v>
      </c>
      <c r="H733" t="str">
        <f>_xlfn.XLOOKUP(tblOrders[[#This Row],[ProductID]],tblProducts[ProductID],tblProducts[ProductName],"not found")</f>
        <v>Rise</v>
      </c>
      <c r="I733" t="str">
        <f>_xlfn.XLOOKUP(tblOrders[[#This Row],[ProductID]],tblProducts[ProductID],tblProducts[Category],"not found")</f>
        <v>Electronics</v>
      </c>
      <c r="J733">
        <f>_xlfn.XLOOKUP(tblOrders[[#This Row],[ProductID]],tblProducts[ProductID],tblProducts[UnitPrice],"not found")</f>
        <v>481.42</v>
      </c>
      <c r="K733" t="str">
        <f>_xlfn.XLOOKUP(tblOrders[[#This Row],[ProductID]],tblProducts[ProductID],tblProducts[Supplier],"not found")</f>
        <v>Landry Inc</v>
      </c>
      <c r="L733" s="1" t="s">
        <v>2065</v>
      </c>
      <c r="M7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45195</v>
      </c>
      <c r="N733">
        <v>9</v>
      </c>
      <c r="O733">
        <v>4332.78</v>
      </c>
      <c r="P733">
        <f>tblOrders[[#This Row],[Quantity]]*tblOrders[[#This Row],[Unit Price]]</f>
        <v>4332.78</v>
      </c>
      <c r="Q733">
        <f>tblOrders[[#This Row],[TotalSales]]-tblOrders[[#This Row],[Calculated Sales]]</f>
        <v>0</v>
      </c>
    </row>
    <row r="734" spans="1:17" x14ac:dyDescent="0.25">
      <c r="A734">
        <v>1860</v>
      </c>
      <c r="B734">
        <v>119</v>
      </c>
      <c r="C734" t="str">
        <f>_xlfn.XLOOKUP(tblOrders[[#This Row],[CustomerID]],tblCustomers[CustomerID],tblCustomers[CustomerName],"not found")</f>
        <v>Adam Valencia</v>
      </c>
      <c r="D734">
        <f>_xlfn.XLOOKUP(tblOrders[[#This Row],[CustomerID]],tblCustomers[CustomerID],tblCustomers[Age],"not found")</f>
        <v>42</v>
      </c>
      <c r="E734" t="str">
        <f>_xlfn.XLOOKUP(tblOrders[[#This Row],[CustomerID]],tblCustomers[CustomerID],tblCustomers[Gender],"not found")</f>
        <v>Male</v>
      </c>
      <c r="F734" t="str">
        <f>_xlfn.XLOOKUP(tblOrders[[#This Row],[CustomerID]],tblCustomers[CustomerID],tblCustomers[Region],"not found")</f>
        <v>North</v>
      </c>
      <c r="G734">
        <v>1059</v>
      </c>
      <c r="H734" t="str">
        <f>_xlfn.XLOOKUP(tblOrders[[#This Row],[ProductID]],tblProducts[ProductID],tblProducts[ProductName],"not found")</f>
        <v>Rise</v>
      </c>
      <c r="I734" t="str">
        <f>_xlfn.XLOOKUP(tblOrders[[#This Row],[ProductID]],tblProducts[ProductID],tblProducts[Category],"not found")</f>
        <v>Electronics</v>
      </c>
      <c r="J734">
        <f>_xlfn.XLOOKUP(tblOrders[[#This Row],[ProductID]],tblProducts[ProductID],tblProducts[UnitPrice],"not found")</f>
        <v>481.42</v>
      </c>
      <c r="K734" t="str">
        <f>_xlfn.XLOOKUP(tblOrders[[#This Row],[ProductID]],tblProducts[ProductID],tblProducts[Supplier],"not found")</f>
        <v>Landry Inc</v>
      </c>
      <c r="L734" s="1" t="s">
        <v>2286</v>
      </c>
      <c r="M7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45104</v>
      </c>
      <c r="N734">
        <v>6</v>
      </c>
      <c r="O734">
        <v>2888.52</v>
      </c>
      <c r="P734">
        <f>tblOrders[[#This Row],[Quantity]]*tblOrders[[#This Row],[Unit Price]]</f>
        <v>2888.52</v>
      </c>
      <c r="Q734">
        <f>tblOrders[[#This Row],[TotalSales]]-tblOrders[[#This Row],[Calculated Sales]]</f>
        <v>0</v>
      </c>
    </row>
    <row r="735" spans="1:17" x14ac:dyDescent="0.25">
      <c r="A735">
        <v>1992</v>
      </c>
      <c r="B735">
        <v>322</v>
      </c>
      <c r="C735" t="str">
        <f>_xlfn.XLOOKUP(tblOrders[[#This Row],[CustomerID]],tblCustomers[CustomerID],tblCustomers[CustomerName],"not found")</f>
        <v>Michelle Hart</v>
      </c>
      <c r="D735">
        <f>_xlfn.XLOOKUP(tblOrders[[#This Row],[CustomerID]],tblCustomers[CustomerID],tblCustomers[Age],"not found")</f>
        <v>37</v>
      </c>
      <c r="E735" t="str">
        <f>_xlfn.XLOOKUP(tblOrders[[#This Row],[CustomerID]],tblCustomers[CustomerID],tblCustomers[Gender],"not found")</f>
        <v>Male</v>
      </c>
      <c r="F735" t="str">
        <f>_xlfn.XLOOKUP(tblOrders[[#This Row],[CustomerID]],tblCustomers[CustomerID],tblCustomers[Region],"not found")</f>
        <v>South</v>
      </c>
      <c r="G735">
        <v>1059</v>
      </c>
      <c r="H735" t="str">
        <f>_xlfn.XLOOKUP(tblOrders[[#This Row],[ProductID]],tblProducts[ProductID],tblProducts[ProductName],"not found")</f>
        <v>Rise</v>
      </c>
      <c r="I735" t="str">
        <f>_xlfn.XLOOKUP(tblOrders[[#This Row],[ProductID]],tblProducts[ProductID],tblProducts[Category],"not found")</f>
        <v>Electronics</v>
      </c>
      <c r="J735">
        <f>_xlfn.XLOOKUP(tblOrders[[#This Row],[ProductID]],tblProducts[ProductID],tblProducts[UnitPrice],"not found")</f>
        <v>481.42</v>
      </c>
      <c r="K735" t="str">
        <f>_xlfn.XLOOKUP(tblOrders[[#This Row],[ProductID]],tblProducts[ProductID],tblProducts[Supplier],"not found")</f>
        <v>Landry Inc</v>
      </c>
      <c r="L735" s="1" t="s">
        <v>2287</v>
      </c>
      <c r="M7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45105</v>
      </c>
      <c r="N735">
        <v>2</v>
      </c>
      <c r="O735">
        <v>962.84</v>
      </c>
      <c r="P735">
        <f>tblOrders[[#This Row],[Quantity]]*tblOrders[[#This Row],[Unit Price]]</f>
        <v>962.84</v>
      </c>
      <c r="Q735">
        <f>tblOrders[[#This Row],[TotalSales]]-tblOrders[[#This Row],[Calculated Sales]]</f>
        <v>0</v>
      </c>
    </row>
    <row r="736" spans="1:17" x14ac:dyDescent="0.25">
      <c r="A736">
        <v>1997</v>
      </c>
      <c r="B736">
        <v>361</v>
      </c>
      <c r="C736" t="str">
        <f>_xlfn.XLOOKUP(tblOrders[[#This Row],[CustomerID]],tblCustomers[CustomerID],tblCustomers[CustomerName],"not found")</f>
        <v>Heather Martinez</v>
      </c>
      <c r="D736">
        <f>_xlfn.XLOOKUP(tblOrders[[#This Row],[CustomerID]],tblCustomers[CustomerID],tblCustomers[Age],"not found")</f>
        <v>52</v>
      </c>
      <c r="E736" t="str">
        <f>_xlfn.XLOOKUP(tblOrders[[#This Row],[CustomerID]],tblCustomers[CustomerID],tblCustomers[Gender],"not found")</f>
        <v>Female</v>
      </c>
      <c r="F736" t="str">
        <f>_xlfn.XLOOKUP(tblOrders[[#This Row],[CustomerID]],tblCustomers[CustomerID],tblCustomers[Region],"not found")</f>
        <v>East</v>
      </c>
      <c r="G736">
        <v>1059</v>
      </c>
      <c r="H736" t="str">
        <f>_xlfn.XLOOKUP(tblOrders[[#This Row],[ProductID]],tblProducts[ProductID],tblProducts[ProductName],"not found")</f>
        <v>Rise</v>
      </c>
      <c r="I736" t="str">
        <f>_xlfn.XLOOKUP(tblOrders[[#This Row],[ProductID]],tblProducts[ProductID],tblProducts[Category],"not found")</f>
        <v>Electronics</v>
      </c>
      <c r="J736">
        <f>_xlfn.XLOOKUP(tblOrders[[#This Row],[ProductID]],tblProducts[ProductID],tblProducts[UnitPrice],"not found")</f>
        <v>481.42</v>
      </c>
      <c r="K736" t="str">
        <f>_xlfn.XLOOKUP(tblOrders[[#This Row],[ProductID]],tblProducts[ProductID],tblProducts[Supplier],"not found")</f>
        <v>Landry Inc</v>
      </c>
      <c r="L736" s="1">
        <v>44964</v>
      </c>
      <c r="M7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44964</v>
      </c>
      <c r="N736">
        <v>1</v>
      </c>
      <c r="O736">
        <v>481.42</v>
      </c>
      <c r="P736">
        <f>tblOrders[[#This Row],[Quantity]]*tblOrders[[#This Row],[Unit Price]]</f>
        <v>481.42</v>
      </c>
      <c r="Q736">
        <f>tblOrders[[#This Row],[TotalSales]]-tblOrders[[#This Row],[Calculated Sales]]</f>
        <v>0</v>
      </c>
    </row>
    <row r="737" spans="1:17" x14ac:dyDescent="0.25">
      <c r="A737">
        <v>39</v>
      </c>
      <c r="B737">
        <v>147</v>
      </c>
      <c r="C737" t="str">
        <f>_xlfn.XLOOKUP(tblOrders[[#This Row],[CustomerID]],tblCustomers[CustomerID],tblCustomers[CustomerName],"not found")</f>
        <v>Trevor Wilson</v>
      </c>
      <c r="D737">
        <f>_xlfn.XLOOKUP(tblOrders[[#This Row],[CustomerID]],tblCustomers[CustomerID],tblCustomers[Age],"not found")</f>
        <v>57</v>
      </c>
      <c r="E737" t="str">
        <f>_xlfn.XLOOKUP(tblOrders[[#This Row],[CustomerID]],tblCustomers[CustomerID],tblCustomers[Gender],"not found")</f>
        <v>Male</v>
      </c>
      <c r="F737" t="str">
        <f>_xlfn.XLOOKUP(tblOrders[[#This Row],[CustomerID]],tblCustomers[CustomerID],tblCustomers[Region],"not found")</f>
        <v>North</v>
      </c>
      <c r="G737">
        <v>1029</v>
      </c>
      <c r="H737" t="str">
        <f>_xlfn.XLOOKUP(tblOrders[[#This Row],[ProductID]],tblProducts[ProductID],tblProducts[ProductName],"not found")</f>
        <v>Account</v>
      </c>
      <c r="I737" t="str">
        <f>_xlfn.XLOOKUP(tblOrders[[#This Row],[ProductID]],tblProducts[ProductID],tblProducts[Category],"not found")</f>
        <v>Beauty</v>
      </c>
      <c r="J737">
        <f>_xlfn.XLOOKUP(tblOrders[[#This Row],[ProductID]],tblProducts[ProductID],tblProducts[UnitPrice],"not found")</f>
        <v>112.53</v>
      </c>
      <c r="K737" t="str">
        <f>_xlfn.XLOOKUP(tblOrders[[#This Row],[ProductID]],tblProducts[ProductID],tblProducts[Supplier],"not found")</f>
        <v>Jones, Mueller and Medina</v>
      </c>
      <c r="L737" s="1">
        <v>45239</v>
      </c>
      <c r="M7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45239</v>
      </c>
      <c r="N737">
        <v>6</v>
      </c>
      <c r="O737">
        <v>675.18</v>
      </c>
      <c r="P737">
        <f>tblOrders[[#This Row],[Quantity]]*tblOrders[[#This Row],[Unit Price]]</f>
        <v>675.18000000000006</v>
      </c>
      <c r="Q737">
        <f>tblOrders[[#This Row],[TotalSales]]-tblOrders[[#This Row],[Calculated Sales]]</f>
        <v>0</v>
      </c>
    </row>
    <row r="738" spans="1:17" x14ac:dyDescent="0.25">
      <c r="A738">
        <v>182</v>
      </c>
      <c r="B738">
        <v>105</v>
      </c>
      <c r="C738" t="str">
        <f>_xlfn.XLOOKUP(tblOrders[[#This Row],[CustomerID]],tblCustomers[CustomerID],tblCustomers[CustomerName],"not found")</f>
        <v>Carolyn Harris</v>
      </c>
      <c r="D738">
        <f>_xlfn.XLOOKUP(tblOrders[[#This Row],[CustomerID]],tblCustomers[CustomerID],tblCustomers[Age],"not found")</f>
        <v>48</v>
      </c>
      <c r="E738" t="str">
        <f>_xlfn.XLOOKUP(tblOrders[[#This Row],[CustomerID]],tblCustomers[CustomerID],tblCustomers[Gender],"not found")</f>
        <v>Male</v>
      </c>
      <c r="F738" t="str">
        <f>_xlfn.XLOOKUP(tblOrders[[#This Row],[CustomerID]],tblCustomers[CustomerID],tblCustomers[Region],"not found")</f>
        <v>North</v>
      </c>
      <c r="G738">
        <v>1029</v>
      </c>
      <c r="H738" t="str">
        <f>_xlfn.XLOOKUP(tblOrders[[#This Row],[ProductID]],tblProducts[ProductID],tblProducts[ProductName],"not found")</f>
        <v>Account</v>
      </c>
      <c r="I738" t="str">
        <f>_xlfn.XLOOKUP(tblOrders[[#This Row],[ProductID]],tblProducts[ProductID],tblProducts[Category],"not found")</f>
        <v>Beauty</v>
      </c>
      <c r="J738">
        <f>_xlfn.XLOOKUP(tblOrders[[#This Row],[ProductID]],tblProducts[ProductID],tblProducts[UnitPrice],"not found")</f>
        <v>112.53</v>
      </c>
      <c r="K738" t="str">
        <f>_xlfn.XLOOKUP(tblOrders[[#This Row],[ProductID]],tblProducts[ProductID],tblProducts[Supplier],"not found")</f>
        <v>Jones, Mueller and Medina</v>
      </c>
      <c r="L738" s="1">
        <v>45025</v>
      </c>
      <c r="M7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45025</v>
      </c>
      <c r="N738">
        <v>4</v>
      </c>
      <c r="O738">
        <v>450.12</v>
      </c>
      <c r="P738">
        <f>tblOrders[[#This Row],[Quantity]]*tblOrders[[#This Row],[Unit Price]]</f>
        <v>450.12</v>
      </c>
      <c r="Q738">
        <f>tblOrders[[#This Row],[TotalSales]]-tblOrders[[#This Row],[Calculated Sales]]</f>
        <v>0</v>
      </c>
    </row>
    <row r="739" spans="1:17" x14ac:dyDescent="0.25">
      <c r="A739">
        <v>258</v>
      </c>
      <c r="B739">
        <v>555</v>
      </c>
      <c r="C739" t="str">
        <f>_xlfn.XLOOKUP(tblOrders[[#This Row],[CustomerID]],tblCustomers[CustomerID],tblCustomers[CustomerName],"not found")</f>
        <v>Sharon Vincent</v>
      </c>
      <c r="D739">
        <f>_xlfn.XLOOKUP(tblOrders[[#This Row],[CustomerID]],tblCustomers[CustomerID],tblCustomers[Age],"not found")</f>
        <v>24</v>
      </c>
      <c r="E739" t="str">
        <f>_xlfn.XLOOKUP(tblOrders[[#This Row],[CustomerID]],tblCustomers[CustomerID],tblCustomers[Gender],"not found")</f>
        <v>Female</v>
      </c>
      <c r="F739" t="str">
        <f>_xlfn.XLOOKUP(tblOrders[[#This Row],[CustomerID]],tblCustomers[CustomerID],tblCustomers[Region],"not found")</f>
        <v>West</v>
      </c>
      <c r="G739">
        <v>1029</v>
      </c>
      <c r="H739" t="str">
        <f>_xlfn.XLOOKUP(tblOrders[[#This Row],[ProductID]],tblProducts[ProductID],tblProducts[ProductName],"not found")</f>
        <v>Account</v>
      </c>
      <c r="I739" t="str">
        <f>_xlfn.XLOOKUP(tblOrders[[#This Row],[ProductID]],tblProducts[ProductID],tblProducts[Category],"not found")</f>
        <v>Beauty</v>
      </c>
      <c r="J739">
        <f>_xlfn.XLOOKUP(tblOrders[[#This Row],[ProductID]],tblProducts[ProductID],tblProducts[UnitPrice],"not found")</f>
        <v>112.53</v>
      </c>
      <c r="K739" t="str">
        <f>_xlfn.XLOOKUP(tblOrders[[#This Row],[ProductID]],tblProducts[ProductID],tblProducts[Supplier],"not found")</f>
        <v>Jones, Mueller and Medina</v>
      </c>
      <c r="L739" s="1" t="s">
        <v>2128</v>
      </c>
      <c r="M7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45044</v>
      </c>
      <c r="N739">
        <v>4</v>
      </c>
      <c r="O739">
        <v>450.12</v>
      </c>
      <c r="P739">
        <f>tblOrders[[#This Row],[Quantity]]*tblOrders[[#This Row],[Unit Price]]</f>
        <v>450.12</v>
      </c>
      <c r="Q739">
        <f>tblOrders[[#This Row],[TotalSales]]-tblOrders[[#This Row],[Calculated Sales]]</f>
        <v>0</v>
      </c>
    </row>
    <row r="740" spans="1:17" x14ac:dyDescent="0.25">
      <c r="A740">
        <v>299</v>
      </c>
      <c r="B740">
        <v>611</v>
      </c>
      <c r="C740" t="str">
        <f>_xlfn.XLOOKUP(tblOrders[[#This Row],[CustomerID]],tblCustomers[CustomerID],tblCustomers[CustomerName],"not found")</f>
        <v>Marcus Thomas</v>
      </c>
      <c r="D740">
        <f>_xlfn.XLOOKUP(tblOrders[[#This Row],[CustomerID]],tblCustomers[CustomerID],tblCustomers[Age],"not found")</f>
        <v>38</v>
      </c>
      <c r="E740" t="str">
        <f>_xlfn.XLOOKUP(tblOrders[[#This Row],[CustomerID]],tblCustomers[CustomerID],tblCustomers[Gender],"not found")</f>
        <v>Female</v>
      </c>
      <c r="F740" t="str">
        <f>_xlfn.XLOOKUP(tblOrders[[#This Row],[CustomerID]],tblCustomers[CustomerID],tblCustomers[Region],"not found")</f>
        <v>Central</v>
      </c>
      <c r="G740">
        <v>1029</v>
      </c>
      <c r="H740" t="str">
        <f>_xlfn.XLOOKUP(tblOrders[[#This Row],[ProductID]],tblProducts[ProductID],tblProducts[ProductName],"not found")</f>
        <v>Account</v>
      </c>
      <c r="I740" t="str">
        <f>_xlfn.XLOOKUP(tblOrders[[#This Row],[ProductID]],tblProducts[ProductID],tblProducts[Category],"not found")</f>
        <v>Beauty</v>
      </c>
      <c r="J740">
        <f>_xlfn.XLOOKUP(tblOrders[[#This Row],[ProductID]],tblProducts[ProductID],tblProducts[UnitPrice],"not found")</f>
        <v>112.53</v>
      </c>
      <c r="K740" t="str">
        <f>_xlfn.XLOOKUP(tblOrders[[#This Row],[ProductID]],tblProducts[ProductID],tblProducts[Supplier],"not found")</f>
        <v>Jones, Mueller and Medina</v>
      </c>
      <c r="L740" s="1" t="s">
        <v>2256</v>
      </c>
      <c r="M7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45011</v>
      </c>
      <c r="N740">
        <v>5</v>
      </c>
      <c r="O740">
        <v>562.65</v>
      </c>
      <c r="P740">
        <f>tblOrders[[#This Row],[Quantity]]*tblOrders[[#This Row],[Unit Price]]</f>
        <v>562.65</v>
      </c>
      <c r="Q740">
        <f>tblOrders[[#This Row],[TotalSales]]-tblOrders[[#This Row],[Calculated Sales]]</f>
        <v>0</v>
      </c>
    </row>
    <row r="741" spans="1:17" x14ac:dyDescent="0.25">
      <c r="A741">
        <v>304</v>
      </c>
      <c r="B741">
        <v>86</v>
      </c>
      <c r="C741" t="str">
        <f>_xlfn.XLOOKUP(tblOrders[[#This Row],[CustomerID]],tblCustomers[CustomerID],tblCustomers[CustomerName],"not found")</f>
        <v>Ruben Simmons</v>
      </c>
      <c r="D741">
        <f>_xlfn.XLOOKUP(tblOrders[[#This Row],[CustomerID]],tblCustomers[CustomerID],tblCustomers[Age],"not found")</f>
        <v>50</v>
      </c>
      <c r="E741" t="str">
        <f>_xlfn.XLOOKUP(tblOrders[[#This Row],[CustomerID]],tblCustomers[CustomerID],tblCustomers[Gender],"not found")</f>
        <v>Female</v>
      </c>
      <c r="F741" t="str">
        <f>_xlfn.XLOOKUP(tblOrders[[#This Row],[CustomerID]],tblCustomers[CustomerID],tblCustomers[Region],"not found")</f>
        <v>East</v>
      </c>
      <c r="G741">
        <v>1029</v>
      </c>
      <c r="H741" t="str">
        <f>_xlfn.XLOOKUP(tblOrders[[#This Row],[ProductID]],tblProducts[ProductID],tblProducts[ProductName],"not found")</f>
        <v>Account</v>
      </c>
      <c r="I741" t="str">
        <f>_xlfn.XLOOKUP(tblOrders[[#This Row],[ProductID]],tblProducts[ProductID],tblProducts[Category],"not found")</f>
        <v>Beauty</v>
      </c>
      <c r="J741">
        <f>_xlfn.XLOOKUP(tblOrders[[#This Row],[ProductID]],tblProducts[ProductID],tblProducts[UnitPrice],"not found")</f>
        <v>112.53</v>
      </c>
      <c r="K741" t="str">
        <f>_xlfn.XLOOKUP(tblOrders[[#This Row],[ProductID]],tblProducts[ProductID],tblProducts[Supplier],"not found")</f>
        <v>Jones, Mueller and Medina</v>
      </c>
      <c r="L741" s="1" t="s">
        <v>2141</v>
      </c>
      <c r="M7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44925</v>
      </c>
      <c r="N741">
        <v>6</v>
      </c>
      <c r="O741">
        <v>675.18</v>
      </c>
      <c r="P741">
        <f>tblOrders[[#This Row],[Quantity]]*tblOrders[[#This Row],[Unit Price]]</f>
        <v>675.18000000000006</v>
      </c>
      <c r="Q741">
        <f>tblOrders[[#This Row],[TotalSales]]-tblOrders[[#This Row],[Calculated Sales]]</f>
        <v>0</v>
      </c>
    </row>
    <row r="742" spans="1:17" x14ac:dyDescent="0.25">
      <c r="A742">
        <v>422</v>
      </c>
      <c r="B742">
        <v>322</v>
      </c>
      <c r="C742" t="str">
        <f>_xlfn.XLOOKUP(tblOrders[[#This Row],[CustomerID]],tblCustomers[CustomerID],tblCustomers[CustomerName],"not found")</f>
        <v>Michelle Hart</v>
      </c>
      <c r="D742">
        <f>_xlfn.XLOOKUP(tblOrders[[#This Row],[CustomerID]],tblCustomers[CustomerID],tblCustomers[Age],"not found")</f>
        <v>37</v>
      </c>
      <c r="E742" t="str">
        <f>_xlfn.XLOOKUP(tblOrders[[#This Row],[CustomerID]],tblCustomers[CustomerID],tblCustomers[Gender],"not found")</f>
        <v>Male</v>
      </c>
      <c r="F742" t="str">
        <f>_xlfn.XLOOKUP(tblOrders[[#This Row],[CustomerID]],tblCustomers[CustomerID],tblCustomers[Region],"not found")</f>
        <v>South</v>
      </c>
      <c r="G742">
        <v>1029</v>
      </c>
      <c r="H742" t="str">
        <f>_xlfn.XLOOKUP(tblOrders[[#This Row],[ProductID]],tblProducts[ProductID],tblProducts[ProductName],"not found")</f>
        <v>Account</v>
      </c>
      <c r="I742" t="str">
        <f>_xlfn.XLOOKUP(tblOrders[[#This Row],[ProductID]],tblProducts[ProductID],tblProducts[Category],"not found")</f>
        <v>Beauty</v>
      </c>
      <c r="J742">
        <f>_xlfn.XLOOKUP(tblOrders[[#This Row],[ProductID]],tblProducts[ProductID],tblProducts[UnitPrice],"not found")</f>
        <v>112.53</v>
      </c>
      <c r="K742" t="str">
        <f>_xlfn.XLOOKUP(tblOrders[[#This Row],[ProductID]],tblProducts[ProductID],tblProducts[Supplier],"not found")</f>
        <v>Jones, Mueller and Medina</v>
      </c>
      <c r="L742" s="1" t="s">
        <v>2288</v>
      </c>
      <c r="M7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45245</v>
      </c>
      <c r="N742">
        <v>2</v>
      </c>
      <c r="O742">
        <v>225.06</v>
      </c>
      <c r="P742">
        <f>tblOrders[[#This Row],[Quantity]]*tblOrders[[#This Row],[Unit Price]]</f>
        <v>225.06</v>
      </c>
      <c r="Q742">
        <f>tblOrders[[#This Row],[TotalSales]]-tblOrders[[#This Row],[Calculated Sales]]</f>
        <v>0</v>
      </c>
    </row>
    <row r="743" spans="1:17" x14ac:dyDescent="0.25">
      <c r="A743">
        <v>778</v>
      </c>
      <c r="B743">
        <v>86</v>
      </c>
      <c r="C743" t="str">
        <f>_xlfn.XLOOKUP(tblOrders[[#This Row],[CustomerID]],tblCustomers[CustomerID],tblCustomers[CustomerName],"not found")</f>
        <v>Ruben Simmons</v>
      </c>
      <c r="D743">
        <f>_xlfn.XLOOKUP(tblOrders[[#This Row],[CustomerID]],tblCustomers[CustomerID],tblCustomers[Age],"not found")</f>
        <v>50</v>
      </c>
      <c r="E743" t="str">
        <f>_xlfn.XLOOKUP(tblOrders[[#This Row],[CustomerID]],tblCustomers[CustomerID],tblCustomers[Gender],"not found")</f>
        <v>Female</v>
      </c>
      <c r="F743" t="str">
        <f>_xlfn.XLOOKUP(tblOrders[[#This Row],[CustomerID]],tblCustomers[CustomerID],tblCustomers[Region],"not found")</f>
        <v>East</v>
      </c>
      <c r="G743">
        <v>1029</v>
      </c>
      <c r="H743" t="str">
        <f>_xlfn.XLOOKUP(tblOrders[[#This Row],[ProductID]],tblProducts[ProductID],tblProducts[ProductName],"not found")</f>
        <v>Account</v>
      </c>
      <c r="I743" t="str">
        <f>_xlfn.XLOOKUP(tblOrders[[#This Row],[ProductID]],tblProducts[ProductID],tblProducts[Category],"not found")</f>
        <v>Beauty</v>
      </c>
      <c r="J743">
        <f>_xlfn.XLOOKUP(tblOrders[[#This Row],[ProductID]],tblProducts[ProductID],tblProducts[UnitPrice],"not found")</f>
        <v>112.53</v>
      </c>
      <c r="K743" t="str">
        <f>_xlfn.XLOOKUP(tblOrders[[#This Row],[ProductID]],tblProducts[ProductID],tblProducts[Supplier],"not found")</f>
        <v>Jones, Mueller and Medina</v>
      </c>
      <c r="L743" s="1" t="s">
        <v>2072</v>
      </c>
      <c r="M7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45138</v>
      </c>
      <c r="N743">
        <v>3</v>
      </c>
      <c r="O743">
        <v>337.59</v>
      </c>
      <c r="P743">
        <f>tblOrders[[#This Row],[Quantity]]*tblOrders[[#This Row],[Unit Price]]</f>
        <v>337.59000000000003</v>
      </c>
      <c r="Q743">
        <f>tblOrders[[#This Row],[TotalSales]]-tblOrders[[#This Row],[Calculated Sales]]</f>
        <v>0</v>
      </c>
    </row>
    <row r="744" spans="1:17" x14ac:dyDescent="0.25">
      <c r="A744">
        <v>829</v>
      </c>
      <c r="B744">
        <v>560</v>
      </c>
      <c r="C744" t="str">
        <f>_xlfn.XLOOKUP(tblOrders[[#This Row],[CustomerID]],tblCustomers[CustomerID],tblCustomers[CustomerName],"not found")</f>
        <v>Rose Lopez</v>
      </c>
      <c r="D744">
        <f>_xlfn.XLOOKUP(tblOrders[[#This Row],[CustomerID]],tblCustomers[CustomerID],tblCustomers[Age],"not found")</f>
        <v>21</v>
      </c>
      <c r="E744" t="str">
        <f>_xlfn.XLOOKUP(tblOrders[[#This Row],[CustomerID]],tblCustomers[CustomerID],tblCustomers[Gender],"not found")</f>
        <v>Male</v>
      </c>
      <c r="F744" t="str">
        <f>_xlfn.XLOOKUP(tblOrders[[#This Row],[CustomerID]],tblCustomers[CustomerID],tblCustomers[Region],"not found")</f>
        <v>East</v>
      </c>
      <c r="G744">
        <v>1029</v>
      </c>
      <c r="H744" t="str">
        <f>_xlfn.XLOOKUP(tblOrders[[#This Row],[ProductID]],tblProducts[ProductID],tblProducts[ProductName],"not found")</f>
        <v>Account</v>
      </c>
      <c r="I744" t="str">
        <f>_xlfn.XLOOKUP(tblOrders[[#This Row],[ProductID]],tblProducts[ProductID],tblProducts[Category],"not found")</f>
        <v>Beauty</v>
      </c>
      <c r="J744">
        <f>_xlfn.XLOOKUP(tblOrders[[#This Row],[ProductID]],tblProducts[ProductID],tblProducts[UnitPrice],"not found")</f>
        <v>112.53</v>
      </c>
      <c r="K744" t="str">
        <f>_xlfn.XLOOKUP(tblOrders[[#This Row],[ProductID]],tblProducts[ProductID],tblProducts[Supplier],"not found")</f>
        <v>Jones, Mueller and Medina</v>
      </c>
      <c r="L744" s="1">
        <v>45567</v>
      </c>
      <c r="M7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45567</v>
      </c>
      <c r="N744">
        <v>5</v>
      </c>
      <c r="O744">
        <v>562.65</v>
      </c>
      <c r="P744">
        <f>tblOrders[[#This Row],[Quantity]]*tblOrders[[#This Row],[Unit Price]]</f>
        <v>562.65</v>
      </c>
      <c r="Q744">
        <f>tblOrders[[#This Row],[TotalSales]]-tblOrders[[#This Row],[Calculated Sales]]</f>
        <v>0</v>
      </c>
    </row>
    <row r="745" spans="1:17" x14ac:dyDescent="0.25">
      <c r="A745">
        <v>1039</v>
      </c>
      <c r="B745">
        <v>183</v>
      </c>
      <c r="C745" t="str">
        <f>_xlfn.XLOOKUP(tblOrders[[#This Row],[CustomerID]],tblCustomers[CustomerID],tblCustomers[CustomerName],"not found")</f>
        <v>Ryan Martinez</v>
      </c>
      <c r="D745">
        <f>_xlfn.XLOOKUP(tblOrders[[#This Row],[CustomerID]],tblCustomers[CustomerID],tblCustomers[Age],"not found")</f>
        <v>23</v>
      </c>
      <c r="E745" t="str">
        <f>_xlfn.XLOOKUP(tblOrders[[#This Row],[CustomerID]],tblCustomers[CustomerID],tblCustomers[Gender],"not found")</f>
        <v>Male</v>
      </c>
      <c r="F745" t="str">
        <f>_xlfn.XLOOKUP(tblOrders[[#This Row],[CustomerID]],tblCustomers[CustomerID],tblCustomers[Region],"not found")</f>
        <v>West</v>
      </c>
      <c r="G745">
        <v>1029</v>
      </c>
      <c r="H745" t="str">
        <f>_xlfn.XLOOKUP(tblOrders[[#This Row],[ProductID]],tblProducts[ProductID],tblProducts[ProductName],"not found")</f>
        <v>Account</v>
      </c>
      <c r="I745" t="str">
        <f>_xlfn.XLOOKUP(tblOrders[[#This Row],[ProductID]],tblProducts[ProductID],tblProducts[Category],"not found")</f>
        <v>Beauty</v>
      </c>
      <c r="J745">
        <f>_xlfn.XLOOKUP(tblOrders[[#This Row],[ProductID]],tblProducts[ProductID],tblProducts[UnitPrice],"not found")</f>
        <v>112.53</v>
      </c>
      <c r="K745" t="str">
        <f>_xlfn.XLOOKUP(tblOrders[[#This Row],[ProductID]],tblProducts[ProductID],tblProducts[Supplier],"not found")</f>
        <v>Jones, Mueller and Medina</v>
      </c>
      <c r="L745" s="1" t="s">
        <v>2093</v>
      </c>
      <c r="M7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45256</v>
      </c>
      <c r="N745">
        <v>3</v>
      </c>
      <c r="O745">
        <v>337.59</v>
      </c>
      <c r="P745">
        <f>tblOrders[[#This Row],[Quantity]]*tblOrders[[#This Row],[Unit Price]]</f>
        <v>337.59000000000003</v>
      </c>
      <c r="Q745">
        <f>tblOrders[[#This Row],[TotalSales]]-tblOrders[[#This Row],[Calculated Sales]]</f>
        <v>0</v>
      </c>
    </row>
    <row r="746" spans="1:17" x14ac:dyDescent="0.25">
      <c r="A746">
        <v>1070</v>
      </c>
      <c r="B746">
        <v>319</v>
      </c>
      <c r="C746" t="str">
        <f>_xlfn.XLOOKUP(tblOrders[[#This Row],[CustomerID]],tblCustomers[CustomerID],tblCustomers[CustomerName],"not found")</f>
        <v>Lindsay Hall</v>
      </c>
      <c r="D746">
        <f>_xlfn.XLOOKUP(tblOrders[[#This Row],[CustomerID]],tblCustomers[CustomerID],tblCustomers[Age],"not found")</f>
        <v>54</v>
      </c>
      <c r="E746" t="str">
        <f>_xlfn.XLOOKUP(tblOrders[[#This Row],[CustomerID]],tblCustomers[CustomerID],tblCustomers[Gender],"not found")</f>
        <v>Male</v>
      </c>
      <c r="F746" t="str">
        <f>_xlfn.XLOOKUP(tblOrders[[#This Row],[CustomerID]],tblCustomers[CustomerID],tblCustomers[Region],"not found")</f>
        <v>West</v>
      </c>
      <c r="G746">
        <v>1029</v>
      </c>
      <c r="H746" t="str">
        <f>_xlfn.XLOOKUP(tblOrders[[#This Row],[ProductID]],tblProducts[ProductID],tblProducts[ProductName],"not found")</f>
        <v>Account</v>
      </c>
      <c r="I746" t="str">
        <f>_xlfn.XLOOKUP(tblOrders[[#This Row],[ProductID]],tblProducts[ProductID],tblProducts[Category],"not found")</f>
        <v>Beauty</v>
      </c>
      <c r="J746">
        <f>_xlfn.XLOOKUP(tblOrders[[#This Row],[ProductID]],tblProducts[ProductID],tblProducts[UnitPrice],"not found")</f>
        <v>112.53</v>
      </c>
      <c r="K746" t="str">
        <f>_xlfn.XLOOKUP(tblOrders[[#This Row],[ProductID]],tblProducts[ProductID],tblProducts[Supplier],"not found")</f>
        <v>Jones, Mueller and Medina</v>
      </c>
      <c r="L746" s="1" t="s">
        <v>2194</v>
      </c>
      <c r="M7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45531</v>
      </c>
      <c r="N746">
        <v>4</v>
      </c>
      <c r="O746">
        <v>450.12</v>
      </c>
      <c r="P746">
        <f>tblOrders[[#This Row],[Quantity]]*tblOrders[[#This Row],[Unit Price]]</f>
        <v>450.12</v>
      </c>
      <c r="Q746">
        <f>tblOrders[[#This Row],[TotalSales]]-tblOrders[[#This Row],[Calculated Sales]]</f>
        <v>0</v>
      </c>
    </row>
    <row r="747" spans="1:17" x14ac:dyDescent="0.25">
      <c r="A747">
        <v>1116</v>
      </c>
      <c r="B747">
        <v>879</v>
      </c>
      <c r="C747" t="str">
        <f>_xlfn.XLOOKUP(tblOrders[[#This Row],[CustomerID]],tblCustomers[CustomerID],tblCustomers[CustomerName],"not found")</f>
        <v>Charles Fuller</v>
      </c>
      <c r="D747">
        <f>_xlfn.XLOOKUP(tblOrders[[#This Row],[CustomerID]],tblCustomers[CustomerID],tblCustomers[Age],"not found")</f>
        <v>48</v>
      </c>
      <c r="E747" t="str">
        <f>_xlfn.XLOOKUP(tblOrders[[#This Row],[CustomerID]],tblCustomers[CustomerID],tblCustomers[Gender],"not found")</f>
        <v>Male</v>
      </c>
      <c r="F747" t="str">
        <f>_xlfn.XLOOKUP(tblOrders[[#This Row],[CustomerID]],tblCustomers[CustomerID],tblCustomers[Region],"not found")</f>
        <v>West</v>
      </c>
      <c r="G747">
        <v>1029</v>
      </c>
      <c r="H747" t="str">
        <f>_xlfn.XLOOKUP(tblOrders[[#This Row],[ProductID]],tblProducts[ProductID],tblProducts[ProductName],"not found")</f>
        <v>Account</v>
      </c>
      <c r="I747" t="str">
        <f>_xlfn.XLOOKUP(tblOrders[[#This Row],[ProductID]],tblProducts[ProductID],tblProducts[Category],"not found")</f>
        <v>Beauty</v>
      </c>
      <c r="J747">
        <f>_xlfn.XLOOKUP(tblOrders[[#This Row],[ProductID]],tblProducts[ProductID],tblProducts[UnitPrice],"not found")</f>
        <v>112.53</v>
      </c>
      <c r="K747" t="str">
        <f>_xlfn.XLOOKUP(tblOrders[[#This Row],[ProductID]],tblProducts[ProductID],tblProducts[Supplier],"not found")</f>
        <v>Jones, Mueller and Medina</v>
      </c>
      <c r="L747" s="1" t="s">
        <v>2289</v>
      </c>
      <c r="M7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45091</v>
      </c>
      <c r="N747">
        <v>9</v>
      </c>
      <c r="O747">
        <v>1012.77</v>
      </c>
      <c r="P747">
        <f>tblOrders[[#This Row],[Quantity]]*tblOrders[[#This Row],[Unit Price]]</f>
        <v>1012.77</v>
      </c>
      <c r="Q747">
        <f>tblOrders[[#This Row],[TotalSales]]-tblOrders[[#This Row],[Calculated Sales]]</f>
        <v>0</v>
      </c>
    </row>
    <row r="748" spans="1:17" x14ac:dyDescent="0.25">
      <c r="A748">
        <v>1140</v>
      </c>
      <c r="B748">
        <v>959</v>
      </c>
      <c r="C748" t="str">
        <f>_xlfn.XLOOKUP(tblOrders[[#This Row],[CustomerID]],tblCustomers[CustomerID],tblCustomers[CustomerName],"not found")</f>
        <v>Michael Strong</v>
      </c>
      <c r="D748">
        <f>_xlfn.XLOOKUP(tblOrders[[#This Row],[CustomerID]],tblCustomers[CustomerID],tblCustomers[Age],"not found")</f>
        <v>38</v>
      </c>
      <c r="E748" t="str">
        <f>_xlfn.XLOOKUP(tblOrders[[#This Row],[CustomerID]],tblCustomers[CustomerID],tblCustomers[Gender],"not found")</f>
        <v>Male</v>
      </c>
      <c r="F748" t="str">
        <f>_xlfn.XLOOKUP(tblOrders[[#This Row],[CustomerID]],tblCustomers[CustomerID],tblCustomers[Region],"not found")</f>
        <v>East</v>
      </c>
      <c r="G748">
        <v>1029</v>
      </c>
      <c r="H748" t="str">
        <f>_xlfn.XLOOKUP(tblOrders[[#This Row],[ProductID]],tblProducts[ProductID],tblProducts[ProductName],"not found")</f>
        <v>Account</v>
      </c>
      <c r="I748" t="str">
        <f>_xlfn.XLOOKUP(tblOrders[[#This Row],[ProductID]],tblProducts[ProductID],tblProducts[Category],"not found")</f>
        <v>Beauty</v>
      </c>
      <c r="J748">
        <f>_xlfn.XLOOKUP(tblOrders[[#This Row],[ProductID]],tblProducts[ProductID],tblProducts[UnitPrice],"not found")</f>
        <v>112.53</v>
      </c>
      <c r="K748" t="str">
        <f>_xlfn.XLOOKUP(tblOrders[[#This Row],[ProductID]],tblProducts[ProductID],tblProducts[Supplier],"not found")</f>
        <v>Jones, Mueller and Medina</v>
      </c>
      <c r="L748" s="1" t="s">
        <v>2081</v>
      </c>
      <c r="M7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748">
        <v>3</v>
      </c>
      <c r="O748">
        <v>337.59</v>
      </c>
      <c r="P748">
        <f>tblOrders[[#This Row],[Quantity]]*tblOrders[[#This Row],[Unit Price]]</f>
        <v>337.59000000000003</v>
      </c>
      <c r="Q748">
        <f>tblOrders[[#This Row],[TotalSales]]-tblOrders[[#This Row],[Calculated Sales]]</f>
        <v>0</v>
      </c>
    </row>
    <row r="749" spans="1:17" x14ac:dyDescent="0.25">
      <c r="A749">
        <v>1358</v>
      </c>
      <c r="B749">
        <v>681</v>
      </c>
      <c r="C749" t="str">
        <f>_xlfn.XLOOKUP(tblOrders[[#This Row],[CustomerID]],tblCustomers[CustomerID],tblCustomers[CustomerName],"not found")</f>
        <v>Robert Brown</v>
      </c>
      <c r="D749">
        <f>_xlfn.XLOOKUP(tblOrders[[#This Row],[CustomerID]],tblCustomers[CustomerID],tblCustomers[Age],"not found")</f>
        <v>22</v>
      </c>
      <c r="E749" t="str">
        <f>_xlfn.XLOOKUP(tblOrders[[#This Row],[CustomerID]],tblCustomers[CustomerID],tblCustomers[Gender],"not found")</f>
        <v>Female</v>
      </c>
      <c r="F749" t="str">
        <f>_xlfn.XLOOKUP(tblOrders[[#This Row],[CustomerID]],tblCustomers[CustomerID],tblCustomers[Region],"not found")</f>
        <v>East</v>
      </c>
      <c r="G749">
        <v>1029</v>
      </c>
      <c r="H749" t="str">
        <f>_xlfn.XLOOKUP(tblOrders[[#This Row],[ProductID]],tblProducts[ProductID],tblProducts[ProductName],"not found")</f>
        <v>Account</v>
      </c>
      <c r="I749" t="str">
        <f>_xlfn.XLOOKUP(tblOrders[[#This Row],[ProductID]],tblProducts[ProductID],tblProducts[Category],"not found")</f>
        <v>Beauty</v>
      </c>
      <c r="J749">
        <f>_xlfn.XLOOKUP(tblOrders[[#This Row],[ProductID]],tblProducts[ProductID],tblProducts[UnitPrice],"not found")</f>
        <v>112.53</v>
      </c>
      <c r="K749" t="str">
        <f>_xlfn.XLOOKUP(tblOrders[[#This Row],[ProductID]],tblProducts[ProductID],tblProducts[Supplier],"not found")</f>
        <v>Jones, Mueller and Medina</v>
      </c>
      <c r="L749" s="1" t="s">
        <v>2290</v>
      </c>
      <c r="M7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45189</v>
      </c>
      <c r="N749">
        <v>2</v>
      </c>
      <c r="O749">
        <v>225.06</v>
      </c>
      <c r="P749">
        <f>tblOrders[[#This Row],[Quantity]]*tblOrders[[#This Row],[Unit Price]]</f>
        <v>225.06</v>
      </c>
      <c r="Q749">
        <f>tblOrders[[#This Row],[TotalSales]]-tblOrders[[#This Row],[Calculated Sales]]</f>
        <v>0</v>
      </c>
    </row>
    <row r="750" spans="1:17" x14ac:dyDescent="0.25">
      <c r="A750">
        <v>1389</v>
      </c>
      <c r="B750">
        <v>230</v>
      </c>
      <c r="C750" t="str">
        <f>_xlfn.XLOOKUP(tblOrders[[#This Row],[CustomerID]],tblCustomers[CustomerID],tblCustomers[CustomerName],"not found")</f>
        <v>Brian Nguyen</v>
      </c>
      <c r="D750">
        <f>_xlfn.XLOOKUP(tblOrders[[#This Row],[CustomerID]],tblCustomers[CustomerID],tblCustomers[Age],"not found")</f>
        <v>29</v>
      </c>
      <c r="E750" t="str">
        <f>_xlfn.XLOOKUP(tblOrders[[#This Row],[CustomerID]],tblCustomers[CustomerID],tblCustomers[Gender],"not found")</f>
        <v>Male</v>
      </c>
      <c r="F750" t="str">
        <f>_xlfn.XLOOKUP(tblOrders[[#This Row],[CustomerID]],tblCustomers[CustomerID],tblCustomers[Region],"not found")</f>
        <v>West</v>
      </c>
      <c r="G750">
        <v>1029</v>
      </c>
      <c r="H750" t="str">
        <f>_xlfn.XLOOKUP(tblOrders[[#This Row],[ProductID]],tblProducts[ProductID],tblProducts[ProductName],"not found")</f>
        <v>Account</v>
      </c>
      <c r="I750" t="str">
        <f>_xlfn.XLOOKUP(tblOrders[[#This Row],[ProductID]],tblProducts[ProductID],tblProducts[Category],"not found")</f>
        <v>Beauty</v>
      </c>
      <c r="J750">
        <f>_xlfn.XLOOKUP(tblOrders[[#This Row],[ProductID]],tblProducts[ProductID],tblProducts[UnitPrice],"not found")</f>
        <v>112.53</v>
      </c>
      <c r="K750" t="str">
        <f>_xlfn.XLOOKUP(tblOrders[[#This Row],[ProductID]],tblProducts[ProductID],tblProducts[Supplier],"not found")</f>
        <v>Jones, Mueller and Medina</v>
      </c>
      <c r="L750" s="1">
        <v>45357</v>
      </c>
      <c r="M7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45357</v>
      </c>
      <c r="N750">
        <v>1</v>
      </c>
      <c r="O750">
        <v>112.53</v>
      </c>
      <c r="P750">
        <f>tblOrders[[#This Row],[Quantity]]*tblOrders[[#This Row],[Unit Price]]</f>
        <v>112.53</v>
      </c>
      <c r="Q750">
        <f>tblOrders[[#This Row],[TotalSales]]-tblOrders[[#This Row],[Calculated Sales]]</f>
        <v>0</v>
      </c>
    </row>
    <row r="751" spans="1:17" x14ac:dyDescent="0.25">
      <c r="A751">
        <v>1664</v>
      </c>
      <c r="B751">
        <v>376</v>
      </c>
      <c r="C751" t="str">
        <f>_xlfn.XLOOKUP(tblOrders[[#This Row],[CustomerID]],tblCustomers[CustomerID],tblCustomers[CustomerName],"not found")</f>
        <v>Kristen Rodriguez</v>
      </c>
      <c r="D751">
        <f>_xlfn.XLOOKUP(tblOrders[[#This Row],[CustomerID]],tblCustomers[CustomerID],tblCustomers[Age],"not found")</f>
        <v>31</v>
      </c>
      <c r="E751" t="str">
        <f>_xlfn.XLOOKUP(tblOrders[[#This Row],[CustomerID]],tblCustomers[CustomerID],tblCustomers[Gender],"not found")</f>
        <v>Female</v>
      </c>
      <c r="F751" t="str">
        <f>_xlfn.XLOOKUP(tblOrders[[#This Row],[CustomerID]],tblCustomers[CustomerID],tblCustomers[Region],"not found")</f>
        <v>South</v>
      </c>
      <c r="G751">
        <v>1029</v>
      </c>
      <c r="H751" t="str">
        <f>_xlfn.XLOOKUP(tblOrders[[#This Row],[ProductID]],tblProducts[ProductID],tblProducts[ProductName],"not found")</f>
        <v>Account</v>
      </c>
      <c r="I751" t="str">
        <f>_xlfn.XLOOKUP(tblOrders[[#This Row],[ProductID]],tblProducts[ProductID],tblProducts[Category],"not found")</f>
        <v>Beauty</v>
      </c>
      <c r="J751">
        <f>_xlfn.XLOOKUP(tblOrders[[#This Row],[ProductID]],tblProducts[ProductID],tblProducts[UnitPrice],"not found")</f>
        <v>112.53</v>
      </c>
      <c r="K751" t="str">
        <f>_xlfn.XLOOKUP(tblOrders[[#This Row],[ProductID]],tblProducts[ProductID],tblProducts[Supplier],"not found")</f>
        <v>Jones, Mueller and Medina</v>
      </c>
      <c r="L751" s="1">
        <v>44964</v>
      </c>
      <c r="M7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44964</v>
      </c>
      <c r="N751">
        <v>6</v>
      </c>
      <c r="O751">
        <v>675.18</v>
      </c>
      <c r="P751">
        <f>tblOrders[[#This Row],[Quantity]]*tblOrders[[#This Row],[Unit Price]]</f>
        <v>675.18000000000006</v>
      </c>
      <c r="Q751">
        <f>tblOrders[[#This Row],[TotalSales]]-tblOrders[[#This Row],[Calculated Sales]]</f>
        <v>0</v>
      </c>
    </row>
    <row r="752" spans="1:17" x14ac:dyDescent="0.25">
      <c r="A752">
        <v>1952</v>
      </c>
      <c r="B752">
        <v>652</v>
      </c>
      <c r="C752" t="str">
        <f>_xlfn.XLOOKUP(tblOrders[[#This Row],[CustomerID]],tblCustomers[CustomerID],tblCustomers[CustomerName],"not found")</f>
        <v>Chad Ward</v>
      </c>
      <c r="D752">
        <f>_xlfn.XLOOKUP(tblOrders[[#This Row],[CustomerID]],tblCustomers[CustomerID],tblCustomers[Age],"not found")</f>
        <v>67</v>
      </c>
      <c r="E752" t="str">
        <f>_xlfn.XLOOKUP(tblOrders[[#This Row],[CustomerID]],tblCustomers[CustomerID],tblCustomers[Gender],"not found")</f>
        <v>Female</v>
      </c>
      <c r="F752" t="str">
        <f>_xlfn.XLOOKUP(tblOrders[[#This Row],[CustomerID]],tblCustomers[CustomerID],tblCustomers[Region],"not found")</f>
        <v>Central</v>
      </c>
      <c r="G752">
        <v>1029</v>
      </c>
      <c r="H752" t="str">
        <f>_xlfn.XLOOKUP(tblOrders[[#This Row],[ProductID]],tblProducts[ProductID],tblProducts[ProductName],"not found")</f>
        <v>Account</v>
      </c>
      <c r="I752" t="str">
        <f>_xlfn.XLOOKUP(tblOrders[[#This Row],[ProductID]],tblProducts[ProductID],tblProducts[Category],"not found")</f>
        <v>Beauty</v>
      </c>
      <c r="J752">
        <f>_xlfn.XLOOKUP(tblOrders[[#This Row],[ProductID]],tblProducts[ProductID],tblProducts[UnitPrice],"not found")</f>
        <v>112.53</v>
      </c>
      <c r="K752" t="str">
        <f>_xlfn.XLOOKUP(tblOrders[[#This Row],[ProductID]],tblProducts[ProductID],tblProducts[Supplier],"not found")</f>
        <v>Jones, Mueller and Medina</v>
      </c>
      <c r="L752" s="1">
        <v>45116</v>
      </c>
      <c r="M7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45116</v>
      </c>
      <c r="N752">
        <v>2</v>
      </c>
      <c r="O752">
        <v>225.06</v>
      </c>
      <c r="P752">
        <f>tblOrders[[#This Row],[Quantity]]*tblOrders[[#This Row],[Unit Price]]</f>
        <v>225.06</v>
      </c>
      <c r="Q752">
        <f>tblOrders[[#This Row],[TotalSales]]-tblOrders[[#This Row],[Calculated Sales]]</f>
        <v>0</v>
      </c>
    </row>
    <row r="753" spans="1:17" x14ac:dyDescent="0.25">
      <c r="A753">
        <v>41</v>
      </c>
      <c r="B753">
        <v>133</v>
      </c>
      <c r="C753" t="str">
        <f>_xlfn.XLOOKUP(tblOrders[[#This Row],[CustomerID]],tblCustomers[CustomerID],tblCustomers[CustomerName],"not found")</f>
        <v>Calvin Walker</v>
      </c>
      <c r="D753">
        <f>_xlfn.XLOOKUP(tblOrders[[#This Row],[CustomerID]],tblCustomers[CustomerID],tblCustomers[Age],"not found")</f>
        <v>28</v>
      </c>
      <c r="E753" t="str">
        <f>_xlfn.XLOOKUP(tblOrders[[#This Row],[CustomerID]],tblCustomers[CustomerID],tblCustomers[Gender],"not found")</f>
        <v>Male</v>
      </c>
      <c r="F753" t="str">
        <f>_xlfn.XLOOKUP(tblOrders[[#This Row],[CustomerID]],tblCustomers[CustomerID],tblCustomers[Region],"not found")</f>
        <v>South</v>
      </c>
      <c r="G753">
        <v>1091</v>
      </c>
      <c r="H753" t="str">
        <f>_xlfn.XLOOKUP(tblOrders[[#This Row],[ProductID]],tblProducts[ProductID],tblProducts[ProductName],"not found")</f>
        <v>Fly</v>
      </c>
      <c r="I753" t="str">
        <f>_xlfn.XLOOKUP(tblOrders[[#This Row],[ProductID]],tblProducts[ProductID],tblProducts[Category],"not found")</f>
        <v>Apparel</v>
      </c>
      <c r="J753">
        <f>_xlfn.XLOOKUP(tblOrders[[#This Row],[ProductID]],tblProducts[ProductID],tblProducts[UnitPrice],"not found")</f>
        <v>250.02</v>
      </c>
      <c r="K753" t="str">
        <f>_xlfn.XLOOKUP(tblOrders[[#This Row],[ProductID]],tblProducts[ProductID],tblProducts[Supplier],"not found")</f>
        <v>Todd Group</v>
      </c>
      <c r="L753" s="1" t="s">
        <v>2115</v>
      </c>
      <c r="M7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753">
        <v>6</v>
      </c>
      <c r="O753">
        <v>1500.12</v>
      </c>
      <c r="P753">
        <f>tblOrders[[#This Row],[Quantity]]*tblOrders[[#This Row],[Unit Price]]</f>
        <v>1500.1200000000001</v>
      </c>
      <c r="Q753">
        <f>tblOrders[[#This Row],[TotalSales]]-tblOrders[[#This Row],[Calculated Sales]]</f>
        <v>0</v>
      </c>
    </row>
    <row r="754" spans="1:17" x14ac:dyDescent="0.25">
      <c r="A754">
        <v>53</v>
      </c>
      <c r="B754">
        <v>595</v>
      </c>
      <c r="C754" t="str">
        <f>_xlfn.XLOOKUP(tblOrders[[#This Row],[CustomerID]],tblCustomers[CustomerID],tblCustomers[CustomerName],"not found")</f>
        <v>Daniel Davis</v>
      </c>
      <c r="D754">
        <f>_xlfn.XLOOKUP(tblOrders[[#This Row],[CustomerID]],tblCustomers[CustomerID],tblCustomers[Age],"not found")</f>
        <v>32</v>
      </c>
      <c r="E754" t="str">
        <f>_xlfn.XLOOKUP(tblOrders[[#This Row],[CustomerID]],tblCustomers[CustomerID],tblCustomers[Gender],"not found")</f>
        <v>Female</v>
      </c>
      <c r="F754" t="str">
        <f>_xlfn.XLOOKUP(tblOrders[[#This Row],[CustomerID]],tblCustomers[CustomerID],tblCustomers[Region],"not found")</f>
        <v>South</v>
      </c>
      <c r="G754">
        <v>1091</v>
      </c>
      <c r="H754" t="str">
        <f>_xlfn.XLOOKUP(tblOrders[[#This Row],[ProductID]],tblProducts[ProductID],tblProducts[ProductName],"not found")</f>
        <v>Fly</v>
      </c>
      <c r="I754" t="str">
        <f>_xlfn.XLOOKUP(tblOrders[[#This Row],[ProductID]],tblProducts[ProductID],tblProducts[Category],"not found")</f>
        <v>Apparel</v>
      </c>
      <c r="J754">
        <f>_xlfn.XLOOKUP(tblOrders[[#This Row],[ProductID]],tblProducts[ProductID],tblProducts[UnitPrice],"not found")</f>
        <v>250.02</v>
      </c>
      <c r="K754" t="str">
        <f>_xlfn.XLOOKUP(tblOrders[[#This Row],[ProductID]],tblProducts[ProductID],tblProducts[Supplier],"not found")</f>
        <v>Todd Group</v>
      </c>
      <c r="L754" s="1">
        <v>45238</v>
      </c>
      <c r="M7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45238</v>
      </c>
      <c r="N754">
        <v>5</v>
      </c>
      <c r="O754">
        <v>1250.0999999999999</v>
      </c>
      <c r="P754">
        <f>tblOrders[[#This Row],[Quantity]]*tblOrders[[#This Row],[Unit Price]]</f>
        <v>1250.1000000000001</v>
      </c>
      <c r="Q754">
        <f>tblOrders[[#This Row],[TotalSales]]-tblOrders[[#This Row],[Calculated Sales]]</f>
        <v>0</v>
      </c>
    </row>
    <row r="755" spans="1:17" x14ac:dyDescent="0.25">
      <c r="A755">
        <v>66</v>
      </c>
      <c r="B755">
        <v>96</v>
      </c>
      <c r="C755" t="str">
        <f>_xlfn.XLOOKUP(tblOrders[[#This Row],[CustomerID]],tblCustomers[CustomerID],tblCustomers[CustomerName],"not found")</f>
        <v>Seth Santiago</v>
      </c>
      <c r="D755">
        <f>_xlfn.XLOOKUP(tblOrders[[#This Row],[CustomerID]],tblCustomers[CustomerID],tblCustomers[Age],"not found")</f>
        <v>28</v>
      </c>
      <c r="E755" t="str">
        <f>_xlfn.XLOOKUP(tblOrders[[#This Row],[CustomerID]],tblCustomers[CustomerID],tblCustomers[Gender],"not found")</f>
        <v>Female</v>
      </c>
      <c r="F755" t="str">
        <f>_xlfn.XLOOKUP(tblOrders[[#This Row],[CustomerID]],tblCustomers[CustomerID],tblCustomers[Region],"not found")</f>
        <v>West</v>
      </c>
      <c r="G755">
        <v>1091</v>
      </c>
      <c r="H755" t="str">
        <f>_xlfn.XLOOKUP(tblOrders[[#This Row],[ProductID]],tblProducts[ProductID],tblProducts[ProductName],"not found")</f>
        <v>Fly</v>
      </c>
      <c r="I755" t="str">
        <f>_xlfn.XLOOKUP(tblOrders[[#This Row],[ProductID]],tblProducts[ProductID],tblProducts[Category],"not found")</f>
        <v>Apparel</v>
      </c>
      <c r="J755">
        <f>_xlfn.XLOOKUP(tblOrders[[#This Row],[ProductID]],tblProducts[ProductID],tblProducts[UnitPrice],"not found")</f>
        <v>250.02</v>
      </c>
      <c r="K755" t="str">
        <f>_xlfn.XLOOKUP(tblOrders[[#This Row],[ProductID]],tblProducts[ProductID],tblProducts[Supplier],"not found")</f>
        <v>Todd Group</v>
      </c>
      <c r="L755" s="1" t="s">
        <v>2205</v>
      </c>
      <c r="M7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44894</v>
      </c>
      <c r="N755">
        <v>9</v>
      </c>
      <c r="O755">
        <v>2250.1799999999998</v>
      </c>
      <c r="P755">
        <f>tblOrders[[#This Row],[Quantity]]*tblOrders[[#This Row],[Unit Price]]</f>
        <v>2250.1800000000003</v>
      </c>
      <c r="Q755">
        <f>tblOrders[[#This Row],[TotalSales]]-tblOrders[[#This Row],[Calculated Sales]]</f>
        <v>0</v>
      </c>
    </row>
    <row r="756" spans="1:17" x14ac:dyDescent="0.25">
      <c r="A756">
        <v>140</v>
      </c>
      <c r="B756">
        <v>74</v>
      </c>
      <c r="C756" t="str">
        <f>_xlfn.XLOOKUP(tblOrders[[#This Row],[CustomerID]],tblCustomers[CustomerID],tblCustomers[CustomerName],"not found")</f>
        <v>Gregory Miller</v>
      </c>
      <c r="D756">
        <f>_xlfn.XLOOKUP(tblOrders[[#This Row],[CustomerID]],tblCustomers[CustomerID],tblCustomers[Age],"not found")</f>
        <v>57</v>
      </c>
      <c r="E756" t="str">
        <f>_xlfn.XLOOKUP(tblOrders[[#This Row],[CustomerID]],tblCustomers[CustomerID],tblCustomers[Gender],"not found")</f>
        <v>Male</v>
      </c>
      <c r="F756" t="str">
        <f>_xlfn.XLOOKUP(tblOrders[[#This Row],[CustomerID]],tblCustomers[CustomerID],tblCustomers[Region],"not found")</f>
        <v>East</v>
      </c>
      <c r="G756">
        <v>1091</v>
      </c>
      <c r="H756" t="str">
        <f>_xlfn.XLOOKUP(tblOrders[[#This Row],[ProductID]],tblProducts[ProductID],tblProducts[ProductName],"not found")</f>
        <v>Fly</v>
      </c>
      <c r="I756" t="str">
        <f>_xlfn.XLOOKUP(tblOrders[[#This Row],[ProductID]],tblProducts[ProductID],tblProducts[Category],"not found")</f>
        <v>Apparel</v>
      </c>
      <c r="J756">
        <f>_xlfn.XLOOKUP(tblOrders[[#This Row],[ProductID]],tblProducts[ProductID],tblProducts[UnitPrice],"not found")</f>
        <v>250.02</v>
      </c>
      <c r="K756" t="str">
        <f>_xlfn.XLOOKUP(tblOrders[[#This Row],[ProductID]],tblProducts[ProductID],tblProducts[Supplier],"not found")</f>
        <v>Todd Group</v>
      </c>
      <c r="L756" s="1" t="s">
        <v>2101</v>
      </c>
      <c r="M7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45456</v>
      </c>
      <c r="N756">
        <v>7</v>
      </c>
      <c r="O756">
        <v>1750.14</v>
      </c>
      <c r="P756">
        <f>tblOrders[[#This Row],[Quantity]]*tblOrders[[#This Row],[Unit Price]]</f>
        <v>1750.14</v>
      </c>
      <c r="Q756">
        <f>tblOrders[[#This Row],[TotalSales]]-tblOrders[[#This Row],[Calculated Sales]]</f>
        <v>0</v>
      </c>
    </row>
    <row r="757" spans="1:17" x14ac:dyDescent="0.25">
      <c r="A757">
        <v>268</v>
      </c>
      <c r="B757">
        <v>369</v>
      </c>
      <c r="C757" t="str">
        <f>_xlfn.XLOOKUP(tblOrders[[#This Row],[CustomerID]],tblCustomers[CustomerID],tblCustomers[CustomerName],"not found")</f>
        <v>Amy Gonzalez</v>
      </c>
      <c r="D757">
        <f>_xlfn.XLOOKUP(tblOrders[[#This Row],[CustomerID]],tblCustomers[CustomerID],tblCustomers[Age],"not found")</f>
        <v>35</v>
      </c>
      <c r="E757" t="str">
        <f>_xlfn.XLOOKUP(tblOrders[[#This Row],[CustomerID]],tblCustomers[CustomerID],tblCustomers[Gender],"not found")</f>
        <v>Male</v>
      </c>
      <c r="F757" t="str">
        <f>_xlfn.XLOOKUP(tblOrders[[#This Row],[CustomerID]],tblCustomers[CustomerID],tblCustomers[Region],"not found")</f>
        <v>Central</v>
      </c>
      <c r="G757">
        <v>1091</v>
      </c>
      <c r="H757" t="str">
        <f>_xlfn.XLOOKUP(tblOrders[[#This Row],[ProductID]],tblProducts[ProductID],tblProducts[ProductName],"not found")</f>
        <v>Fly</v>
      </c>
      <c r="I757" t="str">
        <f>_xlfn.XLOOKUP(tblOrders[[#This Row],[ProductID]],tblProducts[ProductID],tblProducts[Category],"not found")</f>
        <v>Apparel</v>
      </c>
      <c r="J757">
        <f>_xlfn.XLOOKUP(tblOrders[[#This Row],[ProductID]],tblProducts[ProductID],tblProducts[UnitPrice],"not found")</f>
        <v>250.02</v>
      </c>
      <c r="K757" t="str">
        <f>_xlfn.XLOOKUP(tblOrders[[#This Row],[ProductID]],tblProducts[ProductID],tblProducts[Supplier],"not found")</f>
        <v>Todd Group</v>
      </c>
      <c r="L757" s="1" t="s">
        <v>2291</v>
      </c>
      <c r="M7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45595</v>
      </c>
      <c r="N757">
        <v>6</v>
      </c>
      <c r="O757">
        <v>1500.12</v>
      </c>
      <c r="P757">
        <f>tblOrders[[#This Row],[Quantity]]*tblOrders[[#This Row],[Unit Price]]</f>
        <v>1500.1200000000001</v>
      </c>
      <c r="Q757">
        <f>tblOrders[[#This Row],[TotalSales]]-tblOrders[[#This Row],[Calculated Sales]]</f>
        <v>0</v>
      </c>
    </row>
    <row r="758" spans="1:17" x14ac:dyDescent="0.25">
      <c r="A758">
        <v>324</v>
      </c>
      <c r="B758">
        <v>919</v>
      </c>
      <c r="C758" t="str">
        <f>_xlfn.XLOOKUP(tblOrders[[#This Row],[CustomerID]],tblCustomers[CustomerID],tblCustomers[CustomerName],"not found")</f>
        <v>Gabriella Johnson</v>
      </c>
      <c r="D758">
        <f>_xlfn.XLOOKUP(tblOrders[[#This Row],[CustomerID]],tblCustomers[CustomerID],tblCustomers[Age],"not found")</f>
        <v>25</v>
      </c>
      <c r="E758" t="str">
        <f>_xlfn.XLOOKUP(tblOrders[[#This Row],[CustomerID]],tblCustomers[CustomerID],tblCustomers[Gender],"not found")</f>
        <v>Male</v>
      </c>
      <c r="F758" t="str">
        <f>_xlfn.XLOOKUP(tblOrders[[#This Row],[CustomerID]],tblCustomers[CustomerID],tblCustomers[Region],"not found")</f>
        <v>West</v>
      </c>
      <c r="G758">
        <v>1091</v>
      </c>
      <c r="H758" t="str">
        <f>_xlfn.XLOOKUP(tblOrders[[#This Row],[ProductID]],tblProducts[ProductID],tblProducts[ProductName],"not found")</f>
        <v>Fly</v>
      </c>
      <c r="I758" t="str">
        <f>_xlfn.XLOOKUP(tblOrders[[#This Row],[ProductID]],tblProducts[ProductID],tblProducts[Category],"not found")</f>
        <v>Apparel</v>
      </c>
      <c r="J758">
        <f>_xlfn.XLOOKUP(tblOrders[[#This Row],[ProductID]],tblProducts[ProductID],tblProducts[UnitPrice],"not found")</f>
        <v>250.02</v>
      </c>
      <c r="K758" t="str">
        <f>_xlfn.XLOOKUP(tblOrders[[#This Row],[ProductID]],tblProducts[ProductID],tblProducts[Supplier],"not found")</f>
        <v>Todd Group</v>
      </c>
      <c r="L758" s="1" t="s">
        <v>2292</v>
      </c>
      <c r="M7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45586</v>
      </c>
      <c r="N758">
        <v>9</v>
      </c>
      <c r="O758">
        <v>2250.1799999999998</v>
      </c>
      <c r="P758">
        <f>tblOrders[[#This Row],[Quantity]]*tblOrders[[#This Row],[Unit Price]]</f>
        <v>2250.1800000000003</v>
      </c>
      <c r="Q758">
        <f>tblOrders[[#This Row],[TotalSales]]-tblOrders[[#This Row],[Calculated Sales]]</f>
        <v>0</v>
      </c>
    </row>
    <row r="759" spans="1:17" x14ac:dyDescent="0.25">
      <c r="A759">
        <v>328</v>
      </c>
      <c r="B759">
        <v>456</v>
      </c>
      <c r="C759" t="str">
        <f>_xlfn.XLOOKUP(tblOrders[[#This Row],[CustomerID]],tblCustomers[CustomerID],tblCustomers[CustomerName],"not found")</f>
        <v>Valerie Mays</v>
      </c>
      <c r="D759">
        <f>_xlfn.XLOOKUP(tblOrders[[#This Row],[CustomerID]],tblCustomers[CustomerID],tblCustomers[Age],"not found")</f>
        <v>50</v>
      </c>
      <c r="E759" t="str">
        <f>_xlfn.XLOOKUP(tblOrders[[#This Row],[CustomerID]],tblCustomers[CustomerID],tblCustomers[Gender],"not found")</f>
        <v>Male</v>
      </c>
      <c r="F759" t="str">
        <f>_xlfn.XLOOKUP(tblOrders[[#This Row],[CustomerID]],tblCustomers[CustomerID],tblCustomers[Region],"not found")</f>
        <v>West</v>
      </c>
      <c r="G759">
        <v>1091</v>
      </c>
      <c r="H759" t="str">
        <f>_xlfn.XLOOKUP(tblOrders[[#This Row],[ProductID]],tblProducts[ProductID],tblProducts[ProductName],"not found")</f>
        <v>Fly</v>
      </c>
      <c r="I759" t="str">
        <f>_xlfn.XLOOKUP(tblOrders[[#This Row],[ProductID]],tblProducts[ProductID],tblProducts[Category],"not found")</f>
        <v>Apparel</v>
      </c>
      <c r="J759">
        <f>_xlfn.XLOOKUP(tblOrders[[#This Row],[ProductID]],tblProducts[ProductID],tblProducts[UnitPrice],"not found")</f>
        <v>250.02</v>
      </c>
      <c r="K759" t="str">
        <f>_xlfn.XLOOKUP(tblOrders[[#This Row],[ProductID]],tblProducts[ProductID],tblProducts[Supplier],"not found")</f>
        <v>Todd Group</v>
      </c>
      <c r="L759" s="1" t="s">
        <v>2199</v>
      </c>
      <c r="M7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44973</v>
      </c>
      <c r="N759">
        <v>4</v>
      </c>
      <c r="O759">
        <v>1000.08</v>
      </c>
      <c r="P759">
        <f>tblOrders[[#This Row],[Quantity]]*tblOrders[[#This Row],[Unit Price]]</f>
        <v>1000.08</v>
      </c>
      <c r="Q759">
        <f>tblOrders[[#This Row],[TotalSales]]-tblOrders[[#This Row],[Calculated Sales]]</f>
        <v>0</v>
      </c>
    </row>
    <row r="760" spans="1:17" x14ac:dyDescent="0.25">
      <c r="A760">
        <v>330</v>
      </c>
      <c r="B760">
        <v>24</v>
      </c>
      <c r="C760" t="str">
        <f>_xlfn.XLOOKUP(tblOrders[[#This Row],[CustomerID]],tblCustomers[CustomerID],tblCustomers[CustomerName],"not found")</f>
        <v>James Weaver</v>
      </c>
      <c r="D760">
        <f>_xlfn.XLOOKUP(tblOrders[[#This Row],[CustomerID]],tblCustomers[CustomerID],tblCustomers[Age],"not found")</f>
        <v>65</v>
      </c>
      <c r="E760" t="str">
        <f>_xlfn.XLOOKUP(tblOrders[[#This Row],[CustomerID]],tblCustomers[CustomerID],tblCustomers[Gender],"not found")</f>
        <v>Female</v>
      </c>
      <c r="F760" t="str">
        <f>_xlfn.XLOOKUP(tblOrders[[#This Row],[CustomerID]],tblCustomers[CustomerID],tblCustomers[Region],"not found")</f>
        <v>Central</v>
      </c>
      <c r="G760">
        <v>1091</v>
      </c>
      <c r="H760" t="str">
        <f>_xlfn.XLOOKUP(tblOrders[[#This Row],[ProductID]],tblProducts[ProductID],tblProducts[ProductName],"not found")</f>
        <v>Fly</v>
      </c>
      <c r="I760" t="str">
        <f>_xlfn.XLOOKUP(tblOrders[[#This Row],[ProductID]],tblProducts[ProductID],tblProducts[Category],"not found")</f>
        <v>Apparel</v>
      </c>
      <c r="J760">
        <f>_xlfn.XLOOKUP(tblOrders[[#This Row],[ProductID]],tblProducts[ProductID],tblProducts[UnitPrice],"not found")</f>
        <v>250.02</v>
      </c>
      <c r="K760" t="str">
        <f>_xlfn.XLOOKUP(tblOrders[[#This Row],[ProductID]],tblProducts[ProductID],tblProducts[Supplier],"not found")</f>
        <v>Todd Group</v>
      </c>
      <c r="L760" s="1">
        <v>45541</v>
      </c>
      <c r="M7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45541</v>
      </c>
      <c r="N760">
        <v>8</v>
      </c>
      <c r="O760">
        <v>2000.16</v>
      </c>
      <c r="P760">
        <f>tblOrders[[#This Row],[Quantity]]*tblOrders[[#This Row],[Unit Price]]</f>
        <v>2000.16</v>
      </c>
      <c r="Q760">
        <f>tblOrders[[#This Row],[TotalSales]]-tblOrders[[#This Row],[Calculated Sales]]</f>
        <v>0</v>
      </c>
    </row>
    <row r="761" spans="1:17" x14ac:dyDescent="0.25">
      <c r="A761">
        <v>361</v>
      </c>
      <c r="B761">
        <v>567</v>
      </c>
      <c r="C761" t="str">
        <f>_xlfn.XLOOKUP(tblOrders[[#This Row],[CustomerID]],tblCustomers[CustomerID],tblCustomers[CustomerName],"not found")</f>
        <v>Alyssa Gilmore</v>
      </c>
      <c r="D761">
        <f>_xlfn.XLOOKUP(tblOrders[[#This Row],[CustomerID]],tblCustomers[CustomerID],tblCustomers[Age],"not found")</f>
        <v>53</v>
      </c>
      <c r="E761" t="str">
        <f>_xlfn.XLOOKUP(tblOrders[[#This Row],[CustomerID]],tblCustomers[CustomerID],tblCustomers[Gender],"not found")</f>
        <v>Female</v>
      </c>
      <c r="F761" t="str">
        <f>_xlfn.XLOOKUP(tblOrders[[#This Row],[CustomerID]],tblCustomers[CustomerID],tblCustomers[Region],"not found")</f>
        <v>East</v>
      </c>
      <c r="G761">
        <v>1091</v>
      </c>
      <c r="H761" t="str">
        <f>_xlfn.XLOOKUP(tblOrders[[#This Row],[ProductID]],tblProducts[ProductID],tblProducts[ProductName],"not found")</f>
        <v>Fly</v>
      </c>
      <c r="I761" t="str">
        <f>_xlfn.XLOOKUP(tblOrders[[#This Row],[ProductID]],tblProducts[ProductID],tblProducts[Category],"not found")</f>
        <v>Apparel</v>
      </c>
      <c r="J761">
        <f>_xlfn.XLOOKUP(tblOrders[[#This Row],[ProductID]],tblProducts[ProductID],tblProducts[UnitPrice],"not found")</f>
        <v>250.02</v>
      </c>
      <c r="K761" t="str">
        <f>_xlfn.XLOOKUP(tblOrders[[#This Row],[ProductID]],tblProducts[ProductID],tblProducts[Supplier],"not found")</f>
        <v>Todd Group</v>
      </c>
      <c r="L761" s="1" t="s">
        <v>2293</v>
      </c>
      <c r="M7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45103</v>
      </c>
      <c r="N761">
        <v>4</v>
      </c>
      <c r="O761">
        <v>1000.08</v>
      </c>
      <c r="P761">
        <f>tblOrders[[#This Row],[Quantity]]*tblOrders[[#This Row],[Unit Price]]</f>
        <v>1000.08</v>
      </c>
      <c r="Q761">
        <f>tblOrders[[#This Row],[TotalSales]]-tblOrders[[#This Row],[Calculated Sales]]</f>
        <v>0</v>
      </c>
    </row>
    <row r="762" spans="1:17" x14ac:dyDescent="0.25">
      <c r="A762">
        <v>503</v>
      </c>
      <c r="B762">
        <v>638</v>
      </c>
      <c r="C762" t="str">
        <f>_xlfn.XLOOKUP(tblOrders[[#This Row],[CustomerID]],tblCustomers[CustomerID],tblCustomers[CustomerName],"not found")</f>
        <v>Donna Foster</v>
      </c>
      <c r="D762">
        <f>_xlfn.XLOOKUP(tblOrders[[#This Row],[CustomerID]],tblCustomers[CustomerID],tblCustomers[Age],"not found")</f>
        <v>62</v>
      </c>
      <c r="E762" t="str">
        <f>_xlfn.XLOOKUP(tblOrders[[#This Row],[CustomerID]],tblCustomers[CustomerID],tblCustomers[Gender],"not found")</f>
        <v>Female</v>
      </c>
      <c r="F762" t="str">
        <f>_xlfn.XLOOKUP(tblOrders[[#This Row],[CustomerID]],tblCustomers[CustomerID],tblCustomers[Region],"not found")</f>
        <v>East</v>
      </c>
      <c r="G762">
        <v>1091</v>
      </c>
      <c r="H762" t="str">
        <f>_xlfn.XLOOKUP(tblOrders[[#This Row],[ProductID]],tblProducts[ProductID],tblProducts[ProductName],"not found")</f>
        <v>Fly</v>
      </c>
      <c r="I762" t="str">
        <f>_xlfn.XLOOKUP(tblOrders[[#This Row],[ProductID]],tblProducts[ProductID],tblProducts[Category],"not found")</f>
        <v>Apparel</v>
      </c>
      <c r="J762">
        <f>_xlfn.XLOOKUP(tblOrders[[#This Row],[ProductID]],tblProducts[ProductID],tblProducts[UnitPrice],"not found")</f>
        <v>250.02</v>
      </c>
      <c r="K762" t="str">
        <f>_xlfn.XLOOKUP(tblOrders[[#This Row],[ProductID]],tblProducts[ProductID],tblProducts[Supplier],"not found")</f>
        <v>Todd Group</v>
      </c>
      <c r="L762" s="1" t="s">
        <v>2294</v>
      </c>
      <c r="M7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45459</v>
      </c>
      <c r="N762">
        <v>8</v>
      </c>
      <c r="O762">
        <v>2000.16</v>
      </c>
      <c r="P762">
        <f>tblOrders[[#This Row],[Quantity]]*tblOrders[[#This Row],[Unit Price]]</f>
        <v>2000.16</v>
      </c>
      <c r="Q762">
        <f>tblOrders[[#This Row],[TotalSales]]-tblOrders[[#This Row],[Calculated Sales]]</f>
        <v>0</v>
      </c>
    </row>
    <row r="763" spans="1:17" x14ac:dyDescent="0.25">
      <c r="A763">
        <v>638</v>
      </c>
      <c r="B763">
        <v>54</v>
      </c>
      <c r="C763" t="str">
        <f>_xlfn.XLOOKUP(tblOrders[[#This Row],[CustomerID]],tblCustomers[CustomerID],tblCustomers[CustomerName],"not found")</f>
        <v>Jamie Sherman</v>
      </c>
      <c r="D763">
        <f>_xlfn.XLOOKUP(tblOrders[[#This Row],[CustomerID]],tblCustomers[CustomerID],tblCustomers[Age],"not found")</f>
        <v>64</v>
      </c>
      <c r="E763" t="str">
        <f>_xlfn.XLOOKUP(tblOrders[[#This Row],[CustomerID]],tblCustomers[CustomerID],tblCustomers[Gender],"not found")</f>
        <v>Male</v>
      </c>
      <c r="F763" t="str">
        <f>_xlfn.XLOOKUP(tblOrders[[#This Row],[CustomerID]],tblCustomers[CustomerID],tblCustomers[Region],"not found")</f>
        <v>Central</v>
      </c>
      <c r="G763">
        <v>1091</v>
      </c>
      <c r="H763" t="str">
        <f>_xlfn.XLOOKUP(tblOrders[[#This Row],[ProductID]],tblProducts[ProductID],tblProducts[ProductName],"not found")</f>
        <v>Fly</v>
      </c>
      <c r="I763" t="str">
        <f>_xlfn.XLOOKUP(tblOrders[[#This Row],[ProductID]],tblProducts[ProductID],tblProducts[Category],"not found")</f>
        <v>Apparel</v>
      </c>
      <c r="J763">
        <f>_xlfn.XLOOKUP(tblOrders[[#This Row],[ProductID]],tblProducts[ProductID],tblProducts[UnitPrice],"not found")</f>
        <v>250.02</v>
      </c>
      <c r="K763" t="str">
        <f>_xlfn.XLOOKUP(tblOrders[[#This Row],[ProductID]],tblProducts[ProductID],tblProducts[Supplier],"not found")</f>
        <v>Todd Group</v>
      </c>
      <c r="L763" s="1" t="s">
        <v>2115</v>
      </c>
      <c r="M7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763">
        <v>5</v>
      </c>
      <c r="O763">
        <v>1250.0999999999999</v>
      </c>
      <c r="P763">
        <f>tblOrders[[#This Row],[Quantity]]*tblOrders[[#This Row],[Unit Price]]</f>
        <v>1250.1000000000001</v>
      </c>
      <c r="Q763">
        <f>tblOrders[[#This Row],[TotalSales]]-tblOrders[[#This Row],[Calculated Sales]]</f>
        <v>0</v>
      </c>
    </row>
    <row r="764" spans="1:17" x14ac:dyDescent="0.25">
      <c r="A764">
        <v>1038</v>
      </c>
      <c r="B764">
        <v>303</v>
      </c>
      <c r="C764" t="str">
        <f>_xlfn.XLOOKUP(tblOrders[[#This Row],[CustomerID]],tblCustomers[CustomerID],tblCustomers[CustomerName],"not found")</f>
        <v>Amy Meyer</v>
      </c>
      <c r="D764">
        <f>_xlfn.XLOOKUP(tblOrders[[#This Row],[CustomerID]],tblCustomers[CustomerID],tblCustomers[Age],"not found")</f>
        <v>52</v>
      </c>
      <c r="E764" t="str">
        <f>_xlfn.XLOOKUP(tblOrders[[#This Row],[CustomerID]],tblCustomers[CustomerID],tblCustomers[Gender],"not found")</f>
        <v>Male</v>
      </c>
      <c r="F764" t="str">
        <f>_xlfn.XLOOKUP(tblOrders[[#This Row],[CustomerID]],tblCustomers[CustomerID],tblCustomers[Region],"not found")</f>
        <v>West</v>
      </c>
      <c r="G764">
        <v>1091</v>
      </c>
      <c r="H764" t="str">
        <f>_xlfn.XLOOKUP(tblOrders[[#This Row],[ProductID]],tblProducts[ProductID],tblProducts[ProductName],"not found")</f>
        <v>Fly</v>
      </c>
      <c r="I764" t="str">
        <f>_xlfn.XLOOKUP(tblOrders[[#This Row],[ProductID]],tblProducts[ProductID],tblProducts[Category],"not found")</f>
        <v>Apparel</v>
      </c>
      <c r="J764">
        <f>_xlfn.XLOOKUP(tblOrders[[#This Row],[ProductID]],tblProducts[ProductID],tblProducts[UnitPrice],"not found")</f>
        <v>250.02</v>
      </c>
      <c r="K764" t="str">
        <f>_xlfn.XLOOKUP(tblOrders[[#This Row],[ProductID]],tblProducts[ProductID],tblProducts[Supplier],"not found")</f>
        <v>Todd Group</v>
      </c>
      <c r="L764" s="1" t="s">
        <v>2272</v>
      </c>
      <c r="M7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44914</v>
      </c>
      <c r="N764">
        <v>2</v>
      </c>
      <c r="O764">
        <v>500.04</v>
      </c>
      <c r="P764">
        <f>tblOrders[[#This Row],[Quantity]]*tblOrders[[#This Row],[Unit Price]]</f>
        <v>500.04</v>
      </c>
      <c r="Q764">
        <f>tblOrders[[#This Row],[TotalSales]]-tblOrders[[#This Row],[Calculated Sales]]</f>
        <v>0</v>
      </c>
    </row>
    <row r="765" spans="1:17" x14ac:dyDescent="0.25">
      <c r="A765">
        <v>1090</v>
      </c>
      <c r="B765">
        <v>24</v>
      </c>
      <c r="C765" t="str">
        <f>_xlfn.XLOOKUP(tblOrders[[#This Row],[CustomerID]],tblCustomers[CustomerID],tblCustomers[CustomerName],"not found")</f>
        <v>James Weaver</v>
      </c>
      <c r="D765">
        <f>_xlfn.XLOOKUP(tblOrders[[#This Row],[CustomerID]],tblCustomers[CustomerID],tblCustomers[Age],"not found")</f>
        <v>65</v>
      </c>
      <c r="E765" t="str">
        <f>_xlfn.XLOOKUP(tblOrders[[#This Row],[CustomerID]],tblCustomers[CustomerID],tblCustomers[Gender],"not found")</f>
        <v>Female</v>
      </c>
      <c r="F765" t="str">
        <f>_xlfn.XLOOKUP(tblOrders[[#This Row],[CustomerID]],tblCustomers[CustomerID],tblCustomers[Region],"not found")</f>
        <v>Central</v>
      </c>
      <c r="G765">
        <v>1091</v>
      </c>
      <c r="H765" t="str">
        <f>_xlfn.XLOOKUP(tblOrders[[#This Row],[ProductID]],tblProducts[ProductID],tblProducts[ProductName],"not found")</f>
        <v>Fly</v>
      </c>
      <c r="I765" t="str">
        <f>_xlfn.XLOOKUP(tblOrders[[#This Row],[ProductID]],tblProducts[ProductID],tblProducts[Category],"not found")</f>
        <v>Apparel</v>
      </c>
      <c r="J765">
        <f>_xlfn.XLOOKUP(tblOrders[[#This Row],[ProductID]],tblProducts[ProductID],tblProducts[UnitPrice],"not found")</f>
        <v>250.02</v>
      </c>
      <c r="K765" t="str">
        <f>_xlfn.XLOOKUP(tblOrders[[#This Row],[ProductID]],tblProducts[ProductID],tblProducts[Supplier],"not found")</f>
        <v>Todd Group</v>
      </c>
      <c r="L765" s="1" t="s">
        <v>2255</v>
      </c>
      <c r="M7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45121</v>
      </c>
      <c r="N765">
        <v>5</v>
      </c>
      <c r="O765">
        <v>1250.0999999999999</v>
      </c>
      <c r="P765">
        <f>tblOrders[[#This Row],[Quantity]]*tblOrders[[#This Row],[Unit Price]]</f>
        <v>1250.1000000000001</v>
      </c>
      <c r="Q765">
        <f>tblOrders[[#This Row],[TotalSales]]-tblOrders[[#This Row],[Calculated Sales]]</f>
        <v>0</v>
      </c>
    </row>
    <row r="766" spans="1:17" x14ac:dyDescent="0.25">
      <c r="A766">
        <v>1166</v>
      </c>
      <c r="B766">
        <v>802</v>
      </c>
      <c r="C766" t="str">
        <f>_xlfn.XLOOKUP(tblOrders[[#This Row],[CustomerID]],tblCustomers[CustomerID],tblCustomers[CustomerName],"not found")</f>
        <v>Michele Powell</v>
      </c>
      <c r="D766">
        <f>_xlfn.XLOOKUP(tblOrders[[#This Row],[CustomerID]],tblCustomers[CustomerID],tblCustomers[Age],"not found")</f>
        <v>35</v>
      </c>
      <c r="E766" t="str">
        <f>_xlfn.XLOOKUP(tblOrders[[#This Row],[CustomerID]],tblCustomers[CustomerID],tblCustomers[Gender],"not found")</f>
        <v>Female</v>
      </c>
      <c r="F766" t="str">
        <f>_xlfn.XLOOKUP(tblOrders[[#This Row],[CustomerID]],tblCustomers[CustomerID],tblCustomers[Region],"not found")</f>
        <v>Central</v>
      </c>
      <c r="G766">
        <v>1091</v>
      </c>
      <c r="H766" t="str">
        <f>_xlfn.XLOOKUP(tblOrders[[#This Row],[ProductID]],tblProducts[ProductID],tblProducts[ProductName],"not found")</f>
        <v>Fly</v>
      </c>
      <c r="I766" t="str">
        <f>_xlfn.XLOOKUP(tblOrders[[#This Row],[ProductID]],tblProducts[ProductID],tblProducts[Category],"not found")</f>
        <v>Apparel</v>
      </c>
      <c r="J766">
        <f>_xlfn.XLOOKUP(tblOrders[[#This Row],[ProductID]],tblProducts[ProductID],tblProducts[UnitPrice],"not found")</f>
        <v>250.02</v>
      </c>
      <c r="K766" t="str">
        <f>_xlfn.XLOOKUP(tblOrders[[#This Row],[ProductID]],tblProducts[ProductID],tblProducts[Supplier],"not found")</f>
        <v>Todd Group</v>
      </c>
      <c r="L766" s="1" t="s">
        <v>2202</v>
      </c>
      <c r="M7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45157</v>
      </c>
      <c r="N766">
        <v>8</v>
      </c>
      <c r="O766">
        <v>2000.16</v>
      </c>
      <c r="P766">
        <f>tblOrders[[#This Row],[Quantity]]*tblOrders[[#This Row],[Unit Price]]</f>
        <v>2000.16</v>
      </c>
      <c r="Q766">
        <f>tblOrders[[#This Row],[TotalSales]]-tblOrders[[#This Row],[Calculated Sales]]</f>
        <v>0</v>
      </c>
    </row>
    <row r="767" spans="1:17" x14ac:dyDescent="0.25">
      <c r="A767">
        <v>1179</v>
      </c>
      <c r="B767">
        <v>448</v>
      </c>
      <c r="C767" t="str">
        <f>_xlfn.XLOOKUP(tblOrders[[#This Row],[CustomerID]],tblCustomers[CustomerID],tblCustomers[CustomerName],"not found")</f>
        <v>Dalton Randall</v>
      </c>
      <c r="D767">
        <f>_xlfn.XLOOKUP(tblOrders[[#This Row],[CustomerID]],tblCustomers[CustomerID],tblCustomers[Age],"not found")</f>
        <v>63</v>
      </c>
      <c r="E767" t="str">
        <f>_xlfn.XLOOKUP(tblOrders[[#This Row],[CustomerID]],tblCustomers[CustomerID],tblCustomers[Gender],"not found")</f>
        <v>Male</v>
      </c>
      <c r="F767" t="str">
        <f>_xlfn.XLOOKUP(tblOrders[[#This Row],[CustomerID]],tblCustomers[CustomerID],tblCustomers[Region],"not found")</f>
        <v>North</v>
      </c>
      <c r="G767">
        <v>1091</v>
      </c>
      <c r="H767" t="str">
        <f>_xlfn.XLOOKUP(tblOrders[[#This Row],[ProductID]],tblProducts[ProductID],tblProducts[ProductName],"not found")</f>
        <v>Fly</v>
      </c>
      <c r="I767" t="str">
        <f>_xlfn.XLOOKUP(tblOrders[[#This Row],[ProductID]],tblProducts[ProductID],tblProducts[Category],"not found")</f>
        <v>Apparel</v>
      </c>
      <c r="J767">
        <f>_xlfn.XLOOKUP(tblOrders[[#This Row],[ProductID]],tblProducts[ProductID],tblProducts[UnitPrice],"not found")</f>
        <v>250.02</v>
      </c>
      <c r="K767" t="str">
        <f>_xlfn.XLOOKUP(tblOrders[[#This Row],[ProductID]],tblProducts[ProductID],tblProducts[Supplier],"not found")</f>
        <v>Todd Group</v>
      </c>
      <c r="L767" s="1">
        <v>45539</v>
      </c>
      <c r="M7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45539</v>
      </c>
      <c r="N767">
        <v>8</v>
      </c>
      <c r="O767">
        <v>2000.16</v>
      </c>
      <c r="P767">
        <f>tblOrders[[#This Row],[Quantity]]*tblOrders[[#This Row],[Unit Price]]</f>
        <v>2000.16</v>
      </c>
      <c r="Q767">
        <f>tblOrders[[#This Row],[TotalSales]]-tblOrders[[#This Row],[Calculated Sales]]</f>
        <v>0</v>
      </c>
    </row>
    <row r="768" spans="1:17" x14ac:dyDescent="0.25">
      <c r="A768">
        <v>1235</v>
      </c>
      <c r="B768">
        <v>264</v>
      </c>
      <c r="C768" t="str">
        <f>_xlfn.XLOOKUP(tblOrders[[#This Row],[CustomerID]],tblCustomers[CustomerID],tblCustomers[CustomerName],"not found")</f>
        <v>Nathan Cook</v>
      </c>
      <c r="D768">
        <f>_xlfn.XLOOKUP(tblOrders[[#This Row],[CustomerID]],tblCustomers[CustomerID],tblCustomers[Age],"not found")</f>
        <v>48</v>
      </c>
      <c r="E768" t="str">
        <f>_xlfn.XLOOKUP(tblOrders[[#This Row],[CustomerID]],tblCustomers[CustomerID],tblCustomers[Gender],"not found")</f>
        <v>Female</v>
      </c>
      <c r="F768" t="str">
        <f>_xlfn.XLOOKUP(tblOrders[[#This Row],[CustomerID]],tblCustomers[CustomerID],tblCustomers[Region],"not found")</f>
        <v>South</v>
      </c>
      <c r="G768">
        <v>1091</v>
      </c>
      <c r="H768" t="str">
        <f>_xlfn.XLOOKUP(tblOrders[[#This Row],[ProductID]],tblProducts[ProductID],tblProducts[ProductName],"not found")</f>
        <v>Fly</v>
      </c>
      <c r="I768" t="str">
        <f>_xlfn.XLOOKUP(tblOrders[[#This Row],[ProductID]],tblProducts[ProductID],tblProducts[Category],"not found")</f>
        <v>Apparel</v>
      </c>
      <c r="J768">
        <f>_xlfn.XLOOKUP(tblOrders[[#This Row],[ProductID]],tblProducts[ProductID],tblProducts[UnitPrice],"not found")</f>
        <v>250.02</v>
      </c>
      <c r="K768" t="str">
        <f>_xlfn.XLOOKUP(tblOrders[[#This Row],[ProductID]],tblProducts[ProductID],tblProducts[Supplier],"not found")</f>
        <v>Todd Group</v>
      </c>
      <c r="L768" s="1">
        <v>45146</v>
      </c>
      <c r="M7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45146</v>
      </c>
      <c r="N768">
        <v>5</v>
      </c>
      <c r="O768">
        <v>1250.0999999999999</v>
      </c>
      <c r="P768">
        <f>tblOrders[[#This Row],[Quantity]]*tblOrders[[#This Row],[Unit Price]]</f>
        <v>1250.1000000000001</v>
      </c>
      <c r="Q768">
        <f>tblOrders[[#This Row],[TotalSales]]-tblOrders[[#This Row],[Calculated Sales]]</f>
        <v>0</v>
      </c>
    </row>
    <row r="769" spans="1:17" x14ac:dyDescent="0.25">
      <c r="A769">
        <v>1475</v>
      </c>
      <c r="B769">
        <v>200</v>
      </c>
      <c r="C769" t="str">
        <f>_xlfn.XLOOKUP(tblOrders[[#This Row],[CustomerID]],tblCustomers[CustomerID],tblCustomers[CustomerName],"not found")</f>
        <v>Melissa Bonilla</v>
      </c>
      <c r="D769">
        <f>_xlfn.XLOOKUP(tblOrders[[#This Row],[CustomerID]],tblCustomers[CustomerID],tblCustomers[Age],"not found")</f>
        <v>54</v>
      </c>
      <c r="E769" t="str">
        <f>_xlfn.XLOOKUP(tblOrders[[#This Row],[CustomerID]],tblCustomers[CustomerID],tblCustomers[Gender],"not found")</f>
        <v>Male</v>
      </c>
      <c r="F769" t="str">
        <f>_xlfn.XLOOKUP(tblOrders[[#This Row],[CustomerID]],tblCustomers[CustomerID],tblCustomers[Region],"not found")</f>
        <v>South</v>
      </c>
      <c r="G769">
        <v>1091</v>
      </c>
      <c r="H769" t="str">
        <f>_xlfn.XLOOKUP(tblOrders[[#This Row],[ProductID]],tblProducts[ProductID],tblProducts[ProductName],"not found")</f>
        <v>Fly</v>
      </c>
      <c r="I769" t="str">
        <f>_xlfn.XLOOKUP(tblOrders[[#This Row],[ProductID]],tblProducts[ProductID],tblProducts[Category],"not found")</f>
        <v>Apparel</v>
      </c>
      <c r="J769">
        <f>_xlfn.XLOOKUP(tblOrders[[#This Row],[ProductID]],tblProducts[ProductID],tblProducts[UnitPrice],"not found")</f>
        <v>250.02</v>
      </c>
      <c r="K769" t="str">
        <f>_xlfn.XLOOKUP(tblOrders[[#This Row],[ProductID]],tblProducts[ProductID],tblProducts[Supplier],"not found")</f>
        <v>Todd Group</v>
      </c>
      <c r="L769" s="1" t="s">
        <v>2295</v>
      </c>
      <c r="M7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45275</v>
      </c>
      <c r="N769">
        <v>8</v>
      </c>
      <c r="O769">
        <v>2000.16</v>
      </c>
      <c r="P769">
        <f>tblOrders[[#This Row],[Quantity]]*tblOrders[[#This Row],[Unit Price]]</f>
        <v>2000.16</v>
      </c>
      <c r="Q769">
        <f>tblOrders[[#This Row],[TotalSales]]-tblOrders[[#This Row],[Calculated Sales]]</f>
        <v>0</v>
      </c>
    </row>
    <row r="770" spans="1:17" x14ac:dyDescent="0.25">
      <c r="A770">
        <v>1529</v>
      </c>
      <c r="B770">
        <v>766</v>
      </c>
      <c r="C770" t="str">
        <f>_xlfn.XLOOKUP(tblOrders[[#This Row],[CustomerID]],tblCustomers[CustomerID],tblCustomers[CustomerName],"not found")</f>
        <v>Kenneth Cole</v>
      </c>
      <c r="D770">
        <f>_xlfn.XLOOKUP(tblOrders[[#This Row],[CustomerID]],tblCustomers[CustomerID],tblCustomers[Age],"not found")</f>
        <v>29</v>
      </c>
      <c r="E770" t="str">
        <f>_xlfn.XLOOKUP(tblOrders[[#This Row],[CustomerID]],tblCustomers[CustomerID],tblCustomers[Gender],"not found")</f>
        <v>Male</v>
      </c>
      <c r="F770" t="str">
        <f>_xlfn.XLOOKUP(tblOrders[[#This Row],[CustomerID]],tblCustomers[CustomerID],tblCustomers[Region],"not found")</f>
        <v>South</v>
      </c>
      <c r="G770">
        <v>1091</v>
      </c>
      <c r="H770" t="str">
        <f>_xlfn.XLOOKUP(tblOrders[[#This Row],[ProductID]],tblProducts[ProductID],tblProducts[ProductName],"not found")</f>
        <v>Fly</v>
      </c>
      <c r="I770" t="str">
        <f>_xlfn.XLOOKUP(tblOrders[[#This Row],[ProductID]],tblProducts[ProductID],tblProducts[Category],"not found")</f>
        <v>Apparel</v>
      </c>
      <c r="J770">
        <f>_xlfn.XLOOKUP(tblOrders[[#This Row],[ProductID]],tblProducts[ProductID],tblProducts[UnitPrice],"not found")</f>
        <v>250.02</v>
      </c>
      <c r="K770" t="str">
        <f>_xlfn.XLOOKUP(tblOrders[[#This Row],[ProductID]],tblProducts[ProductID],tblProducts[Supplier],"not found")</f>
        <v>Todd Group</v>
      </c>
      <c r="L770" s="1">
        <v>45232</v>
      </c>
      <c r="M7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45232</v>
      </c>
      <c r="N770">
        <v>4</v>
      </c>
      <c r="O770">
        <v>1000.08</v>
      </c>
      <c r="P770">
        <f>tblOrders[[#This Row],[Quantity]]*tblOrders[[#This Row],[Unit Price]]</f>
        <v>1000.08</v>
      </c>
      <c r="Q770">
        <f>tblOrders[[#This Row],[TotalSales]]-tblOrders[[#This Row],[Calculated Sales]]</f>
        <v>0</v>
      </c>
    </row>
    <row r="771" spans="1:17" x14ac:dyDescent="0.25">
      <c r="A771">
        <v>1599</v>
      </c>
      <c r="B771">
        <v>603</v>
      </c>
      <c r="C771" t="str">
        <f>_xlfn.XLOOKUP(tblOrders[[#This Row],[CustomerID]],tblCustomers[CustomerID],tblCustomers[CustomerName],"not found")</f>
        <v>Robert Fuller</v>
      </c>
      <c r="D771">
        <f>_xlfn.XLOOKUP(tblOrders[[#This Row],[CustomerID]],tblCustomers[CustomerID],tblCustomers[Age],"not found")</f>
        <v>26</v>
      </c>
      <c r="E771" t="str">
        <f>_xlfn.XLOOKUP(tblOrders[[#This Row],[CustomerID]],tblCustomers[CustomerID],tblCustomers[Gender],"not found")</f>
        <v>Female</v>
      </c>
      <c r="F771" t="str">
        <f>_xlfn.XLOOKUP(tblOrders[[#This Row],[CustomerID]],tblCustomers[CustomerID],tblCustomers[Region],"not found")</f>
        <v>Central</v>
      </c>
      <c r="G771">
        <v>1091</v>
      </c>
      <c r="H771" t="str">
        <f>_xlfn.XLOOKUP(tblOrders[[#This Row],[ProductID]],tblProducts[ProductID],tblProducts[ProductName],"not found")</f>
        <v>Fly</v>
      </c>
      <c r="I771" t="str">
        <f>_xlfn.XLOOKUP(tblOrders[[#This Row],[ProductID]],tblProducts[ProductID],tblProducts[Category],"not found")</f>
        <v>Apparel</v>
      </c>
      <c r="J771">
        <f>_xlfn.XLOOKUP(tblOrders[[#This Row],[ProductID]],tblProducts[ProductID],tblProducts[UnitPrice],"not found")</f>
        <v>250.02</v>
      </c>
      <c r="K771" t="str">
        <f>_xlfn.XLOOKUP(tblOrders[[#This Row],[ProductID]],tblProducts[ProductID],tblProducts[Supplier],"not found")</f>
        <v>Todd Group</v>
      </c>
      <c r="L771" s="1" t="s">
        <v>2267</v>
      </c>
      <c r="M7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45285</v>
      </c>
      <c r="N771">
        <v>4</v>
      </c>
      <c r="O771">
        <v>1000.08</v>
      </c>
      <c r="P771">
        <f>tblOrders[[#This Row],[Quantity]]*tblOrders[[#This Row],[Unit Price]]</f>
        <v>1000.08</v>
      </c>
      <c r="Q771">
        <f>tblOrders[[#This Row],[TotalSales]]-tblOrders[[#This Row],[Calculated Sales]]</f>
        <v>0</v>
      </c>
    </row>
    <row r="772" spans="1:17" x14ac:dyDescent="0.25">
      <c r="A772">
        <v>1623</v>
      </c>
      <c r="B772">
        <v>505</v>
      </c>
      <c r="C772" t="str">
        <f>_xlfn.XLOOKUP(tblOrders[[#This Row],[CustomerID]],tblCustomers[CustomerID],tblCustomers[CustomerName],"not found")</f>
        <v>Ronald Anderson</v>
      </c>
      <c r="D772">
        <f>_xlfn.XLOOKUP(tblOrders[[#This Row],[CustomerID]],tblCustomers[CustomerID],tblCustomers[Age],"not found")</f>
        <v>45</v>
      </c>
      <c r="E772" t="str">
        <f>_xlfn.XLOOKUP(tblOrders[[#This Row],[CustomerID]],tblCustomers[CustomerID],tblCustomers[Gender],"not found")</f>
        <v>Female</v>
      </c>
      <c r="F772" t="str">
        <f>_xlfn.XLOOKUP(tblOrders[[#This Row],[CustomerID]],tblCustomers[CustomerID],tblCustomers[Region],"not found")</f>
        <v>Central</v>
      </c>
      <c r="G772">
        <v>1091</v>
      </c>
      <c r="H772" t="str">
        <f>_xlfn.XLOOKUP(tblOrders[[#This Row],[ProductID]],tblProducts[ProductID],tblProducts[ProductName],"not found")</f>
        <v>Fly</v>
      </c>
      <c r="I772" t="str">
        <f>_xlfn.XLOOKUP(tblOrders[[#This Row],[ProductID]],tblProducts[ProductID],tblProducts[Category],"not found")</f>
        <v>Apparel</v>
      </c>
      <c r="J772">
        <f>_xlfn.XLOOKUP(tblOrders[[#This Row],[ProductID]],tblProducts[ProductID],tblProducts[UnitPrice],"not found")</f>
        <v>250.02</v>
      </c>
      <c r="K772" t="str">
        <f>_xlfn.XLOOKUP(tblOrders[[#This Row],[ProductID]],tblProducts[ProductID],tblProducts[Supplier],"not found")</f>
        <v>Todd Group</v>
      </c>
      <c r="L772" s="1" t="s">
        <v>2048</v>
      </c>
      <c r="M7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44981</v>
      </c>
      <c r="N772">
        <v>6</v>
      </c>
      <c r="O772">
        <v>1500.12</v>
      </c>
      <c r="P772">
        <f>tblOrders[[#This Row],[Quantity]]*tblOrders[[#This Row],[Unit Price]]</f>
        <v>1500.1200000000001</v>
      </c>
      <c r="Q772">
        <f>tblOrders[[#This Row],[TotalSales]]-tblOrders[[#This Row],[Calculated Sales]]</f>
        <v>0</v>
      </c>
    </row>
    <row r="773" spans="1:17" x14ac:dyDescent="0.25">
      <c r="A773">
        <v>1825</v>
      </c>
      <c r="B773">
        <v>927</v>
      </c>
      <c r="C773" t="str">
        <f>_xlfn.XLOOKUP(tblOrders[[#This Row],[CustomerID]],tblCustomers[CustomerID],tblCustomers[CustomerName],"not found")</f>
        <v>Dennis Shannon</v>
      </c>
      <c r="D773">
        <f>_xlfn.XLOOKUP(tblOrders[[#This Row],[CustomerID]],tblCustomers[CustomerID],tblCustomers[Age],"not found")</f>
        <v>41</v>
      </c>
      <c r="E773" t="str">
        <f>_xlfn.XLOOKUP(tblOrders[[#This Row],[CustomerID]],tblCustomers[CustomerID],tblCustomers[Gender],"not found")</f>
        <v>Male</v>
      </c>
      <c r="F773" t="str">
        <f>_xlfn.XLOOKUP(tblOrders[[#This Row],[CustomerID]],tblCustomers[CustomerID],tblCustomers[Region],"not found")</f>
        <v>South</v>
      </c>
      <c r="G773">
        <v>1091</v>
      </c>
      <c r="H773" t="str">
        <f>_xlfn.XLOOKUP(tblOrders[[#This Row],[ProductID]],tblProducts[ProductID],tblProducts[ProductName],"not found")</f>
        <v>Fly</v>
      </c>
      <c r="I773" t="str">
        <f>_xlfn.XLOOKUP(tblOrders[[#This Row],[ProductID]],tblProducts[ProductID],tblProducts[Category],"not found")</f>
        <v>Apparel</v>
      </c>
      <c r="J773">
        <f>_xlfn.XLOOKUP(tblOrders[[#This Row],[ProductID]],tblProducts[ProductID],tblProducts[UnitPrice],"not found")</f>
        <v>250.02</v>
      </c>
      <c r="K773" t="str">
        <f>_xlfn.XLOOKUP(tblOrders[[#This Row],[ProductID]],tblProducts[ProductID],tblProducts[Supplier],"not found")</f>
        <v>Todd Group</v>
      </c>
      <c r="L773" s="1" t="s">
        <v>2296</v>
      </c>
      <c r="M7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45311</v>
      </c>
      <c r="N773">
        <v>6</v>
      </c>
      <c r="O773">
        <v>1500.12</v>
      </c>
      <c r="P773">
        <f>tblOrders[[#This Row],[Quantity]]*tblOrders[[#This Row],[Unit Price]]</f>
        <v>1500.1200000000001</v>
      </c>
      <c r="Q773">
        <f>tblOrders[[#This Row],[TotalSales]]-tblOrders[[#This Row],[Calculated Sales]]</f>
        <v>0</v>
      </c>
    </row>
    <row r="774" spans="1:17" x14ac:dyDescent="0.25">
      <c r="A774">
        <v>1839</v>
      </c>
      <c r="B774">
        <v>452</v>
      </c>
      <c r="C774" t="str">
        <f>_xlfn.XLOOKUP(tblOrders[[#This Row],[CustomerID]],tblCustomers[CustomerID],tblCustomers[CustomerName],"not found")</f>
        <v>Jennifer Morgan</v>
      </c>
      <c r="D774">
        <f>_xlfn.XLOOKUP(tblOrders[[#This Row],[CustomerID]],tblCustomers[CustomerID],tblCustomers[Age],"not found")</f>
        <v>69</v>
      </c>
      <c r="E774" t="str">
        <f>_xlfn.XLOOKUP(tblOrders[[#This Row],[CustomerID]],tblCustomers[CustomerID],tblCustomers[Gender],"not found")</f>
        <v>Male</v>
      </c>
      <c r="F774" t="str">
        <f>_xlfn.XLOOKUP(tblOrders[[#This Row],[CustomerID]],tblCustomers[CustomerID],tblCustomers[Region],"not found")</f>
        <v>East</v>
      </c>
      <c r="G774">
        <v>1091</v>
      </c>
      <c r="H774" t="str">
        <f>_xlfn.XLOOKUP(tblOrders[[#This Row],[ProductID]],tblProducts[ProductID],tblProducts[ProductName],"not found")</f>
        <v>Fly</v>
      </c>
      <c r="I774" t="str">
        <f>_xlfn.XLOOKUP(tblOrders[[#This Row],[ProductID]],tblProducts[ProductID],tblProducts[Category],"not found")</f>
        <v>Apparel</v>
      </c>
      <c r="J774">
        <f>_xlfn.XLOOKUP(tblOrders[[#This Row],[ProductID]],tblProducts[ProductID],tblProducts[UnitPrice],"not found")</f>
        <v>250.02</v>
      </c>
      <c r="K774" t="str">
        <f>_xlfn.XLOOKUP(tblOrders[[#This Row],[ProductID]],tblProducts[ProductID],tblProducts[Supplier],"not found")</f>
        <v>Todd Group</v>
      </c>
      <c r="L774" s="1">
        <v>44961</v>
      </c>
      <c r="M7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44961</v>
      </c>
      <c r="N774">
        <v>4</v>
      </c>
      <c r="O774">
        <v>1000.08</v>
      </c>
      <c r="P774">
        <f>tblOrders[[#This Row],[Quantity]]*tblOrders[[#This Row],[Unit Price]]</f>
        <v>1000.08</v>
      </c>
      <c r="Q774">
        <f>tblOrders[[#This Row],[TotalSales]]-tblOrders[[#This Row],[Calculated Sales]]</f>
        <v>0</v>
      </c>
    </row>
    <row r="775" spans="1:17" x14ac:dyDescent="0.25">
      <c r="A775">
        <v>1871</v>
      </c>
      <c r="B775">
        <v>212</v>
      </c>
      <c r="C775" t="str">
        <f>_xlfn.XLOOKUP(tblOrders[[#This Row],[CustomerID]],tblCustomers[CustomerID],tblCustomers[CustomerName],"not found")</f>
        <v>Lori Herman</v>
      </c>
      <c r="D775">
        <f>_xlfn.XLOOKUP(tblOrders[[#This Row],[CustomerID]],tblCustomers[CustomerID],tblCustomers[Age],"not found")</f>
        <v>65</v>
      </c>
      <c r="E775" t="str">
        <f>_xlfn.XLOOKUP(tblOrders[[#This Row],[CustomerID]],tblCustomers[CustomerID],tblCustomers[Gender],"not found")</f>
        <v>Female</v>
      </c>
      <c r="F775" t="str">
        <f>_xlfn.XLOOKUP(tblOrders[[#This Row],[CustomerID]],tblCustomers[CustomerID],tblCustomers[Region],"not found")</f>
        <v>East</v>
      </c>
      <c r="G775">
        <v>1091</v>
      </c>
      <c r="H775" t="str">
        <f>_xlfn.XLOOKUP(tblOrders[[#This Row],[ProductID]],tblProducts[ProductID],tblProducts[ProductName],"not found")</f>
        <v>Fly</v>
      </c>
      <c r="I775" t="str">
        <f>_xlfn.XLOOKUP(tblOrders[[#This Row],[ProductID]],tblProducts[ProductID],tblProducts[Category],"not found")</f>
        <v>Apparel</v>
      </c>
      <c r="J775">
        <f>_xlfn.XLOOKUP(tblOrders[[#This Row],[ProductID]],tblProducts[ProductID],tblProducts[UnitPrice],"not found")</f>
        <v>250.02</v>
      </c>
      <c r="K775" t="str">
        <f>_xlfn.XLOOKUP(tblOrders[[#This Row],[ProductID]],tblProducts[ProductID],tblProducts[Supplier],"not found")</f>
        <v>Todd Group</v>
      </c>
      <c r="L775" s="1" t="s">
        <v>2141</v>
      </c>
      <c r="M7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44925</v>
      </c>
      <c r="N775">
        <v>1</v>
      </c>
      <c r="O775">
        <v>250.02</v>
      </c>
      <c r="P775">
        <f>tblOrders[[#This Row],[Quantity]]*tblOrders[[#This Row],[Unit Price]]</f>
        <v>250.02</v>
      </c>
      <c r="Q775">
        <f>tblOrders[[#This Row],[TotalSales]]-tblOrders[[#This Row],[Calculated Sales]]</f>
        <v>0</v>
      </c>
    </row>
    <row r="776" spans="1:17" x14ac:dyDescent="0.25">
      <c r="A776">
        <v>1875</v>
      </c>
      <c r="B776">
        <v>542</v>
      </c>
      <c r="C776" t="str">
        <f>_xlfn.XLOOKUP(tblOrders[[#This Row],[CustomerID]],tblCustomers[CustomerID],tblCustomers[CustomerName],"not found")</f>
        <v>Joshua Hensley</v>
      </c>
      <c r="D776">
        <f>_xlfn.XLOOKUP(tblOrders[[#This Row],[CustomerID]],tblCustomers[CustomerID],tblCustomers[Age],"not found")</f>
        <v>69</v>
      </c>
      <c r="E776" t="str">
        <f>_xlfn.XLOOKUP(tblOrders[[#This Row],[CustomerID]],tblCustomers[CustomerID],tblCustomers[Gender],"not found")</f>
        <v>Male</v>
      </c>
      <c r="F776" t="str">
        <f>_xlfn.XLOOKUP(tblOrders[[#This Row],[CustomerID]],tblCustomers[CustomerID],tblCustomers[Region],"not found")</f>
        <v>South</v>
      </c>
      <c r="G776">
        <v>1091</v>
      </c>
      <c r="H776" t="str">
        <f>_xlfn.XLOOKUP(tblOrders[[#This Row],[ProductID]],tblProducts[ProductID],tblProducts[ProductName],"not found")</f>
        <v>Fly</v>
      </c>
      <c r="I776" t="str">
        <f>_xlfn.XLOOKUP(tblOrders[[#This Row],[ProductID]],tblProducts[ProductID],tblProducts[Category],"not found")</f>
        <v>Apparel</v>
      </c>
      <c r="J776">
        <f>_xlfn.XLOOKUP(tblOrders[[#This Row],[ProductID]],tblProducts[ProductID],tblProducts[UnitPrice],"not found")</f>
        <v>250.02</v>
      </c>
      <c r="K776" t="str">
        <f>_xlfn.XLOOKUP(tblOrders[[#This Row],[ProductID]],tblProducts[ProductID],tblProducts[Supplier],"not found")</f>
        <v>Todd Group</v>
      </c>
      <c r="L776" s="1" t="s">
        <v>2035</v>
      </c>
      <c r="M7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44908</v>
      </c>
      <c r="N776">
        <v>9</v>
      </c>
      <c r="O776">
        <v>2250.1799999999998</v>
      </c>
      <c r="P776">
        <f>tblOrders[[#This Row],[Quantity]]*tblOrders[[#This Row],[Unit Price]]</f>
        <v>2250.1800000000003</v>
      </c>
      <c r="Q776">
        <f>tblOrders[[#This Row],[TotalSales]]-tblOrders[[#This Row],[Calculated Sales]]</f>
        <v>0</v>
      </c>
    </row>
    <row r="777" spans="1:17" x14ac:dyDescent="0.25">
      <c r="A777">
        <v>1877</v>
      </c>
      <c r="B777">
        <v>697</v>
      </c>
      <c r="C777" t="str">
        <f>_xlfn.XLOOKUP(tblOrders[[#This Row],[CustomerID]],tblCustomers[CustomerID],tblCustomers[CustomerName],"not found")</f>
        <v>Heather Wood</v>
      </c>
      <c r="D777">
        <f>_xlfn.XLOOKUP(tblOrders[[#This Row],[CustomerID]],tblCustomers[CustomerID],tblCustomers[Age],"not found")</f>
        <v>24</v>
      </c>
      <c r="E777" t="str">
        <f>_xlfn.XLOOKUP(tblOrders[[#This Row],[CustomerID]],tblCustomers[CustomerID],tblCustomers[Gender],"not found")</f>
        <v>Female</v>
      </c>
      <c r="F777" t="str">
        <f>_xlfn.XLOOKUP(tblOrders[[#This Row],[CustomerID]],tblCustomers[CustomerID],tblCustomers[Region],"not found")</f>
        <v>East</v>
      </c>
      <c r="G777">
        <v>1091</v>
      </c>
      <c r="H777" t="str">
        <f>_xlfn.XLOOKUP(tblOrders[[#This Row],[ProductID]],tblProducts[ProductID],tblProducts[ProductName],"not found")</f>
        <v>Fly</v>
      </c>
      <c r="I777" t="str">
        <f>_xlfn.XLOOKUP(tblOrders[[#This Row],[ProductID]],tblProducts[ProductID],tblProducts[Category],"not found")</f>
        <v>Apparel</v>
      </c>
      <c r="J777">
        <f>_xlfn.XLOOKUP(tblOrders[[#This Row],[ProductID]],tblProducts[ProductID],tblProducts[UnitPrice],"not found")</f>
        <v>250.02</v>
      </c>
      <c r="K777" t="str">
        <f>_xlfn.XLOOKUP(tblOrders[[#This Row],[ProductID]],tblProducts[ProductID],tblProducts[Supplier],"not found")</f>
        <v>Todd Group</v>
      </c>
      <c r="L777" s="1">
        <v>45448</v>
      </c>
      <c r="M7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45448</v>
      </c>
      <c r="N777">
        <v>8</v>
      </c>
      <c r="O777">
        <v>2000.16</v>
      </c>
      <c r="P777">
        <f>tblOrders[[#This Row],[Quantity]]*tblOrders[[#This Row],[Unit Price]]</f>
        <v>2000.16</v>
      </c>
      <c r="Q777">
        <f>tblOrders[[#This Row],[TotalSales]]-tblOrders[[#This Row],[Calculated Sales]]</f>
        <v>0</v>
      </c>
    </row>
    <row r="778" spans="1:17" x14ac:dyDescent="0.25">
      <c r="A778">
        <v>42</v>
      </c>
      <c r="B778">
        <v>607</v>
      </c>
      <c r="C778" t="str">
        <f>_xlfn.XLOOKUP(tblOrders[[#This Row],[CustomerID]],tblCustomers[CustomerID],tblCustomers[CustomerName],"not found")</f>
        <v>Benjamin Farrell</v>
      </c>
      <c r="D778">
        <f>_xlfn.XLOOKUP(tblOrders[[#This Row],[CustomerID]],tblCustomers[CustomerID],tblCustomers[Age],"not found")</f>
        <v>38</v>
      </c>
      <c r="E778" t="str">
        <f>_xlfn.XLOOKUP(tblOrders[[#This Row],[CustomerID]],tblCustomers[CustomerID],tblCustomers[Gender],"not found")</f>
        <v>Male</v>
      </c>
      <c r="F778" t="str">
        <f>_xlfn.XLOOKUP(tblOrders[[#This Row],[CustomerID]],tblCustomers[CustomerID],tblCustomers[Region],"not found")</f>
        <v>East</v>
      </c>
      <c r="G778">
        <v>1084</v>
      </c>
      <c r="H778" t="str">
        <f>_xlfn.XLOOKUP(tblOrders[[#This Row],[ProductID]],tblProducts[ProductID],tblProducts[ProductName],"not found")</f>
        <v>Space</v>
      </c>
      <c r="I778" t="str">
        <f>_xlfn.XLOOKUP(tblOrders[[#This Row],[ProductID]],tblProducts[ProductID],tblProducts[Category],"not found")</f>
        <v>Electronics</v>
      </c>
      <c r="J778">
        <f>_xlfn.XLOOKUP(tblOrders[[#This Row],[ProductID]],tblProducts[ProductID],tblProducts[UnitPrice],"not found")</f>
        <v>381.99</v>
      </c>
      <c r="K778" t="str">
        <f>_xlfn.XLOOKUP(tblOrders[[#This Row],[ProductID]],tblProducts[ProductID],tblProducts[Supplier],"not found")</f>
        <v>Schmidt and Sons</v>
      </c>
      <c r="L778" s="1" t="s">
        <v>2125</v>
      </c>
      <c r="M7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45213</v>
      </c>
      <c r="N778">
        <v>9</v>
      </c>
      <c r="O778">
        <v>3437.91</v>
      </c>
      <c r="P778">
        <f>tblOrders[[#This Row],[Quantity]]*tblOrders[[#This Row],[Unit Price]]</f>
        <v>3437.91</v>
      </c>
      <c r="Q778">
        <f>tblOrders[[#This Row],[TotalSales]]-tblOrders[[#This Row],[Calculated Sales]]</f>
        <v>0</v>
      </c>
    </row>
    <row r="779" spans="1:17" x14ac:dyDescent="0.25">
      <c r="A779">
        <v>48</v>
      </c>
      <c r="B779">
        <v>381</v>
      </c>
      <c r="C779" t="str">
        <f>_xlfn.XLOOKUP(tblOrders[[#This Row],[CustomerID]],tblCustomers[CustomerID],tblCustomers[CustomerName],"not found")</f>
        <v>Alan Choi</v>
      </c>
      <c r="D779">
        <f>_xlfn.XLOOKUP(tblOrders[[#This Row],[CustomerID]],tblCustomers[CustomerID],tblCustomers[Age],"not found")</f>
        <v>26</v>
      </c>
      <c r="E779" t="str">
        <f>_xlfn.XLOOKUP(tblOrders[[#This Row],[CustomerID]],tblCustomers[CustomerID],tblCustomers[Gender],"not found")</f>
        <v>Female</v>
      </c>
      <c r="F779" t="str">
        <f>_xlfn.XLOOKUP(tblOrders[[#This Row],[CustomerID]],tblCustomers[CustomerID],tblCustomers[Region],"not found")</f>
        <v>Central</v>
      </c>
      <c r="G779">
        <v>1084</v>
      </c>
      <c r="H779" t="str">
        <f>_xlfn.XLOOKUP(tblOrders[[#This Row],[ProductID]],tblProducts[ProductID],tblProducts[ProductName],"not found")</f>
        <v>Space</v>
      </c>
      <c r="I779" t="str">
        <f>_xlfn.XLOOKUP(tblOrders[[#This Row],[ProductID]],tblProducts[ProductID],tblProducts[Category],"not found")</f>
        <v>Electronics</v>
      </c>
      <c r="J779">
        <f>_xlfn.XLOOKUP(tblOrders[[#This Row],[ProductID]],tblProducts[ProductID],tblProducts[UnitPrice],"not found")</f>
        <v>381.99</v>
      </c>
      <c r="K779" t="str">
        <f>_xlfn.XLOOKUP(tblOrders[[#This Row],[ProductID]],tblProducts[ProductID],tblProducts[Supplier],"not found")</f>
        <v>Schmidt and Sons</v>
      </c>
      <c r="L779" s="1">
        <v>45078</v>
      </c>
      <c r="M7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45078</v>
      </c>
      <c r="N779">
        <v>6</v>
      </c>
      <c r="O779">
        <v>2291.94</v>
      </c>
      <c r="P779">
        <f>tblOrders[[#This Row],[Quantity]]*tblOrders[[#This Row],[Unit Price]]</f>
        <v>2291.94</v>
      </c>
      <c r="Q779">
        <f>tblOrders[[#This Row],[TotalSales]]-tblOrders[[#This Row],[Calculated Sales]]</f>
        <v>0</v>
      </c>
    </row>
    <row r="780" spans="1:17" x14ac:dyDescent="0.25">
      <c r="A780">
        <v>75</v>
      </c>
      <c r="B780">
        <v>426</v>
      </c>
      <c r="C780" t="str">
        <f>_xlfn.XLOOKUP(tblOrders[[#This Row],[CustomerID]],tblCustomers[CustomerID],tblCustomers[CustomerName],"not found")</f>
        <v>Kevin Garcia</v>
      </c>
      <c r="D780">
        <f>_xlfn.XLOOKUP(tblOrders[[#This Row],[CustomerID]],tblCustomers[CustomerID],tblCustomers[Age],"not found")</f>
        <v>53</v>
      </c>
      <c r="E780" t="str">
        <f>_xlfn.XLOOKUP(tblOrders[[#This Row],[CustomerID]],tblCustomers[CustomerID],tblCustomers[Gender],"not found")</f>
        <v>Male</v>
      </c>
      <c r="F780" t="str">
        <f>_xlfn.XLOOKUP(tblOrders[[#This Row],[CustomerID]],tblCustomers[CustomerID],tblCustomers[Region],"not found")</f>
        <v>South</v>
      </c>
      <c r="G780">
        <v>1084</v>
      </c>
      <c r="H780" t="str">
        <f>_xlfn.XLOOKUP(tblOrders[[#This Row],[ProductID]],tblProducts[ProductID],tblProducts[ProductName],"not found")</f>
        <v>Space</v>
      </c>
      <c r="I780" t="str">
        <f>_xlfn.XLOOKUP(tblOrders[[#This Row],[ProductID]],tblProducts[ProductID],tblProducts[Category],"not found")</f>
        <v>Electronics</v>
      </c>
      <c r="J780">
        <f>_xlfn.XLOOKUP(tblOrders[[#This Row],[ProductID]],tblProducts[ProductID],tblProducts[UnitPrice],"not found")</f>
        <v>381.99</v>
      </c>
      <c r="K780" t="str">
        <f>_xlfn.XLOOKUP(tblOrders[[#This Row],[ProductID]],tblProducts[ProductID],tblProducts[Supplier],"not found")</f>
        <v>Schmidt and Sons</v>
      </c>
      <c r="L780" s="1" t="s">
        <v>2199</v>
      </c>
      <c r="M7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44973</v>
      </c>
      <c r="N780">
        <v>9</v>
      </c>
      <c r="O780">
        <v>3437.91</v>
      </c>
      <c r="P780">
        <f>tblOrders[[#This Row],[Quantity]]*tblOrders[[#This Row],[Unit Price]]</f>
        <v>3437.91</v>
      </c>
      <c r="Q780">
        <f>tblOrders[[#This Row],[TotalSales]]-tblOrders[[#This Row],[Calculated Sales]]</f>
        <v>0</v>
      </c>
    </row>
    <row r="781" spans="1:17" x14ac:dyDescent="0.25">
      <c r="A781">
        <v>126</v>
      </c>
      <c r="B781">
        <v>336</v>
      </c>
      <c r="C781" t="str">
        <f>_xlfn.XLOOKUP(tblOrders[[#This Row],[CustomerID]],tblCustomers[CustomerID],tblCustomers[CustomerName],"not found")</f>
        <v>Edwin Barnes</v>
      </c>
      <c r="D781">
        <f>_xlfn.XLOOKUP(tblOrders[[#This Row],[CustomerID]],tblCustomers[CustomerID],tblCustomers[Age],"not found")</f>
        <v>63</v>
      </c>
      <c r="E781" t="str">
        <f>_xlfn.XLOOKUP(tblOrders[[#This Row],[CustomerID]],tblCustomers[CustomerID],tblCustomers[Gender],"not found")</f>
        <v>Female</v>
      </c>
      <c r="F781" t="str">
        <f>_xlfn.XLOOKUP(tblOrders[[#This Row],[CustomerID]],tblCustomers[CustomerID],tblCustomers[Region],"not found")</f>
        <v>North</v>
      </c>
      <c r="G781">
        <v>1084</v>
      </c>
      <c r="H781" t="str">
        <f>_xlfn.XLOOKUP(tblOrders[[#This Row],[ProductID]],tblProducts[ProductID],tblProducts[ProductName],"not found")</f>
        <v>Space</v>
      </c>
      <c r="I781" t="str">
        <f>_xlfn.XLOOKUP(tblOrders[[#This Row],[ProductID]],tblProducts[ProductID],tblProducts[Category],"not found")</f>
        <v>Electronics</v>
      </c>
      <c r="J781">
        <f>_xlfn.XLOOKUP(tblOrders[[#This Row],[ProductID]],tblProducts[ProductID],tblProducts[UnitPrice],"not found")</f>
        <v>381.99</v>
      </c>
      <c r="K781" t="str">
        <f>_xlfn.XLOOKUP(tblOrders[[#This Row],[ProductID]],tblProducts[ProductID],tblProducts[Supplier],"not found")</f>
        <v>Schmidt and Sons</v>
      </c>
      <c r="L781" s="1" t="s">
        <v>2297</v>
      </c>
      <c r="M7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45337</v>
      </c>
      <c r="N781">
        <v>5</v>
      </c>
      <c r="O781">
        <v>1909.95</v>
      </c>
      <c r="P781">
        <f>tblOrders[[#This Row],[Quantity]]*tblOrders[[#This Row],[Unit Price]]</f>
        <v>1909.95</v>
      </c>
      <c r="Q781">
        <f>tblOrders[[#This Row],[TotalSales]]-tblOrders[[#This Row],[Calculated Sales]]</f>
        <v>0</v>
      </c>
    </row>
    <row r="782" spans="1:17" x14ac:dyDescent="0.25">
      <c r="A782">
        <v>132</v>
      </c>
      <c r="B782">
        <v>753</v>
      </c>
      <c r="C782" t="str">
        <f>_xlfn.XLOOKUP(tblOrders[[#This Row],[CustomerID]],tblCustomers[CustomerID],tblCustomers[CustomerName],"not found")</f>
        <v>Douglas Moore</v>
      </c>
      <c r="D782">
        <f>_xlfn.XLOOKUP(tblOrders[[#This Row],[CustomerID]],tblCustomers[CustomerID],tblCustomers[Age],"not found")</f>
        <v>21</v>
      </c>
      <c r="E782" t="str">
        <f>_xlfn.XLOOKUP(tblOrders[[#This Row],[CustomerID]],tblCustomers[CustomerID],tblCustomers[Gender],"not found")</f>
        <v>Female</v>
      </c>
      <c r="F782" t="str">
        <f>_xlfn.XLOOKUP(tblOrders[[#This Row],[CustomerID]],tblCustomers[CustomerID],tblCustomers[Region],"not found")</f>
        <v>North</v>
      </c>
      <c r="G782">
        <v>1084</v>
      </c>
      <c r="H782" t="str">
        <f>_xlfn.XLOOKUP(tblOrders[[#This Row],[ProductID]],tblProducts[ProductID],tblProducts[ProductName],"not found")</f>
        <v>Space</v>
      </c>
      <c r="I782" t="str">
        <f>_xlfn.XLOOKUP(tblOrders[[#This Row],[ProductID]],tblProducts[ProductID],tblProducts[Category],"not found")</f>
        <v>Electronics</v>
      </c>
      <c r="J782">
        <f>_xlfn.XLOOKUP(tblOrders[[#This Row],[ProductID]],tblProducts[ProductID],tblProducts[UnitPrice],"not found")</f>
        <v>381.99</v>
      </c>
      <c r="K782" t="str">
        <f>_xlfn.XLOOKUP(tblOrders[[#This Row],[ProductID]],tblProducts[ProductID],tblProducts[Supplier],"not found")</f>
        <v>Schmidt and Sons</v>
      </c>
      <c r="L782" s="1">
        <v>45415</v>
      </c>
      <c r="M7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45415</v>
      </c>
      <c r="N782">
        <v>7</v>
      </c>
      <c r="O782">
        <v>2673.93</v>
      </c>
      <c r="P782">
        <f>tblOrders[[#This Row],[Quantity]]*tblOrders[[#This Row],[Unit Price]]</f>
        <v>2673.9300000000003</v>
      </c>
      <c r="Q782">
        <f>tblOrders[[#This Row],[TotalSales]]-tblOrders[[#This Row],[Calculated Sales]]</f>
        <v>0</v>
      </c>
    </row>
    <row r="783" spans="1:17" x14ac:dyDescent="0.25">
      <c r="A783">
        <v>305</v>
      </c>
      <c r="B783">
        <v>780</v>
      </c>
      <c r="C783" t="str">
        <f>_xlfn.XLOOKUP(tblOrders[[#This Row],[CustomerID]],tblCustomers[CustomerID],tblCustomers[CustomerName],"not found")</f>
        <v>Evelyn White</v>
      </c>
      <c r="D783">
        <f>_xlfn.XLOOKUP(tblOrders[[#This Row],[CustomerID]],tblCustomers[CustomerID],tblCustomers[Age],"not found")</f>
        <v>26</v>
      </c>
      <c r="E783" t="str">
        <f>_xlfn.XLOOKUP(tblOrders[[#This Row],[CustomerID]],tblCustomers[CustomerID],tblCustomers[Gender],"not found")</f>
        <v>Female</v>
      </c>
      <c r="F783" t="str">
        <f>_xlfn.XLOOKUP(tblOrders[[#This Row],[CustomerID]],tblCustomers[CustomerID],tblCustomers[Region],"not found")</f>
        <v>Central</v>
      </c>
      <c r="G783">
        <v>1084</v>
      </c>
      <c r="H783" t="str">
        <f>_xlfn.XLOOKUP(tblOrders[[#This Row],[ProductID]],tblProducts[ProductID],tblProducts[ProductName],"not found")</f>
        <v>Space</v>
      </c>
      <c r="I783" t="str">
        <f>_xlfn.XLOOKUP(tblOrders[[#This Row],[ProductID]],tblProducts[ProductID],tblProducts[Category],"not found")</f>
        <v>Electronics</v>
      </c>
      <c r="J783">
        <f>_xlfn.XLOOKUP(tblOrders[[#This Row],[ProductID]],tblProducts[ProductID],tblProducts[UnitPrice],"not found")</f>
        <v>381.99</v>
      </c>
      <c r="K783" t="str">
        <f>_xlfn.XLOOKUP(tblOrders[[#This Row],[ProductID]],tblProducts[ProductID],tblProducts[Supplier],"not found")</f>
        <v>Schmidt and Sons</v>
      </c>
      <c r="L783" s="1" t="s">
        <v>2249</v>
      </c>
      <c r="M7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44920</v>
      </c>
      <c r="N783">
        <v>2</v>
      </c>
      <c r="O783">
        <v>763.98</v>
      </c>
      <c r="P783">
        <f>tblOrders[[#This Row],[Quantity]]*tblOrders[[#This Row],[Unit Price]]</f>
        <v>763.98</v>
      </c>
      <c r="Q783">
        <f>tblOrders[[#This Row],[TotalSales]]-tblOrders[[#This Row],[Calculated Sales]]</f>
        <v>0</v>
      </c>
    </row>
    <row r="784" spans="1:17" x14ac:dyDescent="0.25">
      <c r="A784">
        <v>375</v>
      </c>
      <c r="B784">
        <v>790</v>
      </c>
      <c r="C784" t="str">
        <f>_xlfn.XLOOKUP(tblOrders[[#This Row],[CustomerID]],tblCustomers[CustomerID],tblCustomers[CustomerName],"not found")</f>
        <v>Jennifer James</v>
      </c>
      <c r="D784">
        <f>_xlfn.XLOOKUP(tblOrders[[#This Row],[CustomerID]],tblCustomers[CustomerID],tblCustomers[Age],"not found")</f>
        <v>19</v>
      </c>
      <c r="E784" t="str">
        <f>_xlfn.XLOOKUP(tblOrders[[#This Row],[CustomerID]],tblCustomers[CustomerID],tblCustomers[Gender],"not found")</f>
        <v>Female</v>
      </c>
      <c r="F784" t="str">
        <f>_xlfn.XLOOKUP(tblOrders[[#This Row],[CustomerID]],tblCustomers[CustomerID],tblCustomers[Region],"not found")</f>
        <v>West</v>
      </c>
      <c r="G784">
        <v>1084</v>
      </c>
      <c r="H784" t="str">
        <f>_xlfn.XLOOKUP(tblOrders[[#This Row],[ProductID]],tblProducts[ProductID],tblProducts[ProductName],"not found")</f>
        <v>Space</v>
      </c>
      <c r="I784" t="str">
        <f>_xlfn.XLOOKUP(tblOrders[[#This Row],[ProductID]],tblProducts[ProductID],tblProducts[Category],"not found")</f>
        <v>Electronics</v>
      </c>
      <c r="J784">
        <f>_xlfn.XLOOKUP(tblOrders[[#This Row],[ProductID]],tblProducts[ProductID],tblProducts[UnitPrice],"not found")</f>
        <v>381.99</v>
      </c>
      <c r="K784" t="str">
        <f>_xlfn.XLOOKUP(tblOrders[[#This Row],[ProductID]],tblProducts[ProductID],tblProducts[Supplier],"not found")</f>
        <v>Schmidt and Sons</v>
      </c>
      <c r="L784" s="1" t="s">
        <v>2027</v>
      </c>
      <c r="M7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45030</v>
      </c>
      <c r="N784">
        <v>3</v>
      </c>
      <c r="O784">
        <v>1145.97</v>
      </c>
      <c r="P784">
        <f>tblOrders[[#This Row],[Quantity]]*tblOrders[[#This Row],[Unit Price]]</f>
        <v>1145.97</v>
      </c>
      <c r="Q784">
        <f>tblOrders[[#This Row],[TotalSales]]-tblOrders[[#This Row],[Calculated Sales]]</f>
        <v>0</v>
      </c>
    </row>
    <row r="785" spans="1:17" x14ac:dyDescent="0.25">
      <c r="A785">
        <v>411</v>
      </c>
      <c r="B785">
        <v>275</v>
      </c>
      <c r="C785" t="str">
        <f>_xlfn.XLOOKUP(tblOrders[[#This Row],[CustomerID]],tblCustomers[CustomerID],tblCustomers[CustomerName],"not found")</f>
        <v>Sabrina Gibson</v>
      </c>
      <c r="D785">
        <f>_xlfn.XLOOKUP(tblOrders[[#This Row],[CustomerID]],tblCustomers[CustomerID],tblCustomers[Age],"not found")</f>
        <v>56</v>
      </c>
      <c r="E785" t="str">
        <f>_xlfn.XLOOKUP(tblOrders[[#This Row],[CustomerID]],tblCustomers[CustomerID],tblCustomers[Gender],"not found")</f>
        <v>Male</v>
      </c>
      <c r="F785" t="str">
        <f>_xlfn.XLOOKUP(tblOrders[[#This Row],[CustomerID]],tblCustomers[CustomerID],tblCustomers[Region],"not found")</f>
        <v>Central</v>
      </c>
      <c r="G785">
        <v>1084</v>
      </c>
      <c r="H785" t="str">
        <f>_xlfn.XLOOKUP(tblOrders[[#This Row],[ProductID]],tblProducts[ProductID],tblProducts[ProductName],"not found")</f>
        <v>Space</v>
      </c>
      <c r="I785" t="str">
        <f>_xlfn.XLOOKUP(tblOrders[[#This Row],[ProductID]],tblProducts[ProductID],tblProducts[Category],"not found")</f>
        <v>Electronics</v>
      </c>
      <c r="J785">
        <f>_xlfn.XLOOKUP(tblOrders[[#This Row],[ProductID]],tblProducts[ProductID],tblProducts[UnitPrice],"not found")</f>
        <v>381.99</v>
      </c>
      <c r="K785" t="str">
        <f>_xlfn.XLOOKUP(tblOrders[[#This Row],[ProductID]],tblProducts[ProductID],tblProducts[Supplier],"not found")</f>
        <v>Schmidt and Sons</v>
      </c>
      <c r="L785" s="1" t="s">
        <v>2155</v>
      </c>
      <c r="M7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45584</v>
      </c>
      <c r="N785">
        <v>9</v>
      </c>
      <c r="O785">
        <v>3437.91</v>
      </c>
      <c r="P785">
        <f>tblOrders[[#This Row],[Quantity]]*tblOrders[[#This Row],[Unit Price]]</f>
        <v>3437.91</v>
      </c>
      <c r="Q785">
        <f>tblOrders[[#This Row],[TotalSales]]-tblOrders[[#This Row],[Calculated Sales]]</f>
        <v>0</v>
      </c>
    </row>
    <row r="786" spans="1:17" x14ac:dyDescent="0.25">
      <c r="A786">
        <v>443</v>
      </c>
      <c r="B786">
        <v>399</v>
      </c>
      <c r="C786" t="str">
        <f>_xlfn.XLOOKUP(tblOrders[[#This Row],[CustomerID]],tblCustomers[CustomerID],tblCustomers[CustomerName],"not found")</f>
        <v>Jason Fletcher</v>
      </c>
      <c r="D786">
        <f>_xlfn.XLOOKUP(tblOrders[[#This Row],[CustomerID]],tblCustomers[CustomerID],tblCustomers[Age],"not found")</f>
        <v>53</v>
      </c>
      <c r="E786" t="str">
        <f>_xlfn.XLOOKUP(tblOrders[[#This Row],[CustomerID]],tblCustomers[CustomerID],tblCustomers[Gender],"not found")</f>
        <v>Female</v>
      </c>
      <c r="F786" t="str">
        <f>_xlfn.XLOOKUP(tblOrders[[#This Row],[CustomerID]],tblCustomers[CustomerID],tblCustomers[Region],"not found")</f>
        <v>West</v>
      </c>
      <c r="G786">
        <v>1084</v>
      </c>
      <c r="H786" t="str">
        <f>_xlfn.XLOOKUP(tblOrders[[#This Row],[ProductID]],tblProducts[ProductID],tblProducts[ProductName],"not found")</f>
        <v>Space</v>
      </c>
      <c r="I786" t="str">
        <f>_xlfn.XLOOKUP(tblOrders[[#This Row],[ProductID]],tblProducts[ProductID],tblProducts[Category],"not found")</f>
        <v>Electronics</v>
      </c>
      <c r="J786">
        <f>_xlfn.XLOOKUP(tblOrders[[#This Row],[ProductID]],tblProducts[ProductID],tblProducts[UnitPrice],"not found")</f>
        <v>381.99</v>
      </c>
      <c r="K786" t="str">
        <f>_xlfn.XLOOKUP(tblOrders[[#This Row],[ProductID]],tblProducts[ProductID],tblProducts[Supplier],"not found")</f>
        <v>Schmidt and Sons</v>
      </c>
      <c r="L786" s="1" t="s">
        <v>2298</v>
      </c>
      <c r="M7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45550</v>
      </c>
      <c r="N786">
        <v>1</v>
      </c>
      <c r="O786">
        <v>381.99</v>
      </c>
      <c r="P786">
        <f>tblOrders[[#This Row],[Quantity]]*tblOrders[[#This Row],[Unit Price]]</f>
        <v>381.99</v>
      </c>
      <c r="Q786">
        <f>tblOrders[[#This Row],[TotalSales]]-tblOrders[[#This Row],[Calculated Sales]]</f>
        <v>0</v>
      </c>
    </row>
    <row r="787" spans="1:17" x14ac:dyDescent="0.25">
      <c r="A787">
        <v>766</v>
      </c>
      <c r="B787">
        <v>918</v>
      </c>
      <c r="C787" t="str">
        <f>_xlfn.XLOOKUP(tblOrders[[#This Row],[CustomerID]],tblCustomers[CustomerID],tblCustomers[CustomerName],"not found")</f>
        <v>Erin Robinson</v>
      </c>
      <c r="D787">
        <f>_xlfn.XLOOKUP(tblOrders[[#This Row],[CustomerID]],tblCustomers[CustomerID],tblCustomers[Age],"not found")</f>
        <v>67</v>
      </c>
      <c r="E787" t="str">
        <f>_xlfn.XLOOKUP(tblOrders[[#This Row],[CustomerID]],tblCustomers[CustomerID],tblCustomers[Gender],"not found")</f>
        <v>Male</v>
      </c>
      <c r="F787" t="str">
        <f>_xlfn.XLOOKUP(tblOrders[[#This Row],[CustomerID]],tblCustomers[CustomerID],tblCustomers[Region],"not found")</f>
        <v>South</v>
      </c>
      <c r="G787">
        <v>1084</v>
      </c>
      <c r="H787" t="str">
        <f>_xlfn.XLOOKUP(tblOrders[[#This Row],[ProductID]],tblProducts[ProductID],tblProducts[ProductName],"not found")</f>
        <v>Space</v>
      </c>
      <c r="I787" t="str">
        <f>_xlfn.XLOOKUP(tblOrders[[#This Row],[ProductID]],tblProducts[ProductID],tblProducts[Category],"not found")</f>
        <v>Electronics</v>
      </c>
      <c r="J787">
        <f>_xlfn.XLOOKUP(tblOrders[[#This Row],[ProductID]],tblProducts[ProductID],tblProducts[UnitPrice],"not found")</f>
        <v>381.99</v>
      </c>
      <c r="K787" t="str">
        <f>_xlfn.XLOOKUP(tblOrders[[#This Row],[ProductID]],tblProducts[ProductID],tblProducts[Supplier],"not found")</f>
        <v>Schmidt and Sons</v>
      </c>
      <c r="L787" s="1">
        <v>45208</v>
      </c>
      <c r="M7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45208</v>
      </c>
      <c r="N787">
        <v>9</v>
      </c>
      <c r="O787">
        <v>3437.91</v>
      </c>
      <c r="P787">
        <f>tblOrders[[#This Row],[Quantity]]*tblOrders[[#This Row],[Unit Price]]</f>
        <v>3437.91</v>
      </c>
      <c r="Q787">
        <f>tblOrders[[#This Row],[TotalSales]]-tblOrders[[#This Row],[Calculated Sales]]</f>
        <v>0</v>
      </c>
    </row>
    <row r="788" spans="1:17" x14ac:dyDescent="0.25">
      <c r="A788">
        <v>768</v>
      </c>
      <c r="B788">
        <v>631</v>
      </c>
      <c r="C788" t="str">
        <f>_xlfn.XLOOKUP(tblOrders[[#This Row],[CustomerID]],tblCustomers[CustomerID],tblCustomers[CustomerName],"not found")</f>
        <v>Brian Merritt</v>
      </c>
      <c r="D788">
        <f>_xlfn.XLOOKUP(tblOrders[[#This Row],[CustomerID]],tblCustomers[CustomerID],tblCustomers[Age],"not found")</f>
        <v>27</v>
      </c>
      <c r="E788" t="str">
        <f>_xlfn.XLOOKUP(tblOrders[[#This Row],[CustomerID]],tblCustomers[CustomerID],tblCustomers[Gender],"not found")</f>
        <v>Female</v>
      </c>
      <c r="F788" t="str">
        <f>_xlfn.XLOOKUP(tblOrders[[#This Row],[CustomerID]],tblCustomers[CustomerID],tblCustomers[Region],"not found")</f>
        <v>North</v>
      </c>
      <c r="G788">
        <v>1084</v>
      </c>
      <c r="H788" t="str">
        <f>_xlfn.XLOOKUP(tblOrders[[#This Row],[ProductID]],tblProducts[ProductID],tblProducts[ProductName],"not found")</f>
        <v>Space</v>
      </c>
      <c r="I788" t="str">
        <f>_xlfn.XLOOKUP(tblOrders[[#This Row],[ProductID]],tblProducts[ProductID],tblProducts[Category],"not found")</f>
        <v>Electronics</v>
      </c>
      <c r="J788">
        <f>_xlfn.XLOOKUP(tblOrders[[#This Row],[ProductID]],tblProducts[ProductID],tblProducts[UnitPrice],"not found")</f>
        <v>381.99</v>
      </c>
      <c r="K788" t="str">
        <f>_xlfn.XLOOKUP(tblOrders[[#This Row],[ProductID]],tblProducts[ProductID],tblProducts[Supplier],"not found")</f>
        <v>Schmidt and Sons</v>
      </c>
      <c r="L788" s="1" t="s">
        <v>2030</v>
      </c>
      <c r="M7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45465</v>
      </c>
      <c r="N788">
        <v>5</v>
      </c>
      <c r="O788">
        <v>1909.95</v>
      </c>
      <c r="P788">
        <f>tblOrders[[#This Row],[Quantity]]*tblOrders[[#This Row],[Unit Price]]</f>
        <v>1909.95</v>
      </c>
      <c r="Q788">
        <f>tblOrders[[#This Row],[TotalSales]]-tblOrders[[#This Row],[Calculated Sales]]</f>
        <v>0</v>
      </c>
    </row>
    <row r="789" spans="1:17" x14ac:dyDescent="0.25">
      <c r="A789">
        <v>1059</v>
      </c>
      <c r="B789">
        <v>174</v>
      </c>
      <c r="C789" t="str">
        <f>_xlfn.XLOOKUP(tblOrders[[#This Row],[CustomerID]],tblCustomers[CustomerID],tblCustomers[CustomerName],"not found")</f>
        <v>Mary Ross</v>
      </c>
      <c r="D789">
        <f>_xlfn.XLOOKUP(tblOrders[[#This Row],[CustomerID]],tblCustomers[CustomerID],tblCustomers[Age],"not found")</f>
        <v>35</v>
      </c>
      <c r="E789" t="str">
        <f>_xlfn.XLOOKUP(tblOrders[[#This Row],[CustomerID]],tblCustomers[CustomerID],tblCustomers[Gender],"not found")</f>
        <v>Female</v>
      </c>
      <c r="F789" t="str">
        <f>_xlfn.XLOOKUP(tblOrders[[#This Row],[CustomerID]],tblCustomers[CustomerID],tblCustomers[Region],"not found")</f>
        <v>West</v>
      </c>
      <c r="G789">
        <v>1084</v>
      </c>
      <c r="H789" t="str">
        <f>_xlfn.XLOOKUP(tblOrders[[#This Row],[ProductID]],tblProducts[ProductID],tblProducts[ProductName],"not found")</f>
        <v>Space</v>
      </c>
      <c r="I789" t="str">
        <f>_xlfn.XLOOKUP(tblOrders[[#This Row],[ProductID]],tblProducts[ProductID],tblProducts[Category],"not found")</f>
        <v>Electronics</v>
      </c>
      <c r="J789">
        <f>_xlfn.XLOOKUP(tblOrders[[#This Row],[ProductID]],tblProducts[ProductID],tblProducts[UnitPrice],"not found")</f>
        <v>381.99</v>
      </c>
      <c r="K789" t="str">
        <f>_xlfn.XLOOKUP(tblOrders[[#This Row],[ProductID]],tblProducts[ProductID],tblProducts[Supplier],"not found")</f>
        <v>Schmidt and Sons</v>
      </c>
      <c r="L789" s="1" t="s">
        <v>2299</v>
      </c>
      <c r="M7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45307</v>
      </c>
      <c r="N789">
        <v>1</v>
      </c>
      <c r="O789">
        <v>381.99</v>
      </c>
      <c r="P789">
        <f>tblOrders[[#This Row],[Quantity]]*tblOrders[[#This Row],[Unit Price]]</f>
        <v>381.99</v>
      </c>
      <c r="Q789">
        <f>tblOrders[[#This Row],[TotalSales]]-tblOrders[[#This Row],[Calculated Sales]]</f>
        <v>0</v>
      </c>
    </row>
    <row r="790" spans="1:17" x14ac:dyDescent="0.25">
      <c r="A790">
        <v>1131</v>
      </c>
      <c r="B790">
        <v>378</v>
      </c>
      <c r="C790" t="str">
        <f>_xlfn.XLOOKUP(tblOrders[[#This Row],[CustomerID]],tblCustomers[CustomerID],tblCustomers[CustomerName],"not found")</f>
        <v>Katherine Snyder</v>
      </c>
      <c r="D790">
        <f>_xlfn.XLOOKUP(tblOrders[[#This Row],[CustomerID]],tblCustomers[CustomerID],tblCustomers[Age],"not found")</f>
        <v>31</v>
      </c>
      <c r="E790" t="str">
        <f>_xlfn.XLOOKUP(tblOrders[[#This Row],[CustomerID]],tblCustomers[CustomerID],tblCustomers[Gender],"not found")</f>
        <v>Female</v>
      </c>
      <c r="F790" t="str">
        <f>_xlfn.XLOOKUP(tblOrders[[#This Row],[CustomerID]],tblCustomers[CustomerID],tblCustomers[Region],"not found")</f>
        <v>West</v>
      </c>
      <c r="G790">
        <v>1084</v>
      </c>
      <c r="H790" t="str">
        <f>_xlfn.XLOOKUP(tblOrders[[#This Row],[ProductID]],tblProducts[ProductID],tblProducts[ProductName],"not found")</f>
        <v>Space</v>
      </c>
      <c r="I790" t="str">
        <f>_xlfn.XLOOKUP(tblOrders[[#This Row],[ProductID]],tblProducts[ProductID],tblProducts[Category],"not found")</f>
        <v>Electronics</v>
      </c>
      <c r="J790">
        <f>_xlfn.XLOOKUP(tblOrders[[#This Row],[ProductID]],tblProducts[ProductID],tblProducts[UnitPrice],"not found")</f>
        <v>381.99</v>
      </c>
      <c r="K790" t="str">
        <f>_xlfn.XLOOKUP(tblOrders[[#This Row],[ProductID]],tblProducts[ProductID],tblProducts[Supplier],"not found")</f>
        <v>Schmidt and Sons</v>
      </c>
      <c r="L790" s="1">
        <v>45299</v>
      </c>
      <c r="M7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45299</v>
      </c>
      <c r="N790">
        <v>2</v>
      </c>
      <c r="O790">
        <v>763.98</v>
      </c>
      <c r="P790">
        <f>tblOrders[[#This Row],[Quantity]]*tblOrders[[#This Row],[Unit Price]]</f>
        <v>763.98</v>
      </c>
      <c r="Q790">
        <f>tblOrders[[#This Row],[TotalSales]]-tblOrders[[#This Row],[Calculated Sales]]</f>
        <v>0</v>
      </c>
    </row>
    <row r="791" spans="1:17" x14ac:dyDescent="0.25">
      <c r="A791">
        <v>1471</v>
      </c>
      <c r="B791">
        <v>551</v>
      </c>
      <c r="C791" t="str">
        <f>_xlfn.XLOOKUP(tblOrders[[#This Row],[CustomerID]],tblCustomers[CustomerID],tblCustomers[CustomerName],"not found")</f>
        <v>Cynthia Hall</v>
      </c>
      <c r="D791">
        <f>_xlfn.XLOOKUP(tblOrders[[#This Row],[CustomerID]],tblCustomers[CustomerID],tblCustomers[Age],"not found")</f>
        <v>42</v>
      </c>
      <c r="E791" t="str">
        <f>_xlfn.XLOOKUP(tblOrders[[#This Row],[CustomerID]],tblCustomers[CustomerID],tblCustomers[Gender],"not found")</f>
        <v>Male</v>
      </c>
      <c r="F791" t="str">
        <f>_xlfn.XLOOKUP(tblOrders[[#This Row],[CustomerID]],tblCustomers[CustomerID],tblCustomers[Region],"not found")</f>
        <v>West</v>
      </c>
      <c r="G791">
        <v>1084</v>
      </c>
      <c r="H791" t="str">
        <f>_xlfn.XLOOKUP(tblOrders[[#This Row],[ProductID]],tblProducts[ProductID],tblProducts[ProductName],"not found")</f>
        <v>Space</v>
      </c>
      <c r="I791" t="str">
        <f>_xlfn.XLOOKUP(tblOrders[[#This Row],[ProductID]],tblProducts[ProductID],tblProducts[Category],"not found")</f>
        <v>Electronics</v>
      </c>
      <c r="J791">
        <f>_xlfn.XLOOKUP(tblOrders[[#This Row],[ProductID]],tblProducts[ProductID],tblProducts[UnitPrice],"not found")</f>
        <v>381.99</v>
      </c>
      <c r="K791" t="str">
        <f>_xlfn.XLOOKUP(tblOrders[[#This Row],[ProductID]],tblProducts[ProductID],tblProducts[Supplier],"not found")</f>
        <v>Schmidt and Sons</v>
      </c>
      <c r="L791" s="1" t="s">
        <v>2054</v>
      </c>
      <c r="M7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45335</v>
      </c>
      <c r="N791">
        <v>3</v>
      </c>
      <c r="O791">
        <v>1145.97</v>
      </c>
      <c r="P791">
        <f>tblOrders[[#This Row],[Quantity]]*tblOrders[[#This Row],[Unit Price]]</f>
        <v>1145.97</v>
      </c>
      <c r="Q791">
        <f>tblOrders[[#This Row],[TotalSales]]-tblOrders[[#This Row],[Calculated Sales]]</f>
        <v>0</v>
      </c>
    </row>
    <row r="792" spans="1:17" x14ac:dyDescent="0.25">
      <c r="A792">
        <v>1667</v>
      </c>
      <c r="B792">
        <v>60</v>
      </c>
      <c r="C792" t="str">
        <f>_xlfn.XLOOKUP(tblOrders[[#This Row],[CustomerID]],tblCustomers[CustomerID],tblCustomers[CustomerName],"not found")</f>
        <v>Christopher Obrien</v>
      </c>
      <c r="D792">
        <f>_xlfn.XLOOKUP(tblOrders[[#This Row],[CustomerID]],tblCustomers[CustomerID],tblCustomers[Age],"not found")</f>
        <v>46</v>
      </c>
      <c r="E792" t="str">
        <f>_xlfn.XLOOKUP(tblOrders[[#This Row],[CustomerID]],tblCustomers[CustomerID],tblCustomers[Gender],"not found")</f>
        <v>Male</v>
      </c>
      <c r="F792" t="str">
        <f>_xlfn.XLOOKUP(tblOrders[[#This Row],[CustomerID]],tblCustomers[CustomerID],tblCustomers[Region],"not found")</f>
        <v>East</v>
      </c>
      <c r="G792">
        <v>1084</v>
      </c>
      <c r="H792" t="str">
        <f>_xlfn.XLOOKUP(tblOrders[[#This Row],[ProductID]],tblProducts[ProductID],tblProducts[ProductName],"not found")</f>
        <v>Space</v>
      </c>
      <c r="I792" t="str">
        <f>_xlfn.XLOOKUP(tblOrders[[#This Row],[ProductID]],tblProducts[ProductID],tblProducts[Category],"not found")</f>
        <v>Electronics</v>
      </c>
      <c r="J792">
        <f>_xlfn.XLOOKUP(tblOrders[[#This Row],[ProductID]],tblProducts[ProductID],tblProducts[UnitPrice],"not found")</f>
        <v>381.99</v>
      </c>
      <c r="K792" t="str">
        <f>_xlfn.XLOOKUP(tblOrders[[#This Row],[ProductID]],tblProducts[ProductID],tblProducts[Supplier],"not found")</f>
        <v>Schmidt and Sons</v>
      </c>
      <c r="L792" s="1">
        <v>45354</v>
      </c>
      <c r="M7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45354</v>
      </c>
      <c r="N792">
        <v>5</v>
      </c>
      <c r="O792">
        <v>1909.95</v>
      </c>
      <c r="P792">
        <f>tblOrders[[#This Row],[Quantity]]*tblOrders[[#This Row],[Unit Price]]</f>
        <v>1909.95</v>
      </c>
      <c r="Q792">
        <f>tblOrders[[#This Row],[TotalSales]]-tblOrders[[#This Row],[Calculated Sales]]</f>
        <v>0</v>
      </c>
    </row>
    <row r="793" spans="1:17" x14ac:dyDescent="0.25">
      <c r="A793">
        <v>1718</v>
      </c>
      <c r="B793">
        <v>772</v>
      </c>
      <c r="C793" t="str">
        <f>_xlfn.XLOOKUP(tblOrders[[#This Row],[CustomerID]],tblCustomers[CustomerID],tblCustomers[CustomerName],"not found")</f>
        <v>Veronica Smith</v>
      </c>
      <c r="D793">
        <f>_xlfn.XLOOKUP(tblOrders[[#This Row],[CustomerID]],tblCustomers[CustomerID],tblCustomers[Age],"not found")</f>
        <v>65</v>
      </c>
      <c r="E793" t="str">
        <f>_xlfn.XLOOKUP(tblOrders[[#This Row],[CustomerID]],tblCustomers[CustomerID],tblCustomers[Gender],"not found")</f>
        <v>Female</v>
      </c>
      <c r="F793" t="str">
        <f>_xlfn.XLOOKUP(tblOrders[[#This Row],[CustomerID]],tblCustomers[CustomerID],tblCustomers[Region],"not found")</f>
        <v>North</v>
      </c>
      <c r="G793">
        <v>1084</v>
      </c>
      <c r="H793" t="str">
        <f>_xlfn.XLOOKUP(tblOrders[[#This Row],[ProductID]],tblProducts[ProductID],tblProducts[ProductName],"not found")</f>
        <v>Space</v>
      </c>
      <c r="I793" t="str">
        <f>_xlfn.XLOOKUP(tblOrders[[#This Row],[ProductID]],tblProducts[ProductID],tblProducts[Category],"not found")</f>
        <v>Electronics</v>
      </c>
      <c r="J793">
        <f>_xlfn.XLOOKUP(tblOrders[[#This Row],[ProductID]],tblProducts[ProductID],tblProducts[UnitPrice],"not found")</f>
        <v>381.99</v>
      </c>
      <c r="K793" t="str">
        <f>_xlfn.XLOOKUP(tblOrders[[#This Row],[ProductID]],tblProducts[ProductID],tblProducts[Supplier],"not found")</f>
        <v>Schmidt and Sons</v>
      </c>
      <c r="L793" s="1" t="s">
        <v>2257</v>
      </c>
      <c r="M7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793">
        <v>2</v>
      </c>
      <c r="O793">
        <v>763.98</v>
      </c>
      <c r="P793">
        <f>tblOrders[[#This Row],[Quantity]]*tblOrders[[#This Row],[Unit Price]]</f>
        <v>763.98</v>
      </c>
      <c r="Q793">
        <f>tblOrders[[#This Row],[TotalSales]]-tblOrders[[#This Row],[Calculated Sales]]</f>
        <v>0</v>
      </c>
    </row>
    <row r="794" spans="1:17" x14ac:dyDescent="0.25">
      <c r="A794">
        <v>1731</v>
      </c>
      <c r="B794">
        <v>949</v>
      </c>
      <c r="C794" t="str">
        <f>_xlfn.XLOOKUP(tblOrders[[#This Row],[CustomerID]],tblCustomers[CustomerID],tblCustomers[CustomerName],"not found")</f>
        <v>Cynthia Green</v>
      </c>
      <c r="D794">
        <f>_xlfn.XLOOKUP(tblOrders[[#This Row],[CustomerID]],tblCustomers[CustomerID],tblCustomers[Age],"not found")</f>
        <v>47</v>
      </c>
      <c r="E794" t="str">
        <f>_xlfn.XLOOKUP(tblOrders[[#This Row],[CustomerID]],tblCustomers[CustomerID],tblCustomers[Gender],"not found")</f>
        <v>Female</v>
      </c>
      <c r="F794" t="str">
        <f>_xlfn.XLOOKUP(tblOrders[[#This Row],[CustomerID]],tblCustomers[CustomerID],tblCustomers[Region],"not found")</f>
        <v>West</v>
      </c>
      <c r="G794">
        <v>1084</v>
      </c>
      <c r="H794" t="str">
        <f>_xlfn.XLOOKUP(tblOrders[[#This Row],[ProductID]],tblProducts[ProductID],tblProducts[ProductName],"not found")</f>
        <v>Space</v>
      </c>
      <c r="I794" t="str">
        <f>_xlfn.XLOOKUP(tblOrders[[#This Row],[ProductID]],tblProducts[ProductID],tblProducts[Category],"not found")</f>
        <v>Electronics</v>
      </c>
      <c r="J794">
        <f>_xlfn.XLOOKUP(tblOrders[[#This Row],[ProductID]],tblProducts[ProductID],tblProducts[UnitPrice],"not found")</f>
        <v>381.99</v>
      </c>
      <c r="K794" t="str">
        <f>_xlfn.XLOOKUP(tblOrders[[#This Row],[ProductID]],tblProducts[ProductID],tblProducts[Supplier],"not found")</f>
        <v>Schmidt and Sons</v>
      </c>
      <c r="L794" s="1" t="s">
        <v>2300</v>
      </c>
      <c r="M7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44950</v>
      </c>
      <c r="N794">
        <v>1</v>
      </c>
      <c r="O794">
        <v>381.99</v>
      </c>
      <c r="P794">
        <f>tblOrders[[#This Row],[Quantity]]*tblOrders[[#This Row],[Unit Price]]</f>
        <v>381.99</v>
      </c>
      <c r="Q794">
        <f>tblOrders[[#This Row],[TotalSales]]-tblOrders[[#This Row],[Calculated Sales]]</f>
        <v>0</v>
      </c>
    </row>
    <row r="795" spans="1:17" x14ac:dyDescent="0.25">
      <c r="A795">
        <v>1782</v>
      </c>
      <c r="B795">
        <v>341</v>
      </c>
      <c r="C795" t="str">
        <f>_xlfn.XLOOKUP(tblOrders[[#This Row],[CustomerID]],tblCustomers[CustomerID],tblCustomers[CustomerName],"not found")</f>
        <v>John Esparza</v>
      </c>
      <c r="D795">
        <f>_xlfn.XLOOKUP(tblOrders[[#This Row],[CustomerID]],tblCustomers[CustomerID],tblCustomers[Age],"not found")</f>
        <v>49</v>
      </c>
      <c r="E795" t="str">
        <f>_xlfn.XLOOKUP(tblOrders[[#This Row],[CustomerID]],tblCustomers[CustomerID],tblCustomers[Gender],"not found")</f>
        <v>Male</v>
      </c>
      <c r="F795" t="str">
        <f>_xlfn.XLOOKUP(tblOrders[[#This Row],[CustomerID]],tblCustomers[CustomerID],tblCustomers[Region],"not found")</f>
        <v>East</v>
      </c>
      <c r="G795">
        <v>1084</v>
      </c>
      <c r="H795" t="str">
        <f>_xlfn.XLOOKUP(tblOrders[[#This Row],[ProductID]],tblProducts[ProductID],tblProducts[ProductName],"not found")</f>
        <v>Space</v>
      </c>
      <c r="I795" t="str">
        <f>_xlfn.XLOOKUP(tblOrders[[#This Row],[ProductID]],tblProducts[ProductID],tblProducts[Category],"not found")</f>
        <v>Electronics</v>
      </c>
      <c r="J795">
        <f>_xlfn.XLOOKUP(tblOrders[[#This Row],[ProductID]],tblProducts[ProductID],tblProducts[UnitPrice],"not found")</f>
        <v>381.99</v>
      </c>
      <c r="K795" t="str">
        <f>_xlfn.XLOOKUP(tblOrders[[#This Row],[ProductID]],tblProducts[ProductID],tblProducts[Supplier],"not found")</f>
        <v>Schmidt and Sons</v>
      </c>
      <c r="L795" s="1">
        <v>44936</v>
      </c>
      <c r="M7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795">
        <v>2</v>
      </c>
      <c r="O795">
        <v>763.98</v>
      </c>
      <c r="P795">
        <f>tblOrders[[#This Row],[Quantity]]*tblOrders[[#This Row],[Unit Price]]</f>
        <v>763.98</v>
      </c>
      <c r="Q795">
        <f>tblOrders[[#This Row],[TotalSales]]-tblOrders[[#This Row],[Calculated Sales]]</f>
        <v>0</v>
      </c>
    </row>
    <row r="796" spans="1:17" x14ac:dyDescent="0.25">
      <c r="A796">
        <v>1862</v>
      </c>
      <c r="B796">
        <v>947</v>
      </c>
      <c r="C796" t="str">
        <f>_xlfn.XLOOKUP(tblOrders[[#This Row],[CustomerID]],tblCustomers[CustomerID],tblCustomers[CustomerName],"not found")</f>
        <v>Anthony Mcgee</v>
      </c>
      <c r="D796">
        <f>_xlfn.XLOOKUP(tblOrders[[#This Row],[CustomerID]],tblCustomers[CustomerID],tblCustomers[Age],"not found")</f>
        <v>49</v>
      </c>
      <c r="E796" t="str">
        <f>_xlfn.XLOOKUP(tblOrders[[#This Row],[CustomerID]],tblCustomers[CustomerID],tblCustomers[Gender],"not found")</f>
        <v>Female</v>
      </c>
      <c r="F796" t="str">
        <f>_xlfn.XLOOKUP(tblOrders[[#This Row],[CustomerID]],tblCustomers[CustomerID],tblCustomers[Region],"not found")</f>
        <v>West</v>
      </c>
      <c r="G796">
        <v>1084</v>
      </c>
      <c r="H796" t="str">
        <f>_xlfn.XLOOKUP(tblOrders[[#This Row],[ProductID]],tblProducts[ProductID],tblProducts[ProductName],"not found")</f>
        <v>Space</v>
      </c>
      <c r="I796" t="str">
        <f>_xlfn.XLOOKUP(tblOrders[[#This Row],[ProductID]],tblProducts[ProductID],tblProducts[Category],"not found")</f>
        <v>Electronics</v>
      </c>
      <c r="J796">
        <f>_xlfn.XLOOKUP(tblOrders[[#This Row],[ProductID]],tblProducts[ProductID],tblProducts[UnitPrice],"not found")</f>
        <v>381.99</v>
      </c>
      <c r="K796" t="str">
        <f>_xlfn.XLOOKUP(tblOrders[[#This Row],[ProductID]],tblProducts[ProductID],tblProducts[Supplier],"not found")</f>
        <v>Schmidt and Sons</v>
      </c>
      <c r="L796" s="1" t="s">
        <v>2069</v>
      </c>
      <c r="M7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45488</v>
      </c>
      <c r="N796">
        <v>5</v>
      </c>
      <c r="O796">
        <v>1909.95</v>
      </c>
      <c r="P796">
        <f>tblOrders[[#This Row],[Quantity]]*tblOrders[[#This Row],[Unit Price]]</f>
        <v>1909.95</v>
      </c>
      <c r="Q796">
        <f>tblOrders[[#This Row],[TotalSales]]-tblOrders[[#This Row],[Calculated Sales]]</f>
        <v>0</v>
      </c>
    </row>
    <row r="797" spans="1:17" x14ac:dyDescent="0.25">
      <c r="A797">
        <v>1964</v>
      </c>
      <c r="B797">
        <v>473</v>
      </c>
      <c r="C797" t="str">
        <f>_xlfn.XLOOKUP(tblOrders[[#This Row],[CustomerID]],tblCustomers[CustomerID],tblCustomers[CustomerName],"not found")</f>
        <v>Julie Griffith</v>
      </c>
      <c r="D797">
        <f>_xlfn.XLOOKUP(tblOrders[[#This Row],[CustomerID]],tblCustomers[CustomerID],tblCustomers[Age],"not found")</f>
        <v>59</v>
      </c>
      <c r="E797" t="str">
        <f>_xlfn.XLOOKUP(tblOrders[[#This Row],[CustomerID]],tblCustomers[CustomerID],tblCustomers[Gender],"not found")</f>
        <v>Female</v>
      </c>
      <c r="F797" t="str">
        <f>_xlfn.XLOOKUP(tblOrders[[#This Row],[CustomerID]],tblCustomers[CustomerID],tblCustomers[Region],"not found")</f>
        <v>South</v>
      </c>
      <c r="G797">
        <v>1084</v>
      </c>
      <c r="H797" t="str">
        <f>_xlfn.XLOOKUP(tblOrders[[#This Row],[ProductID]],tblProducts[ProductID],tblProducts[ProductName],"not found")</f>
        <v>Space</v>
      </c>
      <c r="I797" t="str">
        <f>_xlfn.XLOOKUP(tblOrders[[#This Row],[ProductID]],tblProducts[ProductID],tblProducts[Category],"not found")</f>
        <v>Electronics</v>
      </c>
      <c r="J797">
        <f>_xlfn.XLOOKUP(tblOrders[[#This Row],[ProductID]],tblProducts[ProductID],tblProducts[UnitPrice],"not found")</f>
        <v>381.99</v>
      </c>
      <c r="K797" t="str">
        <f>_xlfn.XLOOKUP(tblOrders[[#This Row],[ProductID]],tblProducts[ProductID],tblProducts[Supplier],"not found")</f>
        <v>Schmidt and Sons</v>
      </c>
      <c r="L797" s="1" t="s">
        <v>2291</v>
      </c>
      <c r="M7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45595</v>
      </c>
      <c r="N797">
        <v>1</v>
      </c>
      <c r="O797">
        <v>381.99</v>
      </c>
      <c r="P797">
        <f>tblOrders[[#This Row],[Quantity]]*tblOrders[[#This Row],[Unit Price]]</f>
        <v>381.99</v>
      </c>
      <c r="Q797">
        <f>tblOrders[[#This Row],[TotalSales]]-tblOrders[[#This Row],[Calculated Sales]]</f>
        <v>0</v>
      </c>
    </row>
    <row r="798" spans="1:17" x14ac:dyDescent="0.25">
      <c r="A798">
        <v>43</v>
      </c>
      <c r="B798">
        <v>217</v>
      </c>
      <c r="C798" t="str">
        <f>_xlfn.XLOOKUP(tblOrders[[#This Row],[CustomerID]],tblCustomers[CustomerID],tblCustomers[CustomerName],"not found")</f>
        <v>Sarah Erickson</v>
      </c>
      <c r="D798">
        <f>_xlfn.XLOOKUP(tblOrders[[#This Row],[CustomerID]],tblCustomers[CustomerID],tblCustomers[Age],"not found")</f>
        <v>39</v>
      </c>
      <c r="E798" t="str">
        <f>_xlfn.XLOOKUP(tblOrders[[#This Row],[CustomerID]],tblCustomers[CustomerID],tblCustomers[Gender],"not found")</f>
        <v>Female</v>
      </c>
      <c r="F798" t="str">
        <f>_xlfn.XLOOKUP(tblOrders[[#This Row],[CustomerID]],tblCustomers[CustomerID],tblCustomers[Region],"not found")</f>
        <v>West</v>
      </c>
      <c r="G798">
        <v>1052</v>
      </c>
      <c r="H798" t="str">
        <f>_xlfn.XLOOKUP(tblOrders[[#This Row],[ProductID]],tblProducts[ProductID],tblProducts[ProductName],"not found")</f>
        <v>Some</v>
      </c>
      <c r="I798" t="str">
        <f>_xlfn.XLOOKUP(tblOrders[[#This Row],[ProductID]],tblProducts[ProductID],tblProducts[Category],"not found")</f>
        <v>Furniture</v>
      </c>
      <c r="J798">
        <f>_xlfn.XLOOKUP(tblOrders[[#This Row],[ProductID]],tblProducts[ProductID],tblProducts[UnitPrice],"not found")</f>
        <v>161.47</v>
      </c>
      <c r="K798" t="str">
        <f>_xlfn.XLOOKUP(tblOrders[[#This Row],[ProductID]],tblProducts[ProductID],tblProducts[Supplier],"not found")</f>
        <v>Smith, Peterson and Macdonald</v>
      </c>
      <c r="L798" s="1" t="s">
        <v>2251</v>
      </c>
      <c r="M7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45009</v>
      </c>
      <c r="N798">
        <v>6</v>
      </c>
      <c r="O798">
        <v>968.82</v>
      </c>
      <c r="P798">
        <f>tblOrders[[#This Row],[Quantity]]*tblOrders[[#This Row],[Unit Price]]</f>
        <v>968.81999999999994</v>
      </c>
      <c r="Q798">
        <f>tblOrders[[#This Row],[TotalSales]]-tblOrders[[#This Row],[Calculated Sales]]</f>
        <v>0</v>
      </c>
    </row>
    <row r="799" spans="1:17" x14ac:dyDescent="0.25">
      <c r="A799">
        <v>101</v>
      </c>
      <c r="B799">
        <v>152</v>
      </c>
      <c r="C799" t="str">
        <f>_xlfn.XLOOKUP(tblOrders[[#This Row],[CustomerID]],tblCustomers[CustomerID],tblCustomers[CustomerName],"not found")</f>
        <v>Leah Donaldson</v>
      </c>
      <c r="D799">
        <f>_xlfn.XLOOKUP(tblOrders[[#This Row],[CustomerID]],tblCustomers[CustomerID],tblCustomers[Age],"not found")</f>
        <v>24</v>
      </c>
      <c r="E799" t="str">
        <f>_xlfn.XLOOKUP(tblOrders[[#This Row],[CustomerID]],tblCustomers[CustomerID],tblCustomers[Gender],"not found")</f>
        <v>Male</v>
      </c>
      <c r="F799" t="str">
        <f>_xlfn.XLOOKUP(tblOrders[[#This Row],[CustomerID]],tblCustomers[CustomerID],tblCustomers[Region],"not found")</f>
        <v>South</v>
      </c>
      <c r="G799">
        <v>1052</v>
      </c>
      <c r="H799" t="str">
        <f>_xlfn.XLOOKUP(tblOrders[[#This Row],[ProductID]],tblProducts[ProductID],tblProducts[ProductName],"not found")</f>
        <v>Some</v>
      </c>
      <c r="I799" t="str">
        <f>_xlfn.XLOOKUP(tblOrders[[#This Row],[ProductID]],tblProducts[ProductID],tblProducts[Category],"not found")</f>
        <v>Furniture</v>
      </c>
      <c r="J799">
        <f>_xlfn.XLOOKUP(tblOrders[[#This Row],[ProductID]],tblProducts[ProductID],tblProducts[UnitPrice],"not found")</f>
        <v>161.47</v>
      </c>
      <c r="K799" t="str">
        <f>_xlfn.XLOOKUP(tblOrders[[#This Row],[ProductID]],tblProducts[ProductID],tblProducts[Supplier],"not found")</f>
        <v>Smith, Peterson and Macdonald</v>
      </c>
      <c r="L799" s="1" t="s">
        <v>2072</v>
      </c>
      <c r="M7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45138</v>
      </c>
      <c r="N799">
        <v>9</v>
      </c>
      <c r="O799">
        <v>1453.23</v>
      </c>
      <c r="P799">
        <f>tblOrders[[#This Row],[Quantity]]*tblOrders[[#This Row],[Unit Price]]</f>
        <v>1453.23</v>
      </c>
      <c r="Q799">
        <f>tblOrders[[#This Row],[TotalSales]]-tblOrders[[#This Row],[Calculated Sales]]</f>
        <v>0</v>
      </c>
    </row>
    <row r="800" spans="1:17" x14ac:dyDescent="0.25">
      <c r="A800">
        <v>131</v>
      </c>
      <c r="B800">
        <v>836</v>
      </c>
      <c r="C800" t="str">
        <f>_xlfn.XLOOKUP(tblOrders[[#This Row],[CustomerID]],tblCustomers[CustomerID],tblCustomers[CustomerName],"not found")</f>
        <v>Kristy Mclaughlin</v>
      </c>
      <c r="D800">
        <f>_xlfn.XLOOKUP(tblOrders[[#This Row],[CustomerID]],tblCustomers[CustomerID],tblCustomers[Age],"not found")</f>
        <v>45</v>
      </c>
      <c r="E800" t="str">
        <f>_xlfn.XLOOKUP(tblOrders[[#This Row],[CustomerID]],tblCustomers[CustomerID],tblCustomers[Gender],"not found")</f>
        <v>Female</v>
      </c>
      <c r="F800" t="str">
        <f>_xlfn.XLOOKUP(tblOrders[[#This Row],[CustomerID]],tblCustomers[CustomerID],tblCustomers[Region],"not found")</f>
        <v>North</v>
      </c>
      <c r="G800">
        <v>1052</v>
      </c>
      <c r="H800" t="str">
        <f>_xlfn.XLOOKUP(tblOrders[[#This Row],[ProductID]],tblProducts[ProductID],tblProducts[ProductName],"not found")</f>
        <v>Some</v>
      </c>
      <c r="I800" t="str">
        <f>_xlfn.XLOOKUP(tblOrders[[#This Row],[ProductID]],tblProducts[ProductID],tblProducts[Category],"not found")</f>
        <v>Furniture</v>
      </c>
      <c r="J800">
        <f>_xlfn.XLOOKUP(tblOrders[[#This Row],[ProductID]],tblProducts[ProductID],tblProducts[UnitPrice],"not found")</f>
        <v>161.47</v>
      </c>
      <c r="K800" t="str">
        <f>_xlfn.XLOOKUP(tblOrders[[#This Row],[ProductID]],tblProducts[ProductID],tblProducts[Supplier],"not found")</f>
        <v>Smith, Peterson and Macdonald</v>
      </c>
      <c r="L800" s="1" t="s">
        <v>2226</v>
      </c>
      <c r="M8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45523</v>
      </c>
      <c r="N800">
        <v>9</v>
      </c>
      <c r="O800">
        <v>1453.23</v>
      </c>
      <c r="P800">
        <f>tblOrders[[#This Row],[Quantity]]*tblOrders[[#This Row],[Unit Price]]</f>
        <v>1453.23</v>
      </c>
      <c r="Q800">
        <f>tblOrders[[#This Row],[TotalSales]]-tblOrders[[#This Row],[Calculated Sales]]</f>
        <v>0</v>
      </c>
    </row>
    <row r="801" spans="1:17" x14ac:dyDescent="0.25">
      <c r="A801">
        <v>156</v>
      </c>
      <c r="B801">
        <v>107</v>
      </c>
      <c r="C801" t="str">
        <f>_xlfn.XLOOKUP(tblOrders[[#This Row],[CustomerID]],tblCustomers[CustomerID],tblCustomers[CustomerName],"not found")</f>
        <v>Raymond Griffin</v>
      </c>
      <c r="D801">
        <f>_xlfn.XLOOKUP(tblOrders[[#This Row],[CustomerID]],tblCustomers[CustomerID],tblCustomers[Age],"not found")</f>
        <v>67</v>
      </c>
      <c r="E801" t="str">
        <f>_xlfn.XLOOKUP(tblOrders[[#This Row],[CustomerID]],tblCustomers[CustomerID],tblCustomers[Gender],"not found")</f>
        <v>Male</v>
      </c>
      <c r="F801" t="str">
        <f>_xlfn.XLOOKUP(tblOrders[[#This Row],[CustomerID]],tblCustomers[CustomerID],tblCustomers[Region],"not found")</f>
        <v>East</v>
      </c>
      <c r="G801">
        <v>1052</v>
      </c>
      <c r="H801" t="str">
        <f>_xlfn.XLOOKUP(tblOrders[[#This Row],[ProductID]],tblProducts[ProductID],tblProducts[ProductName],"not found")</f>
        <v>Some</v>
      </c>
      <c r="I801" t="str">
        <f>_xlfn.XLOOKUP(tblOrders[[#This Row],[ProductID]],tblProducts[ProductID],tblProducts[Category],"not found")</f>
        <v>Furniture</v>
      </c>
      <c r="J801">
        <f>_xlfn.XLOOKUP(tblOrders[[#This Row],[ProductID]],tblProducts[ProductID],tblProducts[UnitPrice],"not found")</f>
        <v>161.47</v>
      </c>
      <c r="K801" t="str">
        <f>_xlfn.XLOOKUP(tblOrders[[#This Row],[ProductID]],tblProducts[ProductID],tblProducts[Supplier],"not found")</f>
        <v>Smith, Peterson and Macdonald</v>
      </c>
      <c r="L801" s="1" t="s">
        <v>2059</v>
      </c>
      <c r="M8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45290</v>
      </c>
      <c r="N801">
        <v>7</v>
      </c>
      <c r="O801">
        <v>1130.29</v>
      </c>
      <c r="P801">
        <f>tblOrders[[#This Row],[Quantity]]*tblOrders[[#This Row],[Unit Price]]</f>
        <v>1130.29</v>
      </c>
      <c r="Q801">
        <f>tblOrders[[#This Row],[TotalSales]]-tblOrders[[#This Row],[Calculated Sales]]</f>
        <v>0</v>
      </c>
    </row>
    <row r="802" spans="1:17" x14ac:dyDescent="0.25">
      <c r="A802">
        <v>212</v>
      </c>
      <c r="B802">
        <v>500</v>
      </c>
      <c r="C802" t="str">
        <f>_xlfn.XLOOKUP(tblOrders[[#This Row],[CustomerID]],tblCustomers[CustomerID],tblCustomers[CustomerName],"not found")</f>
        <v>Lisa Wiggins</v>
      </c>
      <c r="D802">
        <f>_xlfn.XLOOKUP(tblOrders[[#This Row],[CustomerID]],tblCustomers[CustomerID],tblCustomers[Age],"not found")</f>
        <v>39</v>
      </c>
      <c r="E802" t="str">
        <f>_xlfn.XLOOKUP(tblOrders[[#This Row],[CustomerID]],tblCustomers[CustomerID],tblCustomers[Gender],"not found")</f>
        <v>Female</v>
      </c>
      <c r="F802" t="str">
        <f>_xlfn.XLOOKUP(tblOrders[[#This Row],[CustomerID]],tblCustomers[CustomerID],tblCustomers[Region],"not found")</f>
        <v>South</v>
      </c>
      <c r="G802">
        <v>1052</v>
      </c>
      <c r="H802" t="str">
        <f>_xlfn.XLOOKUP(tblOrders[[#This Row],[ProductID]],tblProducts[ProductID],tblProducts[ProductName],"not found")</f>
        <v>Some</v>
      </c>
      <c r="I802" t="str">
        <f>_xlfn.XLOOKUP(tblOrders[[#This Row],[ProductID]],tblProducts[ProductID],tblProducts[Category],"not found")</f>
        <v>Furniture</v>
      </c>
      <c r="J802">
        <f>_xlfn.XLOOKUP(tblOrders[[#This Row],[ProductID]],tblProducts[ProductID],tblProducts[UnitPrice],"not found")</f>
        <v>161.47</v>
      </c>
      <c r="K802" t="str">
        <f>_xlfn.XLOOKUP(tblOrders[[#This Row],[ProductID]],tblProducts[ProductID],tblProducts[Supplier],"not found")</f>
        <v>Smith, Peterson and Macdonald</v>
      </c>
      <c r="L802" s="1" t="s">
        <v>2102</v>
      </c>
      <c r="M8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45249</v>
      </c>
      <c r="N802">
        <v>7</v>
      </c>
      <c r="O802">
        <v>1130.29</v>
      </c>
      <c r="P802">
        <f>tblOrders[[#This Row],[Quantity]]*tblOrders[[#This Row],[Unit Price]]</f>
        <v>1130.29</v>
      </c>
      <c r="Q802">
        <f>tblOrders[[#This Row],[TotalSales]]-tblOrders[[#This Row],[Calculated Sales]]</f>
        <v>0</v>
      </c>
    </row>
    <row r="803" spans="1:17" x14ac:dyDescent="0.25">
      <c r="A803">
        <v>676</v>
      </c>
      <c r="B803">
        <v>371</v>
      </c>
      <c r="C803" t="str">
        <f>_xlfn.XLOOKUP(tblOrders[[#This Row],[CustomerID]],tblCustomers[CustomerID],tblCustomers[CustomerName],"not found")</f>
        <v>Jennifer Cole</v>
      </c>
      <c r="D803">
        <f>_xlfn.XLOOKUP(tblOrders[[#This Row],[CustomerID]],tblCustomers[CustomerID],tblCustomers[Age],"not found")</f>
        <v>49</v>
      </c>
      <c r="E803" t="str">
        <f>_xlfn.XLOOKUP(tblOrders[[#This Row],[CustomerID]],tblCustomers[CustomerID],tblCustomers[Gender],"not found")</f>
        <v>Male</v>
      </c>
      <c r="F803" t="str">
        <f>_xlfn.XLOOKUP(tblOrders[[#This Row],[CustomerID]],tblCustomers[CustomerID],tblCustomers[Region],"not found")</f>
        <v>North</v>
      </c>
      <c r="G803">
        <v>1052</v>
      </c>
      <c r="H803" t="str">
        <f>_xlfn.XLOOKUP(tblOrders[[#This Row],[ProductID]],tblProducts[ProductID],tblProducts[ProductName],"not found")</f>
        <v>Some</v>
      </c>
      <c r="I803" t="str">
        <f>_xlfn.XLOOKUP(tblOrders[[#This Row],[ProductID]],tblProducts[ProductID],tblProducts[Category],"not found")</f>
        <v>Furniture</v>
      </c>
      <c r="J803">
        <f>_xlfn.XLOOKUP(tblOrders[[#This Row],[ProductID]],tblProducts[ProductID],tblProducts[UnitPrice],"not found")</f>
        <v>161.47</v>
      </c>
      <c r="K803" t="str">
        <f>_xlfn.XLOOKUP(tblOrders[[#This Row],[ProductID]],tblProducts[ProductID],tblProducts[Supplier],"not found")</f>
        <v>Smith, Peterson and Macdonald</v>
      </c>
      <c r="L803" s="1" t="s">
        <v>2301</v>
      </c>
      <c r="M8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45068</v>
      </c>
      <c r="N803">
        <v>4</v>
      </c>
      <c r="O803">
        <v>645.88</v>
      </c>
      <c r="P803">
        <f>tblOrders[[#This Row],[Quantity]]*tblOrders[[#This Row],[Unit Price]]</f>
        <v>645.88</v>
      </c>
      <c r="Q803">
        <f>tblOrders[[#This Row],[TotalSales]]-tblOrders[[#This Row],[Calculated Sales]]</f>
        <v>0</v>
      </c>
    </row>
    <row r="804" spans="1:17" x14ac:dyDescent="0.25">
      <c r="A804">
        <v>714</v>
      </c>
      <c r="B804">
        <v>920</v>
      </c>
      <c r="C804" t="str">
        <f>_xlfn.XLOOKUP(tblOrders[[#This Row],[CustomerID]],tblCustomers[CustomerID],tblCustomers[CustomerName],"not found")</f>
        <v>Steven White</v>
      </c>
      <c r="D804">
        <f>_xlfn.XLOOKUP(tblOrders[[#This Row],[CustomerID]],tblCustomers[CustomerID],tblCustomers[Age],"not found")</f>
        <v>60</v>
      </c>
      <c r="E804" t="str">
        <f>_xlfn.XLOOKUP(tblOrders[[#This Row],[CustomerID]],tblCustomers[CustomerID],tblCustomers[Gender],"not found")</f>
        <v>Male</v>
      </c>
      <c r="F804" t="str">
        <f>_xlfn.XLOOKUP(tblOrders[[#This Row],[CustomerID]],tblCustomers[CustomerID],tblCustomers[Region],"not found")</f>
        <v>West</v>
      </c>
      <c r="G804">
        <v>1052</v>
      </c>
      <c r="H804" t="str">
        <f>_xlfn.XLOOKUP(tblOrders[[#This Row],[ProductID]],tblProducts[ProductID],tblProducts[ProductName],"not found")</f>
        <v>Some</v>
      </c>
      <c r="I804" t="str">
        <f>_xlfn.XLOOKUP(tblOrders[[#This Row],[ProductID]],tblProducts[ProductID],tblProducts[Category],"not found")</f>
        <v>Furniture</v>
      </c>
      <c r="J804">
        <f>_xlfn.XLOOKUP(tblOrders[[#This Row],[ProductID]],tblProducts[ProductID],tblProducts[UnitPrice],"not found")</f>
        <v>161.47</v>
      </c>
      <c r="K804" t="str">
        <f>_xlfn.XLOOKUP(tblOrders[[#This Row],[ProductID]],tblProducts[ProductID],tblProducts[Supplier],"not found")</f>
        <v>Smith, Peterson and Macdonald</v>
      </c>
      <c r="L804" s="1">
        <v>44936</v>
      </c>
      <c r="M8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804">
        <v>7</v>
      </c>
      <c r="O804">
        <v>1130.29</v>
      </c>
      <c r="P804">
        <f>tblOrders[[#This Row],[Quantity]]*tblOrders[[#This Row],[Unit Price]]</f>
        <v>1130.29</v>
      </c>
      <c r="Q804">
        <f>tblOrders[[#This Row],[TotalSales]]-tblOrders[[#This Row],[Calculated Sales]]</f>
        <v>0</v>
      </c>
    </row>
    <row r="805" spans="1:17" x14ac:dyDescent="0.25">
      <c r="A805">
        <v>931</v>
      </c>
      <c r="B805">
        <v>44</v>
      </c>
      <c r="C805" t="str">
        <f>_xlfn.XLOOKUP(tblOrders[[#This Row],[CustomerID]],tblCustomers[CustomerID],tblCustomers[CustomerName],"not found")</f>
        <v>Sandra Goodwin</v>
      </c>
      <c r="D805">
        <f>_xlfn.XLOOKUP(tblOrders[[#This Row],[CustomerID]],tblCustomers[CustomerID],tblCustomers[Age],"not found")</f>
        <v>28</v>
      </c>
      <c r="E805" t="str">
        <f>_xlfn.XLOOKUP(tblOrders[[#This Row],[CustomerID]],tblCustomers[CustomerID],tblCustomers[Gender],"not found")</f>
        <v>Female</v>
      </c>
      <c r="F805" t="str">
        <f>_xlfn.XLOOKUP(tblOrders[[#This Row],[CustomerID]],tblCustomers[CustomerID],tblCustomers[Region],"not found")</f>
        <v>West</v>
      </c>
      <c r="G805">
        <v>1052</v>
      </c>
      <c r="H805" t="str">
        <f>_xlfn.XLOOKUP(tblOrders[[#This Row],[ProductID]],tblProducts[ProductID],tblProducts[ProductName],"not found")</f>
        <v>Some</v>
      </c>
      <c r="I805" t="str">
        <f>_xlfn.XLOOKUP(tblOrders[[#This Row],[ProductID]],tblProducts[ProductID],tblProducts[Category],"not found")</f>
        <v>Furniture</v>
      </c>
      <c r="J805">
        <f>_xlfn.XLOOKUP(tblOrders[[#This Row],[ProductID]],tblProducts[ProductID],tblProducts[UnitPrice],"not found")</f>
        <v>161.47</v>
      </c>
      <c r="K805" t="str">
        <f>_xlfn.XLOOKUP(tblOrders[[#This Row],[ProductID]],tblProducts[ProductID],tblProducts[Supplier],"not found")</f>
        <v>Smith, Peterson and Macdonald</v>
      </c>
      <c r="L805" s="1" t="s">
        <v>2302</v>
      </c>
      <c r="M8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45336</v>
      </c>
      <c r="N805">
        <v>3</v>
      </c>
      <c r="O805">
        <v>484.41</v>
      </c>
      <c r="P805">
        <f>tblOrders[[#This Row],[Quantity]]*tblOrders[[#This Row],[Unit Price]]</f>
        <v>484.40999999999997</v>
      </c>
      <c r="Q805">
        <f>tblOrders[[#This Row],[TotalSales]]-tblOrders[[#This Row],[Calculated Sales]]</f>
        <v>0</v>
      </c>
    </row>
    <row r="806" spans="1:17" x14ac:dyDescent="0.25">
      <c r="A806">
        <v>1060</v>
      </c>
      <c r="B806">
        <v>856</v>
      </c>
      <c r="C806" t="str">
        <f>_xlfn.XLOOKUP(tblOrders[[#This Row],[CustomerID]],tblCustomers[CustomerID],tblCustomers[CustomerName],"not found")</f>
        <v>Barbara Riggs</v>
      </c>
      <c r="D806">
        <f>_xlfn.XLOOKUP(tblOrders[[#This Row],[CustomerID]],tblCustomers[CustomerID],tblCustomers[Age],"not found")</f>
        <v>36</v>
      </c>
      <c r="E806" t="str">
        <f>_xlfn.XLOOKUP(tblOrders[[#This Row],[CustomerID]],tblCustomers[CustomerID],tblCustomers[Gender],"not found")</f>
        <v>Male</v>
      </c>
      <c r="F806" t="str">
        <f>_xlfn.XLOOKUP(tblOrders[[#This Row],[CustomerID]],tblCustomers[CustomerID],tblCustomers[Region],"not found")</f>
        <v>East</v>
      </c>
      <c r="G806">
        <v>1052</v>
      </c>
      <c r="H806" t="str">
        <f>_xlfn.XLOOKUP(tblOrders[[#This Row],[ProductID]],tblProducts[ProductID],tblProducts[ProductName],"not found")</f>
        <v>Some</v>
      </c>
      <c r="I806" t="str">
        <f>_xlfn.XLOOKUP(tblOrders[[#This Row],[ProductID]],tblProducts[ProductID],tblProducts[Category],"not found")</f>
        <v>Furniture</v>
      </c>
      <c r="J806">
        <f>_xlfn.XLOOKUP(tblOrders[[#This Row],[ProductID]],tblProducts[ProductID],tblProducts[UnitPrice],"not found")</f>
        <v>161.47</v>
      </c>
      <c r="K806" t="str">
        <f>_xlfn.XLOOKUP(tblOrders[[#This Row],[ProductID]],tblProducts[ProductID],tblProducts[Supplier],"not found")</f>
        <v>Smith, Peterson and Macdonald</v>
      </c>
      <c r="L806" s="1">
        <v>45018</v>
      </c>
      <c r="M8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806">
        <v>1</v>
      </c>
      <c r="O806">
        <v>161.47</v>
      </c>
      <c r="P806">
        <f>tblOrders[[#This Row],[Quantity]]*tblOrders[[#This Row],[Unit Price]]</f>
        <v>161.47</v>
      </c>
      <c r="Q806">
        <f>tblOrders[[#This Row],[TotalSales]]-tblOrders[[#This Row],[Calculated Sales]]</f>
        <v>0</v>
      </c>
    </row>
    <row r="807" spans="1:17" x14ac:dyDescent="0.25">
      <c r="A807">
        <v>1069</v>
      </c>
      <c r="B807">
        <v>397</v>
      </c>
      <c r="C807" t="str">
        <f>_xlfn.XLOOKUP(tblOrders[[#This Row],[CustomerID]],tblCustomers[CustomerID],tblCustomers[CustomerName],"not found")</f>
        <v>Robert Evans</v>
      </c>
      <c r="D807">
        <f>_xlfn.XLOOKUP(tblOrders[[#This Row],[CustomerID]],tblCustomers[CustomerID],tblCustomers[Age],"not found")</f>
        <v>31</v>
      </c>
      <c r="E807" t="str">
        <f>_xlfn.XLOOKUP(tblOrders[[#This Row],[CustomerID]],tblCustomers[CustomerID],tblCustomers[Gender],"not found")</f>
        <v>Female</v>
      </c>
      <c r="F807" t="str">
        <f>_xlfn.XLOOKUP(tblOrders[[#This Row],[CustomerID]],tblCustomers[CustomerID],tblCustomers[Region],"not found")</f>
        <v>East</v>
      </c>
      <c r="G807">
        <v>1052</v>
      </c>
      <c r="H807" t="str">
        <f>_xlfn.XLOOKUP(tblOrders[[#This Row],[ProductID]],tblProducts[ProductID],tblProducts[ProductName],"not found")</f>
        <v>Some</v>
      </c>
      <c r="I807" t="str">
        <f>_xlfn.XLOOKUP(tblOrders[[#This Row],[ProductID]],tblProducts[ProductID],tblProducts[Category],"not found")</f>
        <v>Furniture</v>
      </c>
      <c r="J807">
        <f>_xlfn.XLOOKUP(tblOrders[[#This Row],[ProductID]],tblProducts[ProductID],tblProducts[UnitPrice],"not found")</f>
        <v>161.47</v>
      </c>
      <c r="K807" t="str">
        <f>_xlfn.XLOOKUP(tblOrders[[#This Row],[ProductID]],tblProducts[ProductID],tblProducts[Supplier],"not found")</f>
        <v>Smith, Peterson and Macdonald</v>
      </c>
      <c r="L807" s="1" t="s">
        <v>2036</v>
      </c>
      <c r="M8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44926</v>
      </c>
      <c r="N807">
        <v>4</v>
      </c>
      <c r="O807">
        <v>645.88</v>
      </c>
      <c r="P807">
        <f>tblOrders[[#This Row],[Quantity]]*tblOrders[[#This Row],[Unit Price]]</f>
        <v>645.88</v>
      </c>
      <c r="Q807">
        <f>tblOrders[[#This Row],[TotalSales]]-tblOrders[[#This Row],[Calculated Sales]]</f>
        <v>0</v>
      </c>
    </row>
    <row r="808" spans="1:17" x14ac:dyDescent="0.25">
      <c r="A808">
        <v>1369</v>
      </c>
      <c r="B808">
        <v>260</v>
      </c>
      <c r="C808" t="str">
        <f>_xlfn.XLOOKUP(tblOrders[[#This Row],[CustomerID]],tblCustomers[CustomerID],tblCustomers[CustomerName],"not found")</f>
        <v>Robert Ward</v>
      </c>
      <c r="D808">
        <f>_xlfn.XLOOKUP(tblOrders[[#This Row],[CustomerID]],tblCustomers[CustomerID],tblCustomers[Age],"not found")</f>
        <v>39</v>
      </c>
      <c r="E808" t="str">
        <f>_xlfn.XLOOKUP(tblOrders[[#This Row],[CustomerID]],tblCustomers[CustomerID],tblCustomers[Gender],"not found")</f>
        <v>Male</v>
      </c>
      <c r="F808" t="str">
        <f>_xlfn.XLOOKUP(tblOrders[[#This Row],[CustomerID]],tblCustomers[CustomerID],tblCustomers[Region],"not found")</f>
        <v>West</v>
      </c>
      <c r="G808">
        <v>1052</v>
      </c>
      <c r="H808" t="str">
        <f>_xlfn.XLOOKUP(tblOrders[[#This Row],[ProductID]],tblProducts[ProductID],tblProducts[ProductName],"not found")</f>
        <v>Some</v>
      </c>
      <c r="I808" t="str">
        <f>_xlfn.XLOOKUP(tblOrders[[#This Row],[ProductID]],tblProducts[ProductID],tblProducts[Category],"not found")</f>
        <v>Furniture</v>
      </c>
      <c r="J808">
        <f>_xlfn.XLOOKUP(tblOrders[[#This Row],[ProductID]],tblProducts[ProductID],tblProducts[UnitPrice],"not found")</f>
        <v>161.47</v>
      </c>
      <c r="K808" t="str">
        <f>_xlfn.XLOOKUP(tblOrders[[#This Row],[ProductID]],tblProducts[ProductID],tblProducts[Supplier],"not found")</f>
        <v>Smith, Peterson and Macdonald</v>
      </c>
      <c r="L808" s="1" t="s">
        <v>2199</v>
      </c>
      <c r="M8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44973</v>
      </c>
      <c r="N808">
        <v>1</v>
      </c>
      <c r="O808">
        <v>161.47</v>
      </c>
      <c r="P808">
        <f>tblOrders[[#This Row],[Quantity]]*tblOrders[[#This Row],[Unit Price]]</f>
        <v>161.47</v>
      </c>
      <c r="Q808">
        <f>tblOrders[[#This Row],[TotalSales]]-tblOrders[[#This Row],[Calculated Sales]]</f>
        <v>0</v>
      </c>
    </row>
    <row r="809" spans="1:17" x14ac:dyDescent="0.25">
      <c r="A809">
        <v>1409</v>
      </c>
      <c r="B809">
        <v>811</v>
      </c>
      <c r="C809" t="str">
        <f>_xlfn.XLOOKUP(tblOrders[[#This Row],[CustomerID]],tblCustomers[CustomerID],tblCustomers[CustomerName],"not found")</f>
        <v>Samantha Miller</v>
      </c>
      <c r="D809">
        <f>_xlfn.XLOOKUP(tblOrders[[#This Row],[CustomerID]],tblCustomers[CustomerID],tblCustomers[Age],"not found")</f>
        <v>37</v>
      </c>
      <c r="E809" t="str">
        <f>_xlfn.XLOOKUP(tblOrders[[#This Row],[CustomerID]],tblCustomers[CustomerID],tblCustomers[Gender],"not found")</f>
        <v>Female</v>
      </c>
      <c r="F809" t="str">
        <f>_xlfn.XLOOKUP(tblOrders[[#This Row],[CustomerID]],tblCustomers[CustomerID],tblCustomers[Region],"not found")</f>
        <v>Central</v>
      </c>
      <c r="G809">
        <v>1052</v>
      </c>
      <c r="H809" t="str">
        <f>_xlfn.XLOOKUP(tblOrders[[#This Row],[ProductID]],tblProducts[ProductID],tblProducts[ProductName],"not found")</f>
        <v>Some</v>
      </c>
      <c r="I809" t="str">
        <f>_xlfn.XLOOKUP(tblOrders[[#This Row],[ProductID]],tblProducts[ProductID],tblProducts[Category],"not found")</f>
        <v>Furniture</v>
      </c>
      <c r="J809">
        <f>_xlfn.XLOOKUP(tblOrders[[#This Row],[ProductID]],tblProducts[ProductID],tblProducts[UnitPrice],"not found")</f>
        <v>161.47</v>
      </c>
      <c r="K809" t="str">
        <f>_xlfn.XLOOKUP(tblOrders[[#This Row],[ProductID]],tblProducts[ProductID],tblProducts[Supplier],"not found")</f>
        <v>Smith, Peterson and Macdonald</v>
      </c>
      <c r="L809" s="1" t="s">
        <v>2303</v>
      </c>
      <c r="M8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45583</v>
      </c>
      <c r="N809">
        <v>1</v>
      </c>
      <c r="O809">
        <v>161.47</v>
      </c>
      <c r="P809">
        <f>tblOrders[[#This Row],[Quantity]]*tblOrders[[#This Row],[Unit Price]]</f>
        <v>161.47</v>
      </c>
      <c r="Q809">
        <f>tblOrders[[#This Row],[TotalSales]]-tblOrders[[#This Row],[Calculated Sales]]</f>
        <v>0</v>
      </c>
    </row>
    <row r="810" spans="1:17" x14ac:dyDescent="0.25">
      <c r="A810">
        <v>1456</v>
      </c>
      <c r="B810">
        <v>728</v>
      </c>
      <c r="C810" t="str">
        <f>_xlfn.XLOOKUP(tblOrders[[#This Row],[CustomerID]],tblCustomers[CustomerID],tblCustomers[CustomerName],"not found")</f>
        <v>Jared Wise</v>
      </c>
      <c r="D810">
        <f>_xlfn.XLOOKUP(tblOrders[[#This Row],[CustomerID]],tblCustomers[CustomerID],tblCustomers[Age],"not found")</f>
        <v>25</v>
      </c>
      <c r="E810" t="str">
        <f>_xlfn.XLOOKUP(tblOrders[[#This Row],[CustomerID]],tblCustomers[CustomerID],tblCustomers[Gender],"not found")</f>
        <v>Female</v>
      </c>
      <c r="F810" t="str">
        <f>_xlfn.XLOOKUP(tblOrders[[#This Row],[CustomerID]],tblCustomers[CustomerID],tblCustomers[Region],"not found")</f>
        <v>West</v>
      </c>
      <c r="G810">
        <v>1052</v>
      </c>
      <c r="H810" t="str">
        <f>_xlfn.XLOOKUP(tblOrders[[#This Row],[ProductID]],tblProducts[ProductID],tblProducts[ProductName],"not found")</f>
        <v>Some</v>
      </c>
      <c r="I810" t="str">
        <f>_xlfn.XLOOKUP(tblOrders[[#This Row],[ProductID]],tblProducts[ProductID],tblProducts[Category],"not found")</f>
        <v>Furniture</v>
      </c>
      <c r="J810">
        <f>_xlfn.XLOOKUP(tblOrders[[#This Row],[ProductID]],tblProducts[ProductID],tblProducts[UnitPrice],"not found")</f>
        <v>161.47</v>
      </c>
      <c r="K810" t="str">
        <f>_xlfn.XLOOKUP(tblOrders[[#This Row],[ProductID]],tblProducts[ProductID],tblProducts[Supplier],"not found")</f>
        <v>Smith, Peterson and Macdonald</v>
      </c>
      <c r="L810" s="1" t="s">
        <v>2304</v>
      </c>
      <c r="M8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45223</v>
      </c>
      <c r="N810">
        <v>3</v>
      </c>
      <c r="O810">
        <v>484.41</v>
      </c>
      <c r="P810">
        <f>tblOrders[[#This Row],[Quantity]]*tblOrders[[#This Row],[Unit Price]]</f>
        <v>484.40999999999997</v>
      </c>
      <c r="Q810">
        <f>tblOrders[[#This Row],[TotalSales]]-tblOrders[[#This Row],[Calculated Sales]]</f>
        <v>0</v>
      </c>
    </row>
    <row r="811" spans="1:17" x14ac:dyDescent="0.25">
      <c r="A811">
        <v>1596</v>
      </c>
      <c r="B811">
        <v>647</v>
      </c>
      <c r="C811" t="str">
        <f>_xlfn.XLOOKUP(tblOrders[[#This Row],[CustomerID]],tblCustomers[CustomerID],tblCustomers[CustomerName],"not found")</f>
        <v>Sherry Dickerson</v>
      </c>
      <c r="D811">
        <f>_xlfn.XLOOKUP(tblOrders[[#This Row],[CustomerID]],tblCustomers[CustomerID],tblCustomers[Age],"not found")</f>
        <v>58</v>
      </c>
      <c r="E811" t="str">
        <f>_xlfn.XLOOKUP(tblOrders[[#This Row],[CustomerID]],tblCustomers[CustomerID],tblCustomers[Gender],"not found")</f>
        <v>Female</v>
      </c>
      <c r="F811" t="str">
        <f>_xlfn.XLOOKUP(tblOrders[[#This Row],[CustomerID]],tblCustomers[CustomerID],tblCustomers[Region],"not found")</f>
        <v>West</v>
      </c>
      <c r="G811">
        <v>1052</v>
      </c>
      <c r="H811" t="str">
        <f>_xlfn.XLOOKUP(tblOrders[[#This Row],[ProductID]],tblProducts[ProductID],tblProducts[ProductName],"not found")</f>
        <v>Some</v>
      </c>
      <c r="I811" t="str">
        <f>_xlfn.XLOOKUP(tblOrders[[#This Row],[ProductID]],tblProducts[ProductID],tblProducts[Category],"not found")</f>
        <v>Furniture</v>
      </c>
      <c r="J811">
        <f>_xlfn.XLOOKUP(tblOrders[[#This Row],[ProductID]],tblProducts[ProductID],tblProducts[UnitPrice],"not found")</f>
        <v>161.47</v>
      </c>
      <c r="K811" t="str">
        <f>_xlfn.XLOOKUP(tblOrders[[#This Row],[ProductID]],tblProducts[ProductID],tblProducts[Supplier],"not found")</f>
        <v>Smith, Peterson and Macdonald</v>
      </c>
      <c r="L811" s="1">
        <v>45388</v>
      </c>
      <c r="M8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45388</v>
      </c>
      <c r="N811">
        <v>6</v>
      </c>
      <c r="O811">
        <v>968.82</v>
      </c>
      <c r="P811">
        <f>tblOrders[[#This Row],[Quantity]]*tblOrders[[#This Row],[Unit Price]]</f>
        <v>968.81999999999994</v>
      </c>
      <c r="Q811">
        <f>tblOrders[[#This Row],[TotalSales]]-tblOrders[[#This Row],[Calculated Sales]]</f>
        <v>0</v>
      </c>
    </row>
    <row r="812" spans="1:17" x14ac:dyDescent="0.25">
      <c r="A812">
        <v>1604</v>
      </c>
      <c r="B812">
        <v>756</v>
      </c>
      <c r="C812" t="str">
        <f>_xlfn.XLOOKUP(tblOrders[[#This Row],[CustomerID]],tblCustomers[CustomerID],tblCustomers[CustomerName],"not found")</f>
        <v>Monica Adams</v>
      </c>
      <c r="D812">
        <f>_xlfn.XLOOKUP(tblOrders[[#This Row],[CustomerID]],tblCustomers[CustomerID],tblCustomers[Age],"not found")</f>
        <v>50</v>
      </c>
      <c r="E812" t="str">
        <f>_xlfn.XLOOKUP(tblOrders[[#This Row],[CustomerID]],tblCustomers[CustomerID],tblCustomers[Gender],"not found")</f>
        <v>Female</v>
      </c>
      <c r="F812" t="str">
        <f>_xlfn.XLOOKUP(tblOrders[[#This Row],[CustomerID]],tblCustomers[CustomerID],tblCustomers[Region],"not found")</f>
        <v>West</v>
      </c>
      <c r="G812">
        <v>1052</v>
      </c>
      <c r="H812" t="str">
        <f>_xlfn.XLOOKUP(tblOrders[[#This Row],[ProductID]],tblProducts[ProductID],tblProducts[ProductName],"not found")</f>
        <v>Some</v>
      </c>
      <c r="I812" t="str">
        <f>_xlfn.XLOOKUP(tblOrders[[#This Row],[ProductID]],tblProducts[ProductID],tblProducts[Category],"not found")</f>
        <v>Furniture</v>
      </c>
      <c r="J812">
        <f>_xlfn.XLOOKUP(tblOrders[[#This Row],[ProductID]],tblProducts[ProductID],tblProducts[UnitPrice],"not found")</f>
        <v>161.47</v>
      </c>
      <c r="K812" t="str">
        <f>_xlfn.XLOOKUP(tblOrders[[#This Row],[ProductID]],tblProducts[ProductID],tblProducts[Supplier],"not found")</f>
        <v>Smith, Peterson and Macdonald</v>
      </c>
      <c r="L812" s="1" t="s">
        <v>2300</v>
      </c>
      <c r="M8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44950</v>
      </c>
      <c r="N812">
        <v>6</v>
      </c>
      <c r="O812">
        <v>968.82</v>
      </c>
      <c r="P812">
        <f>tblOrders[[#This Row],[Quantity]]*tblOrders[[#This Row],[Unit Price]]</f>
        <v>968.81999999999994</v>
      </c>
      <c r="Q812">
        <f>tblOrders[[#This Row],[TotalSales]]-tblOrders[[#This Row],[Calculated Sales]]</f>
        <v>0</v>
      </c>
    </row>
    <row r="813" spans="1:17" x14ac:dyDescent="0.25">
      <c r="A813">
        <v>1671</v>
      </c>
      <c r="B813">
        <v>510</v>
      </c>
      <c r="C813" t="str">
        <f>_xlfn.XLOOKUP(tblOrders[[#This Row],[CustomerID]],tblCustomers[CustomerID],tblCustomers[CustomerName],"not found")</f>
        <v>Ashley Jordan</v>
      </c>
      <c r="D813">
        <f>_xlfn.XLOOKUP(tblOrders[[#This Row],[CustomerID]],tblCustomers[CustomerID],tblCustomers[Age],"not found")</f>
        <v>24</v>
      </c>
      <c r="E813" t="str">
        <f>_xlfn.XLOOKUP(tblOrders[[#This Row],[CustomerID]],tblCustomers[CustomerID],tblCustomers[Gender],"not found")</f>
        <v>Female</v>
      </c>
      <c r="F813" t="str">
        <f>_xlfn.XLOOKUP(tblOrders[[#This Row],[CustomerID]],tblCustomers[CustomerID],tblCustomers[Region],"not found")</f>
        <v>Central</v>
      </c>
      <c r="G813">
        <v>1052</v>
      </c>
      <c r="H813" t="str">
        <f>_xlfn.XLOOKUP(tblOrders[[#This Row],[ProductID]],tblProducts[ProductID],tblProducts[ProductName],"not found")</f>
        <v>Some</v>
      </c>
      <c r="I813" t="str">
        <f>_xlfn.XLOOKUP(tblOrders[[#This Row],[ProductID]],tblProducts[ProductID],tblProducts[Category],"not found")</f>
        <v>Furniture</v>
      </c>
      <c r="J813">
        <f>_xlfn.XLOOKUP(tblOrders[[#This Row],[ProductID]],tblProducts[ProductID],tblProducts[UnitPrice],"not found")</f>
        <v>161.47</v>
      </c>
      <c r="K813" t="str">
        <f>_xlfn.XLOOKUP(tblOrders[[#This Row],[ProductID]],tblProducts[ProductID],tblProducts[Supplier],"not found")</f>
        <v>Smith, Peterson and Macdonald</v>
      </c>
      <c r="L813" s="1">
        <v>45352</v>
      </c>
      <c r="M8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45352</v>
      </c>
      <c r="N813">
        <v>4</v>
      </c>
      <c r="O813">
        <v>645.88</v>
      </c>
      <c r="P813">
        <f>tblOrders[[#This Row],[Quantity]]*tblOrders[[#This Row],[Unit Price]]</f>
        <v>645.88</v>
      </c>
      <c r="Q813">
        <f>tblOrders[[#This Row],[TotalSales]]-tblOrders[[#This Row],[Calculated Sales]]</f>
        <v>0</v>
      </c>
    </row>
    <row r="814" spans="1:17" x14ac:dyDescent="0.25">
      <c r="A814">
        <v>1747</v>
      </c>
      <c r="B814">
        <v>167</v>
      </c>
      <c r="C814" t="str">
        <f>_xlfn.XLOOKUP(tblOrders[[#This Row],[CustomerID]],tblCustomers[CustomerID],tblCustomers[CustomerName],"not found")</f>
        <v>Anna Evans</v>
      </c>
      <c r="D814">
        <f>_xlfn.XLOOKUP(tblOrders[[#This Row],[CustomerID]],tblCustomers[CustomerID],tblCustomers[Age],"not found")</f>
        <v>23</v>
      </c>
      <c r="E814" t="str">
        <f>_xlfn.XLOOKUP(tblOrders[[#This Row],[CustomerID]],tblCustomers[CustomerID],tblCustomers[Gender],"not found")</f>
        <v>Male</v>
      </c>
      <c r="F814" t="str">
        <f>_xlfn.XLOOKUP(tblOrders[[#This Row],[CustomerID]],tblCustomers[CustomerID],tblCustomers[Region],"not found")</f>
        <v>Central</v>
      </c>
      <c r="G814">
        <v>1052</v>
      </c>
      <c r="H814" t="str">
        <f>_xlfn.XLOOKUP(tblOrders[[#This Row],[ProductID]],tblProducts[ProductID],tblProducts[ProductName],"not found")</f>
        <v>Some</v>
      </c>
      <c r="I814" t="str">
        <f>_xlfn.XLOOKUP(tblOrders[[#This Row],[ProductID]],tblProducts[ProductID],tblProducts[Category],"not found")</f>
        <v>Furniture</v>
      </c>
      <c r="J814">
        <f>_xlfn.XLOOKUP(tblOrders[[#This Row],[ProductID]],tblProducts[ProductID],tblProducts[UnitPrice],"not found")</f>
        <v>161.47</v>
      </c>
      <c r="K814" t="str">
        <f>_xlfn.XLOOKUP(tblOrders[[#This Row],[ProductID]],tblProducts[ProductID],tblProducts[Supplier],"not found")</f>
        <v>Smith, Peterson and Macdonald</v>
      </c>
      <c r="L814" s="1">
        <v>45026</v>
      </c>
      <c r="M8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45026</v>
      </c>
      <c r="N814">
        <v>5</v>
      </c>
      <c r="O814">
        <v>807.35</v>
      </c>
      <c r="P814">
        <f>tblOrders[[#This Row],[Quantity]]*tblOrders[[#This Row],[Unit Price]]</f>
        <v>807.35</v>
      </c>
      <c r="Q814">
        <f>tblOrders[[#This Row],[TotalSales]]-tblOrders[[#This Row],[Calculated Sales]]</f>
        <v>0</v>
      </c>
    </row>
    <row r="815" spans="1:17" x14ac:dyDescent="0.25">
      <c r="A815">
        <v>1888</v>
      </c>
      <c r="B815">
        <v>203</v>
      </c>
      <c r="C815" t="str">
        <f>_xlfn.XLOOKUP(tblOrders[[#This Row],[CustomerID]],tblCustomers[CustomerID],tblCustomers[CustomerName],"not found")</f>
        <v>Jordan Harper</v>
      </c>
      <c r="D815">
        <f>_xlfn.XLOOKUP(tblOrders[[#This Row],[CustomerID]],tblCustomers[CustomerID],tblCustomers[Age],"not found")</f>
        <v>65</v>
      </c>
      <c r="E815" t="str">
        <f>_xlfn.XLOOKUP(tblOrders[[#This Row],[CustomerID]],tblCustomers[CustomerID],tblCustomers[Gender],"not found")</f>
        <v>Female</v>
      </c>
      <c r="F815" t="str">
        <f>_xlfn.XLOOKUP(tblOrders[[#This Row],[CustomerID]],tblCustomers[CustomerID],tblCustomers[Region],"not found")</f>
        <v>North</v>
      </c>
      <c r="G815">
        <v>1052</v>
      </c>
      <c r="H815" t="str">
        <f>_xlfn.XLOOKUP(tblOrders[[#This Row],[ProductID]],tblProducts[ProductID],tblProducts[ProductName],"not found")</f>
        <v>Some</v>
      </c>
      <c r="I815" t="str">
        <f>_xlfn.XLOOKUP(tblOrders[[#This Row],[ProductID]],tblProducts[ProductID],tblProducts[Category],"not found")</f>
        <v>Furniture</v>
      </c>
      <c r="J815">
        <f>_xlfn.XLOOKUP(tblOrders[[#This Row],[ProductID]],tblProducts[ProductID],tblProducts[UnitPrice],"not found")</f>
        <v>161.47</v>
      </c>
      <c r="K815" t="str">
        <f>_xlfn.XLOOKUP(tblOrders[[#This Row],[ProductID]],tblProducts[ProductID],tblProducts[Supplier],"not found")</f>
        <v>Smith, Peterson and Macdonald</v>
      </c>
      <c r="L815" s="1" t="s">
        <v>2023</v>
      </c>
      <c r="M8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45312</v>
      </c>
      <c r="N815">
        <v>3</v>
      </c>
      <c r="O815">
        <v>484.41</v>
      </c>
      <c r="P815">
        <f>tblOrders[[#This Row],[Quantity]]*tblOrders[[#This Row],[Unit Price]]</f>
        <v>484.40999999999997</v>
      </c>
      <c r="Q815">
        <f>tblOrders[[#This Row],[TotalSales]]-tblOrders[[#This Row],[Calculated Sales]]</f>
        <v>0</v>
      </c>
    </row>
    <row r="816" spans="1:17" x14ac:dyDescent="0.25">
      <c r="A816">
        <v>44</v>
      </c>
      <c r="B816">
        <v>577</v>
      </c>
      <c r="C816" t="str">
        <f>_xlfn.XLOOKUP(tblOrders[[#This Row],[CustomerID]],tblCustomers[CustomerID],tblCustomers[CustomerName],"not found")</f>
        <v>Brian Marshall</v>
      </c>
      <c r="D816">
        <f>_xlfn.XLOOKUP(tblOrders[[#This Row],[CustomerID]],tblCustomers[CustomerID],tblCustomers[Age],"not found")</f>
        <v>69</v>
      </c>
      <c r="E816" t="str">
        <f>_xlfn.XLOOKUP(tblOrders[[#This Row],[CustomerID]],tblCustomers[CustomerID],tblCustomers[Gender],"not found")</f>
        <v>Female</v>
      </c>
      <c r="F816" t="str">
        <f>_xlfn.XLOOKUP(tblOrders[[#This Row],[CustomerID]],tblCustomers[CustomerID],tblCustomers[Region],"not found")</f>
        <v>West</v>
      </c>
      <c r="G816">
        <v>1007</v>
      </c>
      <c r="H816" t="str">
        <f>_xlfn.XLOOKUP(tblOrders[[#This Row],[ProductID]],tblProducts[ProductID],tblProducts[ProductName],"not found")</f>
        <v>Where</v>
      </c>
      <c r="I816" t="str">
        <f>_xlfn.XLOOKUP(tblOrders[[#This Row],[ProductID]],tblProducts[ProductID],tblProducts[Category],"not found")</f>
        <v>Beauty</v>
      </c>
      <c r="J816">
        <f>_xlfn.XLOOKUP(tblOrders[[#This Row],[ProductID]],tblProducts[ProductID],tblProducts[UnitPrice],"not found")</f>
        <v>242.95</v>
      </c>
      <c r="K816" t="str">
        <f>_xlfn.XLOOKUP(tblOrders[[#This Row],[ProductID]],tblProducts[ProductID],tblProducts[Supplier],"not found")</f>
        <v>David Inc</v>
      </c>
      <c r="L816" s="1">
        <v>45633</v>
      </c>
      <c r="M8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45633</v>
      </c>
      <c r="N816">
        <v>7</v>
      </c>
      <c r="O816">
        <v>1700.65</v>
      </c>
      <c r="P816">
        <f>tblOrders[[#This Row],[Quantity]]*tblOrders[[#This Row],[Unit Price]]</f>
        <v>1700.6499999999999</v>
      </c>
      <c r="Q816">
        <f>tblOrders[[#This Row],[TotalSales]]-tblOrders[[#This Row],[Calculated Sales]]</f>
        <v>0</v>
      </c>
    </row>
    <row r="817" spans="1:17" x14ac:dyDescent="0.25">
      <c r="A817">
        <v>173</v>
      </c>
      <c r="B817">
        <v>25</v>
      </c>
      <c r="C817" t="str">
        <f>_xlfn.XLOOKUP(tblOrders[[#This Row],[CustomerID]],tblCustomers[CustomerID],tblCustomers[CustomerName],"not found")</f>
        <v>Ashley Collins</v>
      </c>
      <c r="D817">
        <f>_xlfn.XLOOKUP(tblOrders[[#This Row],[CustomerID]],tblCustomers[CustomerID],tblCustomers[Age],"not found")</f>
        <v>41</v>
      </c>
      <c r="E817" t="str">
        <f>_xlfn.XLOOKUP(tblOrders[[#This Row],[CustomerID]],tblCustomers[CustomerID],tblCustomers[Gender],"not found")</f>
        <v>Female</v>
      </c>
      <c r="F817" t="str">
        <f>_xlfn.XLOOKUP(tblOrders[[#This Row],[CustomerID]],tblCustomers[CustomerID],tblCustomers[Region],"not found")</f>
        <v>Central</v>
      </c>
      <c r="G817">
        <v>1007</v>
      </c>
      <c r="H817" t="str">
        <f>_xlfn.XLOOKUP(tblOrders[[#This Row],[ProductID]],tblProducts[ProductID],tblProducts[ProductName],"not found")</f>
        <v>Where</v>
      </c>
      <c r="I817" t="str">
        <f>_xlfn.XLOOKUP(tblOrders[[#This Row],[ProductID]],tblProducts[ProductID],tblProducts[Category],"not found")</f>
        <v>Beauty</v>
      </c>
      <c r="J817">
        <f>_xlfn.XLOOKUP(tblOrders[[#This Row],[ProductID]],tblProducts[ProductID],tblProducts[UnitPrice],"not found")</f>
        <v>242.95</v>
      </c>
      <c r="K817" t="str">
        <f>_xlfn.XLOOKUP(tblOrders[[#This Row],[ProductID]],tblProducts[ProductID],tblProducts[Supplier],"not found")</f>
        <v>David Inc</v>
      </c>
      <c r="L817" s="1">
        <v>44990</v>
      </c>
      <c r="M8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44990</v>
      </c>
      <c r="N817">
        <v>5</v>
      </c>
      <c r="O817">
        <v>1214.75</v>
      </c>
      <c r="P817">
        <f>tblOrders[[#This Row],[Quantity]]*tblOrders[[#This Row],[Unit Price]]</f>
        <v>1214.75</v>
      </c>
      <c r="Q817">
        <f>tblOrders[[#This Row],[TotalSales]]-tblOrders[[#This Row],[Calculated Sales]]</f>
        <v>0</v>
      </c>
    </row>
    <row r="818" spans="1:17" x14ac:dyDescent="0.25">
      <c r="A818">
        <v>337</v>
      </c>
      <c r="B818">
        <v>388</v>
      </c>
      <c r="C818" t="str">
        <f>_xlfn.XLOOKUP(tblOrders[[#This Row],[CustomerID]],tblCustomers[CustomerID],tblCustomers[CustomerName],"not found")</f>
        <v>Todd Garcia</v>
      </c>
      <c r="D818">
        <f>_xlfn.XLOOKUP(tblOrders[[#This Row],[CustomerID]],tblCustomers[CustomerID],tblCustomers[Age],"not found")</f>
        <v>29</v>
      </c>
      <c r="E818" t="str">
        <f>_xlfn.XLOOKUP(tblOrders[[#This Row],[CustomerID]],tblCustomers[CustomerID],tblCustomers[Gender],"not found")</f>
        <v>Male</v>
      </c>
      <c r="F818" t="str">
        <f>_xlfn.XLOOKUP(tblOrders[[#This Row],[CustomerID]],tblCustomers[CustomerID],tblCustomers[Region],"not found")</f>
        <v>South</v>
      </c>
      <c r="G818">
        <v>1007</v>
      </c>
      <c r="H818" t="str">
        <f>_xlfn.XLOOKUP(tblOrders[[#This Row],[ProductID]],tblProducts[ProductID],tblProducts[ProductName],"not found")</f>
        <v>Where</v>
      </c>
      <c r="I818" t="str">
        <f>_xlfn.XLOOKUP(tblOrders[[#This Row],[ProductID]],tblProducts[ProductID],tblProducts[Category],"not found")</f>
        <v>Beauty</v>
      </c>
      <c r="J818">
        <f>_xlfn.XLOOKUP(tblOrders[[#This Row],[ProductID]],tblProducts[ProductID],tblProducts[UnitPrice],"not found")</f>
        <v>242.95</v>
      </c>
      <c r="K818" t="str">
        <f>_xlfn.XLOOKUP(tblOrders[[#This Row],[ProductID]],tblProducts[ProductID],tblProducts[Supplier],"not found")</f>
        <v>David Inc</v>
      </c>
      <c r="L818" s="1">
        <v>45050</v>
      </c>
      <c r="M8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45050</v>
      </c>
      <c r="N818">
        <v>9</v>
      </c>
      <c r="O818">
        <v>2186.5500000000002</v>
      </c>
      <c r="P818">
        <f>tblOrders[[#This Row],[Quantity]]*tblOrders[[#This Row],[Unit Price]]</f>
        <v>2186.5499999999997</v>
      </c>
      <c r="Q818">
        <f>tblOrders[[#This Row],[TotalSales]]-tblOrders[[#This Row],[Calculated Sales]]</f>
        <v>0</v>
      </c>
    </row>
    <row r="819" spans="1:17" x14ac:dyDescent="0.25">
      <c r="A819">
        <v>376</v>
      </c>
      <c r="B819">
        <v>436</v>
      </c>
      <c r="C819" t="str">
        <f>_xlfn.XLOOKUP(tblOrders[[#This Row],[CustomerID]],tblCustomers[CustomerID],tblCustomers[CustomerName],"not found")</f>
        <v>Lauren Castillo</v>
      </c>
      <c r="D819">
        <f>_xlfn.XLOOKUP(tblOrders[[#This Row],[CustomerID]],tblCustomers[CustomerID],tblCustomers[Age],"not found")</f>
        <v>59</v>
      </c>
      <c r="E819" t="str">
        <f>_xlfn.XLOOKUP(tblOrders[[#This Row],[CustomerID]],tblCustomers[CustomerID],tblCustomers[Gender],"not found")</f>
        <v>Female</v>
      </c>
      <c r="F819" t="str">
        <f>_xlfn.XLOOKUP(tblOrders[[#This Row],[CustomerID]],tblCustomers[CustomerID],tblCustomers[Region],"not found")</f>
        <v>East</v>
      </c>
      <c r="G819">
        <v>1007</v>
      </c>
      <c r="H819" t="str">
        <f>_xlfn.XLOOKUP(tblOrders[[#This Row],[ProductID]],tblProducts[ProductID],tblProducts[ProductName],"not found")</f>
        <v>Where</v>
      </c>
      <c r="I819" t="str">
        <f>_xlfn.XLOOKUP(tblOrders[[#This Row],[ProductID]],tblProducts[ProductID],tblProducts[Category],"not found")</f>
        <v>Beauty</v>
      </c>
      <c r="J819">
        <f>_xlfn.XLOOKUP(tblOrders[[#This Row],[ProductID]],tblProducts[ProductID],tblProducts[UnitPrice],"not found")</f>
        <v>242.95</v>
      </c>
      <c r="K819" t="str">
        <f>_xlfn.XLOOKUP(tblOrders[[#This Row],[ProductID]],tblProducts[ProductID],tblProducts[Supplier],"not found")</f>
        <v>David Inc</v>
      </c>
      <c r="L819" s="1" t="s">
        <v>2274</v>
      </c>
      <c r="M8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44915</v>
      </c>
      <c r="N819">
        <v>3</v>
      </c>
      <c r="O819">
        <v>728.85</v>
      </c>
      <c r="P819">
        <f>tblOrders[[#This Row],[Quantity]]*tblOrders[[#This Row],[Unit Price]]</f>
        <v>728.84999999999991</v>
      </c>
      <c r="Q819">
        <f>tblOrders[[#This Row],[TotalSales]]-tblOrders[[#This Row],[Calculated Sales]]</f>
        <v>0</v>
      </c>
    </row>
    <row r="820" spans="1:17" x14ac:dyDescent="0.25">
      <c r="A820">
        <v>534</v>
      </c>
      <c r="B820">
        <v>992</v>
      </c>
      <c r="C820" t="str">
        <f>_xlfn.XLOOKUP(tblOrders[[#This Row],[CustomerID]],tblCustomers[CustomerID],tblCustomers[CustomerName],"not found")</f>
        <v>Larry Carter</v>
      </c>
      <c r="D820">
        <f>_xlfn.XLOOKUP(tblOrders[[#This Row],[CustomerID]],tblCustomers[CustomerID],tblCustomers[Age],"not found")</f>
        <v>22</v>
      </c>
      <c r="E820" t="str">
        <f>_xlfn.XLOOKUP(tblOrders[[#This Row],[CustomerID]],tblCustomers[CustomerID],tblCustomers[Gender],"not found")</f>
        <v>Male</v>
      </c>
      <c r="F820" t="str">
        <f>_xlfn.XLOOKUP(tblOrders[[#This Row],[CustomerID]],tblCustomers[CustomerID],tblCustomers[Region],"not found")</f>
        <v>East</v>
      </c>
      <c r="G820">
        <v>1007</v>
      </c>
      <c r="H820" t="str">
        <f>_xlfn.XLOOKUP(tblOrders[[#This Row],[ProductID]],tblProducts[ProductID],tblProducts[ProductName],"not found")</f>
        <v>Where</v>
      </c>
      <c r="I820" t="str">
        <f>_xlfn.XLOOKUP(tblOrders[[#This Row],[ProductID]],tblProducts[ProductID],tblProducts[Category],"not found")</f>
        <v>Beauty</v>
      </c>
      <c r="J820">
        <f>_xlfn.XLOOKUP(tblOrders[[#This Row],[ProductID]],tblProducts[ProductID],tblProducts[UnitPrice],"not found")</f>
        <v>242.95</v>
      </c>
      <c r="K820" t="str">
        <f>_xlfn.XLOOKUP(tblOrders[[#This Row],[ProductID]],tblProducts[ProductID],tblProducts[Supplier],"not found")</f>
        <v>David Inc</v>
      </c>
      <c r="L820" s="1">
        <v>45633</v>
      </c>
      <c r="M8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45633</v>
      </c>
      <c r="N820">
        <v>8</v>
      </c>
      <c r="O820">
        <v>1943.6</v>
      </c>
      <c r="P820">
        <f>tblOrders[[#This Row],[Quantity]]*tblOrders[[#This Row],[Unit Price]]</f>
        <v>1943.6</v>
      </c>
      <c r="Q820">
        <f>tblOrders[[#This Row],[TotalSales]]-tblOrders[[#This Row],[Calculated Sales]]</f>
        <v>0</v>
      </c>
    </row>
    <row r="821" spans="1:17" x14ac:dyDescent="0.25">
      <c r="A821">
        <v>548</v>
      </c>
      <c r="B821">
        <v>571</v>
      </c>
      <c r="C821" t="str">
        <f>_xlfn.XLOOKUP(tblOrders[[#This Row],[CustomerID]],tblCustomers[CustomerID],tblCustomers[CustomerName],"not found")</f>
        <v>Cynthia May</v>
      </c>
      <c r="D821">
        <f>_xlfn.XLOOKUP(tblOrders[[#This Row],[CustomerID]],tblCustomers[CustomerID],tblCustomers[Age],"not found")</f>
        <v>64</v>
      </c>
      <c r="E821" t="str">
        <f>_xlfn.XLOOKUP(tblOrders[[#This Row],[CustomerID]],tblCustomers[CustomerID],tblCustomers[Gender],"not found")</f>
        <v>Male</v>
      </c>
      <c r="F821" t="str">
        <f>_xlfn.XLOOKUP(tblOrders[[#This Row],[CustomerID]],tblCustomers[CustomerID],tblCustomers[Region],"not found")</f>
        <v>South</v>
      </c>
      <c r="G821">
        <v>1007</v>
      </c>
      <c r="H821" t="str">
        <f>_xlfn.XLOOKUP(tblOrders[[#This Row],[ProductID]],tblProducts[ProductID],tblProducts[ProductName],"not found")</f>
        <v>Where</v>
      </c>
      <c r="I821" t="str">
        <f>_xlfn.XLOOKUP(tblOrders[[#This Row],[ProductID]],tblProducts[ProductID],tblProducts[Category],"not found")</f>
        <v>Beauty</v>
      </c>
      <c r="J821">
        <f>_xlfn.XLOOKUP(tblOrders[[#This Row],[ProductID]],tblProducts[ProductID],tblProducts[UnitPrice],"not found")</f>
        <v>242.95</v>
      </c>
      <c r="K821" t="str">
        <f>_xlfn.XLOOKUP(tblOrders[[#This Row],[ProductID]],tblProducts[ProductID],tblProducts[Supplier],"not found")</f>
        <v>David Inc</v>
      </c>
      <c r="L821" s="1">
        <v>45143</v>
      </c>
      <c r="M8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45143</v>
      </c>
      <c r="N821">
        <v>6</v>
      </c>
      <c r="O821">
        <v>1457.7</v>
      </c>
      <c r="P821">
        <f>tblOrders[[#This Row],[Quantity]]*tblOrders[[#This Row],[Unit Price]]</f>
        <v>1457.6999999999998</v>
      </c>
      <c r="Q821">
        <f>tblOrders[[#This Row],[TotalSales]]-tblOrders[[#This Row],[Calculated Sales]]</f>
        <v>0</v>
      </c>
    </row>
    <row r="822" spans="1:17" x14ac:dyDescent="0.25">
      <c r="A822">
        <v>578</v>
      </c>
      <c r="B822">
        <v>905</v>
      </c>
      <c r="C822" t="str">
        <f>_xlfn.XLOOKUP(tblOrders[[#This Row],[CustomerID]],tblCustomers[CustomerID],tblCustomers[CustomerName],"not found")</f>
        <v>Antonio Brown</v>
      </c>
      <c r="D822">
        <f>_xlfn.XLOOKUP(tblOrders[[#This Row],[CustomerID]],tblCustomers[CustomerID],tblCustomers[Age],"not found")</f>
        <v>18</v>
      </c>
      <c r="E822" t="str">
        <f>_xlfn.XLOOKUP(tblOrders[[#This Row],[CustomerID]],tblCustomers[CustomerID],tblCustomers[Gender],"not found")</f>
        <v>Male</v>
      </c>
      <c r="F822" t="str">
        <f>_xlfn.XLOOKUP(tblOrders[[#This Row],[CustomerID]],tblCustomers[CustomerID],tblCustomers[Region],"not found")</f>
        <v>North</v>
      </c>
      <c r="G822">
        <v>1007</v>
      </c>
      <c r="H822" t="str">
        <f>_xlfn.XLOOKUP(tblOrders[[#This Row],[ProductID]],tblProducts[ProductID],tblProducts[ProductName],"not found")</f>
        <v>Where</v>
      </c>
      <c r="I822" t="str">
        <f>_xlfn.XLOOKUP(tblOrders[[#This Row],[ProductID]],tblProducts[ProductID],tblProducts[Category],"not found")</f>
        <v>Beauty</v>
      </c>
      <c r="J822">
        <f>_xlfn.XLOOKUP(tblOrders[[#This Row],[ProductID]],tblProducts[ProductID],tblProducts[UnitPrice],"not found")</f>
        <v>242.95</v>
      </c>
      <c r="K822" t="str">
        <f>_xlfn.XLOOKUP(tblOrders[[#This Row],[ProductID]],tblProducts[ProductID],tblProducts[Supplier],"not found")</f>
        <v>David Inc</v>
      </c>
      <c r="L822" s="1">
        <v>44906</v>
      </c>
      <c r="M8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44906</v>
      </c>
      <c r="N822">
        <v>7</v>
      </c>
      <c r="O822">
        <v>1700.65</v>
      </c>
      <c r="P822">
        <f>tblOrders[[#This Row],[Quantity]]*tblOrders[[#This Row],[Unit Price]]</f>
        <v>1700.6499999999999</v>
      </c>
      <c r="Q822">
        <f>tblOrders[[#This Row],[TotalSales]]-tblOrders[[#This Row],[Calculated Sales]]</f>
        <v>0</v>
      </c>
    </row>
    <row r="823" spans="1:17" x14ac:dyDescent="0.25">
      <c r="A823">
        <v>838</v>
      </c>
      <c r="B823">
        <v>582</v>
      </c>
      <c r="C823" t="str">
        <f>_xlfn.XLOOKUP(tblOrders[[#This Row],[CustomerID]],tblCustomers[CustomerID],tblCustomers[CustomerName],"not found")</f>
        <v>Holly Brandt</v>
      </c>
      <c r="D823">
        <f>_xlfn.XLOOKUP(tblOrders[[#This Row],[CustomerID]],tblCustomers[CustomerID],tblCustomers[Age],"not found")</f>
        <v>51</v>
      </c>
      <c r="E823" t="str">
        <f>_xlfn.XLOOKUP(tblOrders[[#This Row],[CustomerID]],tblCustomers[CustomerID],tblCustomers[Gender],"not found")</f>
        <v>Male</v>
      </c>
      <c r="F823" t="str">
        <f>_xlfn.XLOOKUP(tblOrders[[#This Row],[CustomerID]],tblCustomers[CustomerID],tblCustomers[Region],"not found")</f>
        <v>East</v>
      </c>
      <c r="G823">
        <v>1007</v>
      </c>
      <c r="H823" t="str">
        <f>_xlfn.XLOOKUP(tblOrders[[#This Row],[ProductID]],tblProducts[ProductID],tblProducts[ProductName],"not found")</f>
        <v>Where</v>
      </c>
      <c r="I823" t="str">
        <f>_xlfn.XLOOKUP(tblOrders[[#This Row],[ProductID]],tblProducts[ProductID],tblProducts[Category],"not found")</f>
        <v>Beauty</v>
      </c>
      <c r="J823">
        <f>_xlfn.XLOOKUP(tblOrders[[#This Row],[ProductID]],tblProducts[ProductID],tblProducts[UnitPrice],"not found")</f>
        <v>242.95</v>
      </c>
      <c r="K823" t="str">
        <f>_xlfn.XLOOKUP(tblOrders[[#This Row],[ProductID]],tblProducts[ProductID],tblProducts[Supplier],"not found")</f>
        <v>David Inc</v>
      </c>
      <c r="L823" s="1" t="s">
        <v>2269</v>
      </c>
      <c r="M8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45379</v>
      </c>
      <c r="N823">
        <v>8</v>
      </c>
      <c r="O823">
        <v>1943.6</v>
      </c>
      <c r="P823">
        <f>tblOrders[[#This Row],[Quantity]]*tblOrders[[#This Row],[Unit Price]]</f>
        <v>1943.6</v>
      </c>
      <c r="Q823">
        <f>tblOrders[[#This Row],[TotalSales]]-tblOrders[[#This Row],[Calculated Sales]]</f>
        <v>0</v>
      </c>
    </row>
    <row r="824" spans="1:17" x14ac:dyDescent="0.25">
      <c r="A824">
        <v>1158</v>
      </c>
      <c r="B824">
        <v>98</v>
      </c>
      <c r="C824" t="str">
        <f>_xlfn.XLOOKUP(tblOrders[[#This Row],[CustomerID]],tblCustomers[CustomerID],tblCustomers[CustomerName],"not found")</f>
        <v>Jason Brown</v>
      </c>
      <c r="D824">
        <f>_xlfn.XLOOKUP(tblOrders[[#This Row],[CustomerID]],tblCustomers[CustomerID],tblCustomers[Age],"not found")</f>
        <v>46</v>
      </c>
      <c r="E824" t="str">
        <f>_xlfn.XLOOKUP(tblOrders[[#This Row],[CustomerID]],tblCustomers[CustomerID],tblCustomers[Gender],"not found")</f>
        <v>Male</v>
      </c>
      <c r="F824" t="str">
        <f>_xlfn.XLOOKUP(tblOrders[[#This Row],[CustomerID]],tblCustomers[CustomerID],tblCustomers[Region],"not found")</f>
        <v>Central</v>
      </c>
      <c r="G824">
        <v>1007</v>
      </c>
      <c r="H824" t="str">
        <f>_xlfn.XLOOKUP(tblOrders[[#This Row],[ProductID]],tblProducts[ProductID],tblProducts[ProductName],"not found")</f>
        <v>Where</v>
      </c>
      <c r="I824" t="str">
        <f>_xlfn.XLOOKUP(tblOrders[[#This Row],[ProductID]],tblProducts[ProductID],tblProducts[Category],"not found")</f>
        <v>Beauty</v>
      </c>
      <c r="J824">
        <f>_xlfn.XLOOKUP(tblOrders[[#This Row],[ProductID]],tblProducts[ProductID],tblProducts[UnitPrice],"not found")</f>
        <v>242.95</v>
      </c>
      <c r="K824" t="str">
        <f>_xlfn.XLOOKUP(tblOrders[[#This Row],[ProductID]],tblProducts[ProductID],tblProducts[Supplier],"not found")</f>
        <v>David Inc</v>
      </c>
      <c r="L824" s="1" t="s">
        <v>2045</v>
      </c>
      <c r="M8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45168</v>
      </c>
      <c r="N824">
        <v>5</v>
      </c>
      <c r="O824">
        <v>1214.75</v>
      </c>
      <c r="P824">
        <f>tblOrders[[#This Row],[Quantity]]*tblOrders[[#This Row],[Unit Price]]</f>
        <v>1214.75</v>
      </c>
      <c r="Q824">
        <f>tblOrders[[#This Row],[TotalSales]]-tblOrders[[#This Row],[Calculated Sales]]</f>
        <v>0</v>
      </c>
    </row>
    <row r="825" spans="1:17" x14ac:dyDescent="0.25">
      <c r="A825">
        <v>1165</v>
      </c>
      <c r="B825">
        <v>100</v>
      </c>
      <c r="C825" t="str">
        <f>_xlfn.XLOOKUP(tblOrders[[#This Row],[CustomerID]],tblCustomers[CustomerID],tblCustomers[CustomerName],"not found")</f>
        <v>Melanie Hill</v>
      </c>
      <c r="D825">
        <f>_xlfn.XLOOKUP(tblOrders[[#This Row],[CustomerID]],tblCustomers[CustomerID],tblCustomers[Age],"not found")</f>
        <v>26</v>
      </c>
      <c r="E825" t="str">
        <f>_xlfn.XLOOKUP(tblOrders[[#This Row],[CustomerID]],tblCustomers[CustomerID],tblCustomers[Gender],"not found")</f>
        <v>Male</v>
      </c>
      <c r="F825" t="str">
        <f>_xlfn.XLOOKUP(tblOrders[[#This Row],[CustomerID]],tblCustomers[CustomerID],tblCustomers[Region],"not found")</f>
        <v>North</v>
      </c>
      <c r="G825">
        <v>1007</v>
      </c>
      <c r="H825" t="str">
        <f>_xlfn.XLOOKUP(tblOrders[[#This Row],[ProductID]],tblProducts[ProductID],tblProducts[ProductName],"not found")</f>
        <v>Where</v>
      </c>
      <c r="I825" t="str">
        <f>_xlfn.XLOOKUP(tblOrders[[#This Row],[ProductID]],tblProducts[ProductID],tblProducts[Category],"not found")</f>
        <v>Beauty</v>
      </c>
      <c r="J825">
        <f>_xlfn.XLOOKUP(tblOrders[[#This Row],[ProductID]],tblProducts[ProductID],tblProducts[UnitPrice],"not found")</f>
        <v>242.95</v>
      </c>
      <c r="K825" t="str">
        <f>_xlfn.XLOOKUP(tblOrders[[#This Row],[ProductID]],tblProducts[ProductID],tblProducts[Supplier],"not found")</f>
        <v>David Inc</v>
      </c>
      <c r="L825" s="1" t="s">
        <v>2237</v>
      </c>
      <c r="M8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45128</v>
      </c>
      <c r="N825">
        <v>9</v>
      </c>
      <c r="O825">
        <v>2186.5500000000002</v>
      </c>
      <c r="P825">
        <f>tblOrders[[#This Row],[Quantity]]*tblOrders[[#This Row],[Unit Price]]</f>
        <v>2186.5499999999997</v>
      </c>
      <c r="Q825">
        <f>tblOrders[[#This Row],[TotalSales]]-tblOrders[[#This Row],[Calculated Sales]]</f>
        <v>0</v>
      </c>
    </row>
    <row r="826" spans="1:17" x14ac:dyDescent="0.25">
      <c r="A826">
        <v>1177</v>
      </c>
      <c r="B826">
        <v>694</v>
      </c>
      <c r="C826" t="str">
        <f>_xlfn.XLOOKUP(tblOrders[[#This Row],[CustomerID]],tblCustomers[CustomerID],tblCustomers[CustomerName],"not found")</f>
        <v>Andrea Rice</v>
      </c>
      <c r="D826">
        <f>_xlfn.XLOOKUP(tblOrders[[#This Row],[CustomerID]],tblCustomers[CustomerID],tblCustomers[Age],"not found")</f>
        <v>47</v>
      </c>
      <c r="E826" t="str">
        <f>_xlfn.XLOOKUP(tblOrders[[#This Row],[CustomerID]],tblCustomers[CustomerID],tblCustomers[Gender],"not found")</f>
        <v>Female</v>
      </c>
      <c r="F826" t="str">
        <f>_xlfn.XLOOKUP(tblOrders[[#This Row],[CustomerID]],tblCustomers[CustomerID],tblCustomers[Region],"not found")</f>
        <v>Central</v>
      </c>
      <c r="G826">
        <v>1007</v>
      </c>
      <c r="H826" t="str">
        <f>_xlfn.XLOOKUP(tblOrders[[#This Row],[ProductID]],tblProducts[ProductID],tblProducts[ProductName],"not found")</f>
        <v>Where</v>
      </c>
      <c r="I826" t="str">
        <f>_xlfn.XLOOKUP(tblOrders[[#This Row],[ProductID]],tblProducts[ProductID],tblProducts[Category],"not found")</f>
        <v>Beauty</v>
      </c>
      <c r="J826">
        <f>_xlfn.XLOOKUP(tblOrders[[#This Row],[ProductID]],tblProducts[ProductID],tblProducts[UnitPrice],"not found")</f>
        <v>242.95</v>
      </c>
      <c r="K826" t="str">
        <f>_xlfn.XLOOKUP(tblOrders[[#This Row],[ProductID]],tblProducts[ProductID],tblProducts[Supplier],"not found")</f>
        <v>David Inc</v>
      </c>
      <c r="L826" s="1">
        <v>44969</v>
      </c>
      <c r="M8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826">
        <v>7</v>
      </c>
      <c r="O826">
        <v>1700.65</v>
      </c>
      <c r="P826">
        <f>tblOrders[[#This Row],[Quantity]]*tblOrders[[#This Row],[Unit Price]]</f>
        <v>1700.6499999999999</v>
      </c>
      <c r="Q826">
        <f>tblOrders[[#This Row],[TotalSales]]-tblOrders[[#This Row],[Calculated Sales]]</f>
        <v>0</v>
      </c>
    </row>
    <row r="827" spans="1:17" x14ac:dyDescent="0.25">
      <c r="A827">
        <v>1293</v>
      </c>
      <c r="B827">
        <v>495</v>
      </c>
      <c r="C827" t="str">
        <f>_xlfn.XLOOKUP(tblOrders[[#This Row],[CustomerID]],tblCustomers[CustomerID],tblCustomers[CustomerName],"not found")</f>
        <v>Taylor Hernandez</v>
      </c>
      <c r="D827">
        <f>_xlfn.XLOOKUP(tblOrders[[#This Row],[CustomerID]],tblCustomers[CustomerID],tblCustomers[Age],"not found")</f>
        <v>19</v>
      </c>
      <c r="E827" t="str">
        <f>_xlfn.XLOOKUP(tblOrders[[#This Row],[CustomerID]],tblCustomers[CustomerID],tblCustomers[Gender],"not found")</f>
        <v>Male</v>
      </c>
      <c r="F827" t="str">
        <f>_xlfn.XLOOKUP(tblOrders[[#This Row],[CustomerID]],tblCustomers[CustomerID],tblCustomers[Region],"not found")</f>
        <v>East</v>
      </c>
      <c r="G827">
        <v>1007</v>
      </c>
      <c r="H827" t="str">
        <f>_xlfn.XLOOKUP(tblOrders[[#This Row],[ProductID]],tblProducts[ProductID],tblProducts[ProductName],"not found")</f>
        <v>Where</v>
      </c>
      <c r="I827" t="str">
        <f>_xlfn.XLOOKUP(tblOrders[[#This Row],[ProductID]],tblProducts[ProductID],tblProducts[Category],"not found")</f>
        <v>Beauty</v>
      </c>
      <c r="J827">
        <f>_xlfn.XLOOKUP(tblOrders[[#This Row],[ProductID]],tblProducts[ProductID],tblProducts[UnitPrice],"not found")</f>
        <v>242.95</v>
      </c>
      <c r="K827" t="str">
        <f>_xlfn.XLOOKUP(tblOrders[[#This Row],[ProductID]],tblProducts[ProductID],tblProducts[Supplier],"not found")</f>
        <v>David Inc</v>
      </c>
      <c r="L827" s="1" t="s">
        <v>2020</v>
      </c>
      <c r="M8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45565</v>
      </c>
      <c r="N827">
        <v>3</v>
      </c>
      <c r="O827">
        <v>728.85</v>
      </c>
      <c r="P827">
        <f>tblOrders[[#This Row],[Quantity]]*tblOrders[[#This Row],[Unit Price]]</f>
        <v>728.84999999999991</v>
      </c>
      <c r="Q827">
        <f>tblOrders[[#This Row],[TotalSales]]-tblOrders[[#This Row],[Calculated Sales]]</f>
        <v>0</v>
      </c>
    </row>
    <row r="828" spans="1:17" x14ac:dyDescent="0.25">
      <c r="A828">
        <v>1323</v>
      </c>
      <c r="B828">
        <v>815</v>
      </c>
      <c r="C828" t="str">
        <f>_xlfn.XLOOKUP(tblOrders[[#This Row],[CustomerID]],tblCustomers[CustomerID],tblCustomers[CustomerName],"not found")</f>
        <v>Robert Greene</v>
      </c>
      <c r="D828">
        <f>_xlfn.XLOOKUP(tblOrders[[#This Row],[CustomerID]],tblCustomers[CustomerID],tblCustomers[Age],"not found")</f>
        <v>18</v>
      </c>
      <c r="E828" t="str">
        <f>_xlfn.XLOOKUP(tblOrders[[#This Row],[CustomerID]],tblCustomers[CustomerID],tblCustomers[Gender],"not found")</f>
        <v>Male</v>
      </c>
      <c r="F828" t="str">
        <f>_xlfn.XLOOKUP(tblOrders[[#This Row],[CustomerID]],tblCustomers[CustomerID],tblCustomers[Region],"not found")</f>
        <v>South</v>
      </c>
      <c r="G828">
        <v>1007</v>
      </c>
      <c r="H828" t="str">
        <f>_xlfn.XLOOKUP(tblOrders[[#This Row],[ProductID]],tblProducts[ProductID],tblProducts[ProductName],"not found")</f>
        <v>Where</v>
      </c>
      <c r="I828" t="str">
        <f>_xlfn.XLOOKUP(tblOrders[[#This Row],[ProductID]],tblProducts[ProductID],tblProducts[Category],"not found")</f>
        <v>Beauty</v>
      </c>
      <c r="J828">
        <f>_xlfn.XLOOKUP(tblOrders[[#This Row],[ProductID]],tblProducts[ProductID],tblProducts[UnitPrice],"not found")</f>
        <v>242.95</v>
      </c>
      <c r="K828" t="str">
        <f>_xlfn.XLOOKUP(tblOrders[[#This Row],[ProductID]],tblProducts[ProductID],tblProducts[Supplier],"not found")</f>
        <v>David Inc</v>
      </c>
      <c r="L828" s="1" t="s">
        <v>2305</v>
      </c>
      <c r="M8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44974</v>
      </c>
      <c r="N828">
        <v>6</v>
      </c>
      <c r="O828">
        <v>1457.7</v>
      </c>
      <c r="P828">
        <f>tblOrders[[#This Row],[Quantity]]*tblOrders[[#This Row],[Unit Price]]</f>
        <v>1457.6999999999998</v>
      </c>
      <c r="Q828">
        <f>tblOrders[[#This Row],[TotalSales]]-tblOrders[[#This Row],[Calculated Sales]]</f>
        <v>0</v>
      </c>
    </row>
    <row r="829" spans="1:17" x14ac:dyDescent="0.25">
      <c r="A829">
        <v>1342</v>
      </c>
      <c r="B829">
        <v>543</v>
      </c>
      <c r="C829" t="str">
        <f>_xlfn.XLOOKUP(tblOrders[[#This Row],[CustomerID]],tblCustomers[CustomerID],tblCustomers[CustomerName],"not found")</f>
        <v>Billy Allen</v>
      </c>
      <c r="D829">
        <f>_xlfn.XLOOKUP(tblOrders[[#This Row],[CustomerID]],tblCustomers[CustomerID],tblCustomers[Age],"not found")</f>
        <v>54</v>
      </c>
      <c r="E829" t="str">
        <f>_xlfn.XLOOKUP(tblOrders[[#This Row],[CustomerID]],tblCustomers[CustomerID],tblCustomers[Gender],"not found")</f>
        <v>Female</v>
      </c>
      <c r="F829" t="str">
        <f>_xlfn.XLOOKUP(tblOrders[[#This Row],[CustomerID]],tblCustomers[CustomerID],tblCustomers[Region],"not found")</f>
        <v>South</v>
      </c>
      <c r="G829">
        <v>1007</v>
      </c>
      <c r="H829" t="str">
        <f>_xlfn.XLOOKUP(tblOrders[[#This Row],[ProductID]],tblProducts[ProductID],tblProducts[ProductName],"not found")</f>
        <v>Where</v>
      </c>
      <c r="I829" t="str">
        <f>_xlfn.XLOOKUP(tblOrders[[#This Row],[ProductID]],tblProducts[ProductID],tblProducts[Category],"not found")</f>
        <v>Beauty</v>
      </c>
      <c r="J829">
        <f>_xlfn.XLOOKUP(tblOrders[[#This Row],[ProductID]],tblProducts[ProductID],tblProducts[UnitPrice],"not found")</f>
        <v>242.95</v>
      </c>
      <c r="K829" t="str">
        <f>_xlfn.XLOOKUP(tblOrders[[#This Row],[ProductID]],tblProducts[ProductID],tblProducts[Supplier],"not found")</f>
        <v>David Inc</v>
      </c>
      <c r="L829" s="1" t="s">
        <v>2306</v>
      </c>
      <c r="M8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45196</v>
      </c>
      <c r="N829">
        <v>2</v>
      </c>
      <c r="O829">
        <v>485.9</v>
      </c>
      <c r="P829">
        <f>tblOrders[[#This Row],[Quantity]]*tblOrders[[#This Row],[Unit Price]]</f>
        <v>485.9</v>
      </c>
      <c r="Q829">
        <f>tblOrders[[#This Row],[TotalSales]]-tblOrders[[#This Row],[Calculated Sales]]</f>
        <v>0</v>
      </c>
    </row>
    <row r="830" spans="1:17" x14ac:dyDescent="0.25">
      <c r="A830">
        <v>1394</v>
      </c>
      <c r="B830">
        <v>474</v>
      </c>
      <c r="C830" t="str">
        <f>_xlfn.XLOOKUP(tblOrders[[#This Row],[CustomerID]],tblCustomers[CustomerID],tblCustomers[CustomerName],"not found")</f>
        <v>Erin Mccarty</v>
      </c>
      <c r="D830">
        <f>_xlfn.XLOOKUP(tblOrders[[#This Row],[CustomerID]],tblCustomers[CustomerID],tblCustomers[Age],"not found")</f>
        <v>56</v>
      </c>
      <c r="E830" t="str">
        <f>_xlfn.XLOOKUP(tblOrders[[#This Row],[CustomerID]],tblCustomers[CustomerID],tblCustomers[Gender],"not found")</f>
        <v>Female</v>
      </c>
      <c r="F830" t="str">
        <f>_xlfn.XLOOKUP(tblOrders[[#This Row],[CustomerID]],tblCustomers[CustomerID],tblCustomers[Region],"not found")</f>
        <v>Central</v>
      </c>
      <c r="G830">
        <v>1007</v>
      </c>
      <c r="H830" t="str">
        <f>_xlfn.XLOOKUP(tblOrders[[#This Row],[ProductID]],tblProducts[ProductID],tblProducts[ProductName],"not found")</f>
        <v>Where</v>
      </c>
      <c r="I830" t="str">
        <f>_xlfn.XLOOKUP(tblOrders[[#This Row],[ProductID]],tblProducts[ProductID],tblProducts[Category],"not found")</f>
        <v>Beauty</v>
      </c>
      <c r="J830">
        <f>_xlfn.XLOOKUP(tblOrders[[#This Row],[ProductID]],tblProducts[ProductID],tblProducts[UnitPrice],"not found")</f>
        <v>242.95</v>
      </c>
      <c r="K830" t="str">
        <f>_xlfn.XLOOKUP(tblOrders[[#This Row],[ProductID]],tblProducts[ProductID],tblProducts[Supplier],"not found")</f>
        <v>David Inc</v>
      </c>
      <c r="L830" s="1" t="s">
        <v>2307</v>
      </c>
      <c r="M8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45276</v>
      </c>
      <c r="N830">
        <v>8</v>
      </c>
      <c r="O830">
        <v>1943.6</v>
      </c>
      <c r="P830">
        <f>tblOrders[[#This Row],[Quantity]]*tblOrders[[#This Row],[Unit Price]]</f>
        <v>1943.6</v>
      </c>
      <c r="Q830">
        <f>tblOrders[[#This Row],[TotalSales]]-tblOrders[[#This Row],[Calculated Sales]]</f>
        <v>0</v>
      </c>
    </row>
    <row r="831" spans="1:17" x14ac:dyDescent="0.25">
      <c r="A831">
        <v>1501</v>
      </c>
      <c r="B831">
        <v>629</v>
      </c>
      <c r="C831" t="str">
        <f>_xlfn.XLOOKUP(tblOrders[[#This Row],[CustomerID]],tblCustomers[CustomerID],tblCustomers[CustomerName],"not found")</f>
        <v>Kathryn Torres</v>
      </c>
      <c r="D831">
        <f>_xlfn.XLOOKUP(tblOrders[[#This Row],[CustomerID]],tblCustomers[CustomerID],tblCustomers[Age],"not found")</f>
        <v>41</v>
      </c>
      <c r="E831" t="str">
        <f>_xlfn.XLOOKUP(tblOrders[[#This Row],[CustomerID]],tblCustomers[CustomerID],tblCustomers[Gender],"not found")</f>
        <v>Female</v>
      </c>
      <c r="F831" t="str">
        <f>_xlfn.XLOOKUP(tblOrders[[#This Row],[CustomerID]],tblCustomers[CustomerID],tblCustomers[Region],"not found")</f>
        <v>North</v>
      </c>
      <c r="G831">
        <v>1007</v>
      </c>
      <c r="H831" t="str">
        <f>_xlfn.XLOOKUP(tblOrders[[#This Row],[ProductID]],tblProducts[ProductID],tblProducts[ProductName],"not found")</f>
        <v>Where</v>
      </c>
      <c r="I831" t="str">
        <f>_xlfn.XLOOKUP(tblOrders[[#This Row],[ProductID]],tblProducts[ProductID],tblProducts[Category],"not found")</f>
        <v>Beauty</v>
      </c>
      <c r="J831">
        <f>_xlfn.XLOOKUP(tblOrders[[#This Row],[ProductID]],tblProducts[ProductID],tblProducts[UnitPrice],"not found")</f>
        <v>242.95</v>
      </c>
      <c r="K831" t="str">
        <f>_xlfn.XLOOKUP(tblOrders[[#This Row],[ProductID]],tblProducts[ProductID],tblProducts[Supplier],"not found")</f>
        <v>David Inc</v>
      </c>
      <c r="L831" s="1" t="s">
        <v>2308</v>
      </c>
      <c r="M8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45221</v>
      </c>
      <c r="N831">
        <v>9</v>
      </c>
      <c r="O831">
        <v>2186.5500000000002</v>
      </c>
      <c r="P831">
        <f>tblOrders[[#This Row],[Quantity]]*tblOrders[[#This Row],[Unit Price]]</f>
        <v>2186.5499999999997</v>
      </c>
      <c r="Q831">
        <f>tblOrders[[#This Row],[TotalSales]]-tblOrders[[#This Row],[Calculated Sales]]</f>
        <v>0</v>
      </c>
    </row>
    <row r="832" spans="1:17" x14ac:dyDescent="0.25">
      <c r="A832">
        <v>1722</v>
      </c>
      <c r="B832">
        <v>612</v>
      </c>
      <c r="C832" t="str">
        <f>_xlfn.XLOOKUP(tblOrders[[#This Row],[CustomerID]],tblCustomers[CustomerID],tblCustomers[CustomerName],"not found")</f>
        <v>Adam Burns</v>
      </c>
      <c r="D832">
        <f>_xlfn.XLOOKUP(tblOrders[[#This Row],[CustomerID]],tblCustomers[CustomerID],tblCustomers[Age],"not found")</f>
        <v>69</v>
      </c>
      <c r="E832" t="str">
        <f>_xlfn.XLOOKUP(tblOrders[[#This Row],[CustomerID]],tblCustomers[CustomerID],tblCustomers[Gender],"not found")</f>
        <v>Male</v>
      </c>
      <c r="F832" t="str">
        <f>_xlfn.XLOOKUP(tblOrders[[#This Row],[CustomerID]],tblCustomers[CustomerID],tblCustomers[Region],"not found")</f>
        <v>East</v>
      </c>
      <c r="G832">
        <v>1007</v>
      </c>
      <c r="H832" t="str">
        <f>_xlfn.XLOOKUP(tblOrders[[#This Row],[ProductID]],tblProducts[ProductID],tblProducts[ProductName],"not found")</f>
        <v>Where</v>
      </c>
      <c r="I832" t="str">
        <f>_xlfn.XLOOKUP(tblOrders[[#This Row],[ProductID]],tblProducts[ProductID],tblProducts[Category],"not found")</f>
        <v>Beauty</v>
      </c>
      <c r="J832">
        <f>_xlfn.XLOOKUP(tblOrders[[#This Row],[ProductID]],tblProducts[ProductID],tblProducts[UnitPrice],"not found")</f>
        <v>242.95</v>
      </c>
      <c r="K832" t="str">
        <f>_xlfn.XLOOKUP(tblOrders[[#This Row],[ProductID]],tblProducts[ProductID],tblProducts[Supplier],"not found")</f>
        <v>David Inc</v>
      </c>
      <c r="L832" s="1" t="s">
        <v>2309</v>
      </c>
      <c r="M8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45443</v>
      </c>
      <c r="N832">
        <v>2</v>
      </c>
      <c r="O832">
        <v>485.9</v>
      </c>
      <c r="P832">
        <f>tblOrders[[#This Row],[Quantity]]*tblOrders[[#This Row],[Unit Price]]</f>
        <v>485.9</v>
      </c>
      <c r="Q832">
        <f>tblOrders[[#This Row],[TotalSales]]-tblOrders[[#This Row],[Calculated Sales]]</f>
        <v>0</v>
      </c>
    </row>
    <row r="833" spans="1:17" x14ac:dyDescent="0.25">
      <c r="A833">
        <v>1958</v>
      </c>
      <c r="B833">
        <v>513</v>
      </c>
      <c r="C833" t="str">
        <f>_xlfn.XLOOKUP(tblOrders[[#This Row],[CustomerID]],tblCustomers[CustomerID],tblCustomers[CustomerName],"not found")</f>
        <v>Crystal Williams DDS</v>
      </c>
      <c r="D833">
        <f>_xlfn.XLOOKUP(tblOrders[[#This Row],[CustomerID]],tblCustomers[CustomerID],tblCustomers[Age],"not found")</f>
        <v>31</v>
      </c>
      <c r="E833" t="str">
        <f>_xlfn.XLOOKUP(tblOrders[[#This Row],[CustomerID]],tblCustomers[CustomerID],tblCustomers[Gender],"not found")</f>
        <v>Male</v>
      </c>
      <c r="F833" t="str">
        <f>_xlfn.XLOOKUP(tblOrders[[#This Row],[CustomerID]],tblCustomers[CustomerID],tblCustomers[Region],"not found")</f>
        <v>North</v>
      </c>
      <c r="G833">
        <v>1007</v>
      </c>
      <c r="H833" t="str">
        <f>_xlfn.XLOOKUP(tblOrders[[#This Row],[ProductID]],tblProducts[ProductID],tblProducts[ProductName],"not found")</f>
        <v>Where</v>
      </c>
      <c r="I833" t="str">
        <f>_xlfn.XLOOKUP(tblOrders[[#This Row],[ProductID]],tblProducts[ProductID],tblProducts[Category],"not found")</f>
        <v>Beauty</v>
      </c>
      <c r="J833">
        <f>_xlfn.XLOOKUP(tblOrders[[#This Row],[ProductID]],tblProducts[ProductID],tblProducts[UnitPrice],"not found")</f>
        <v>242.95</v>
      </c>
      <c r="K833" t="str">
        <f>_xlfn.XLOOKUP(tblOrders[[#This Row],[ProductID]],tblProducts[ProductID],tblProducts[Supplier],"not found")</f>
        <v>David Inc</v>
      </c>
      <c r="L833" s="1">
        <v>45271</v>
      </c>
      <c r="M8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45271</v>
      </c>
      <c r="N833">
        <v>6</v>
      </c>
      <c r="O833">
        <v>1457.7</v>
      </c>
      <c r="P833">
        <f>tblOrders[[#This Row],[Quantity]]*tblOrders[[#This Row],[Unit Price]]</f>
        <v>1457.6999999999998</v>
      </c>
      <c r="Q833">
        <f>tblOrders[[#This Row],[TotalSales]]-tblOrders[[#This Row],[Calculated Sales]]</f>
        <v>0</v>
      </c>
    </row>
    <row r="834" spans="1:17" x14ac:dyDescent="0.25">
      <c r="A834">
        <v>1961</v>
      </c>
      <c r="B834">
        <v>490</v>
      </c>
      <c r="C834" t="str">
        <f>_xlfn.XLOOKUP(tblOrders[[#This Row],[CustomerID]],tblCustomers[CustomerID],tblCustomers[CustomerName],"not found")</f>
        <v>Brittany Hubbard</v>
      </c>
      <c r="D834">
        <f>_xlfn.XLOOKUP(tblOrders[[#This Row],[CustomerID]],tblCustomers[CustomerID],tblCustomers[Age],"not found")</f>
        <v>64</v>
      </c>
      <c r="E834" t="str">
        <f>_xlfn.XLOOKUP(tblOrders[[#This Row],[CustomerID]],tblCustomers[CustomerID],tblCustomers[Gender],"not found")</f>
        <v>Male</v>
      </c>
      <c r="F834" t="str">
        <f>_xlfn.XLOOKUP(tblOrders[[#This Row],[CustomerID]],tblCustomers[CustomerID],tblCustomers[Region],"not found")</f>
        <v>East</v>
      </c>
      <c r="G834">
        <v>1007</v>
      </c>
      <c r="H834" t="str">
        <f>_xlfn.XLOOKUP(tblOrders[[#This Row],[ProductID]],tblProducts[ProductID],tblProducts[ProductName],"not found")</f>
        <v>Where</v>
      </c>
      <c r="I834" t="str">
        <f>_xlfn.XLOOKUP(tblOrders[[#This Row],[ProductID]],tblProducts[ProductID],tblProducts[Category],"not found")</f>
        <v>Beauty</v>
      </c>
      <c r="J834">
        <f>_xlfn.XLOOKUP(tblOrders[[#This Row],[ProductID]],tblProducts[ProductID],tblProducts[UnitPrice],"not found")</f>
        <v>242.95</v>
      </c>
      <c r="K834" t="str">
        <f>_xlfn.XLOOKUP(tblOrders[[#This Row],[ProductID]],tblProducts[ProductID],tblProducts[Supplier],"not found")</f>
        <v>David Inc</v>
      </c>
      <c r="L834" s="1" t="s">
        <v>2292</v>
      </c>
      <c r="M8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45586</v>
      </c>
      <c r="N834">
        <v>2</v>
      </c>
      <c r="O834">
        <v>485.9</v>
      </c>
      <c r="P834">
        <f>tblOrders[[#This Row],[Quantity]]*tblOrders[[#This Row],[Unit Price]]</f>
        <v>485.9</v>
      </c>
      <c r="Q834">
        <f>tblOrders[[#This Row],[TotalSales]]-tblOrders[[#This Row],[Calculated Sales]]</f>
        <v>0</v>
      </c>
    </row>
    <row r="835" spans="1:17" x14ac:dyDescent="0.25">
      <c r="A835">
        <v>45</v>
      </c>
      <c r="B835">
        <v>992</v>
      </c>
      <c r="C835" t="str">
        <f>_xlfn.XLOOKUP(tblOrders[[#This Row],[CustomerID]],tblCustomers[CustomerID],tblCustomers[CustomerName],"not found")</f>
        <v>Larry Carter</v>
      </c>
      <c r="D835">
        <f>_xlfn.XLOOKUP(tblOrders[[#This Row],[CustomerID]],tblCustomers[CustomerID],tblCustomers[Age],"not found")</f>
        <v>22</v>
      </c>
      <c r="E835" t="str">
        <f>_xlfn.XLOOKUP(tblOrders[[#This Row],[CustomerID]],tblCustomers[CustomerID],tblCustomers[Gender],"not found")</f>
        <v>Male</v>
      </c>
      <c r="F835" t="str">
        <f>_xlfn.XLOOKUP(tblOrders[[#This Row],[CustomerID]],tblCustomers[CustomerID],tblCustomers[Region],"not found")</f>
        <v>East</v>
      </c>
      <c r="G835">
        <v>1013</v>
      </c>
      <c r="H835" t="str">
        <f>_xlfn.XLOOKUP(tblOrders[[#This Row],[ProductID]],tblProducts[ProductID],tblProducts[ProductName],"not found")</f>
        <v>Official</v>
      </c>
      <c r="I835" t="str">
        <f>_xlfn.XLOOKUP(tblOrders[[#This Row],[ProductID]],tblProducts[ProductID],tblProducts[Category],"not found")</f>
        <v>Toys</v>
      </c>
      <c r="J835">
        <f>_xlfn.XLOOKUP(tblOrders[[#This Row],[ProductID]],tblProducts[ProductID],tblProducts[UnitPrice],"not found")</f>
        <v>82.85</v>
      </c>
      <c r="K835" t="str">
        <f>_xlfn.XLOOKUP(tblOrders[[#This Row],[ProductID]],tblProducts[ProductID],tblProducts[Supplier],"not found")</f>
        <v>Johnson, Young and Davis</v>
      </c>
      <c r="L835" s="1">
        <v>45391</v>
      </c>
      <c r="M8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45391</v>
      </c>
      <c r="N835">
        <v>1</v>
      </c>
      <c r="O835">
        <v>82.85</v>
      </c>
      <c r="P835">
        <f>tblOrders[[#This Row],[Quantity]]*tblOrders[[#This Row],[Unit Price]]</f>
        <v>82.85</v>
      </c>
      <c r="Q835">
        <f>tblOrders[[#This Row],[TotalSales]]-tblOrders[[#This Row],[Calculated Sales]]</f>
        <v>0</v>
      </c>
    </row>
    <row r="836" spans="1:17" x14ac:dyDescent="0.25">
      <c r="A836">
        <v>65</v>
      </c>
      <c r="B836">
        <v>857</v>
      </c>
      <c r="C836" t="str">
        <f>_xlfn.XLOOKUP(tblOrders[[#This Row],[CustomerID]],tblCustomers[CustomerID],tblCustomers[CustomerName],"not found")</f>
        <v>Debra Taylor</v>
      </c>
      <c r="D836">
        <f>_xlfn.XLOOKUP(tblOrders[[#This Row],[CustomerID]],tblCustomers[CustomerID],tblCustomers[Age],"not found")</f>
        <v>20</v>
      </c>
      <c r="E836" t="str">
        <f>_xlfn.XLOOKUP(tblOrders[[#This Row],[CustomerID]],tblCustomers[CustomerID],tblCustomers[Gender],"not found")</f>
        <v>Female</v>
      </c>
      <c r="F836" t="str">
        <f>_xlfn.XLOOKUP(tblOrders[[#This Row],[CustomerID]],tblCustomers[CustomerID],tblCustomers[Region],"not found")</f>
        <v>Central</v>
      </c>
      <c r="G836">
        <v>1013</v>
      </c>
      <c r="H836" t="str">
        <f>_xlfn.XLOOKUP(tblOrders[[#This Row],[ProductID]],tblProducts[ProductID],tblProducts[ProductName],"not found")</f>
        <v>Official</v>
      </c>
      <c r="I836" t="str">
        <f>_xlfn.XLOOKUP(tblOrders[[#This Row],[ProductID]],tblProducts[ProductID],tblProducts[Category],"not found")</f>
        <v>Toys</v>
      </c>
      <c r="J836">
        <f>_xlfn.XLOOKUP(tblOrders[[#This Row],[ProductID]],tblProducts[ProductID],tblProducts[UnitPrice],"not found")</f>
        <v>82.85</v>
      </c>
      <c r="K836" t="str">
        <f>_xlfn.XLOOKUP(tblOrders[[#This Row],[ProductID]],tblProducts[ProductID],tblProducts[Supplier],"not found")</f>
        <v>Johnson, Young and Davis</v>
      </c>
      <c r="L836" s="1" t="s">
        <v>2227</v>
      </c>
      <c r="M8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45244</v>
      </c>
      <c r="N836">
        <v>8</v>
      </c>
      <c r="O836">
        <v>662.8</v>
      </c>
      <c r="P836">
        <f>tblOrders[[#This Row],[Quantity]]*tblOrders[[#This Row],[Unit Price]]</f>
        <v>662.8</v>
      </c>
      <c r="Q836">
        <f>tblOrders[[#This Row],[TotalSales]]-tblOrders[[#This Row],[Calculated Sales]]</f>
        <v>0</v>
      </c>
    </row>
    <row r="837" spans="1:17" x14ac:dyDescent="0.25">
      <c r="A837">
        <v>109</v>
      </c>
      <c r="B837">
        <v>910</v>
      </c>
      <c r="C837" t="str">
        <f>_xlfn.XLOOKUP(tblOrders[[#This Row],[CustomerID]],tblCustomers[CustomerID],tblCustomers[CustomerName],"not found")</f>
        <v>Spencer Bates</v>
      </c>
      <c r="D837">
        <f>_xlfn.XLOOKUP(tblOrders[[#This Row],[CustomerID]],tblCustomers[CustomerID],tblCustomers[Age],"not found")</f>
        <v>53</v>
      </c>
      <c r="E837" t="str">
        <f>_xlfn.XLOOKUP(tblOrders[[#This Row],[CustomerID]],tblCustomers[CustomerID],tblCustomers[Gender],"not found")</f>
        <v>Female</v>
      </c>
      <c r="F837" t="str">
        <f>_xlfn.XLOOKUP(tblOrders[[#This Row],[CustomerID]],tblCustomers[CustomerID],tblCustomers[Region],"not found")</f>
        <v>West</v>
      </c>
      <c r="G837">
        <v>1013</v>
      </c>
      <c r="H837" t="str">
        <f>_xlfn.XLOOKUP(tblOrders[[#This Row],[ProductID]],tblProducts[ProductID],tblProducts[ProductName],"not found")</f>
        <v>Official</v>
      </c>
      <c r="I837" t="str">
        <f>_xlfn.XLOOKUP(tblOrders[[#This Row],[ProductID]],tblProducts[ProductID],tblProducts[Category],"not found")</f>
        <v>Toys</v>
      </c>
      <c r="J837">
        <f>_xlfn.XLOOKUP(tblOrders[[#This Row],[ProductID]],tblProducts[ProductID],tblProducts[UnitPrice],"not found")</f>
        <v>82.85</v>
      </c>
      <c r="K837" t="str">
        <f>_xlfn.XLOOKUP(tblOrders[[#This Row],[ProductID]],tblProducts[ProductID],tblProducts[Supplier],"not found")</f>
        <v>Johnson, Young and Davis</v>
      </c>
      <c r="L837" s="1" t="s">
        <v>2310</v>
      </c>
      <c r="M8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45012</v>
      </c>
      <c r="N837">
        <v>1</v>
      </c>
      <c r="O837">
        <v>82.85</v>
      </c>
      <c r="P837">
        <f>tblOrders[[#This Row],[Quantity]]*tblOrders[[#This Row],[Unit Price]]</f>
        <v>82.85</v>
      </c>
      <c r="Q837">
        <f>tblOrders[[#This Row],[TotalSales]]-tblOrders[[#This Row],[Calculated Sales]]</f>
        <v>0</v>
      </c>
    </row>
    <row r="838" spans="1:17" x14ac:dyDescent="0.25">
      <c r="A838">
        <v>186</v>
      </c>
      <c r="B838">
        <v>975</v>
      </c>
      <c r="C838" t="str">
        <f>_xlfn.XLOOKUP(tblOrders[[#This Row],[CustomerID]],tblCustomers[CustomerID],tblCustomers[CustomerName],"not found")</f>
        <v>Pedro Williams</v>
      </c>
      <c r="D838">
        <f>_xlfn.XLOOKUP(tblOrders[[#This Row],[CustomerID]],tblCustomers[CustomerID],tblCustomers[Age],"not found")</f>
        <v>69</v>
      </c>
      <c r="E838" t="str">
        <f>_xlfn.XLOOKUP(tblOrders[[#This Row],[CustomerID]],tblCustomers[CustomerID],tblCustomers[Gender],"not found")</f>
        <v>Female</v>
      </c>
      <c r="F838" t="str">
        <f>_xlfn.XLOOKUP(tblOrders[[#This Row],[CustomerID]],tblCustomers[CustomerID],tblCustomers[Region],"not found")</f>
        <v>East</v>
      </c>
      <c r="G838">
        <v>1013</v>
      </c>
      <c r="H838" t="str">
        <f>_xlfn.XLOOKUP(tblOrders[[#This Row],[ProductID]],tblProducts[ProductID],tblProducts[ProductName],"not found")</f>
        <v>Official</v>
      </c>
      <c r="I838" t="str">
        <f>_xlfn.XLOOKUP(tblOrders[[#This Row],[ProductID]],tblProducts[ProductID],tblProducts[Category],"not found")</f>
        <v>Toys</v>
      </c>
      <c r="J838">
        <f>_xlfn.XLOOKUP(tblOrders[[#This Row],[ProductID]],tblProducts[ProductID],tblProducts[UnitPrice],"not found")</f>
        <v>82.85</v>
      </c>
      <c r="K838" t="str">
        <f>_xlfn.XLOOKUP(tblOrders[[#This Row],[ProductID]],tblProducts[ProductID],tblProducts[Supplier],"not found")</f>
        <v>Johnson, Young and Davis</v>
      </c>
      <c r="L838" s="1" t="s">
        <v>2247</v>
      </c>
      <c r="M8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45306</v>
      </c>
      <c r="N838">
        <v>8</v>
      </c>
      <c r="O838">
        <v>662.8</v>
      </c>
      <c r="P838">
        <f>tblOrders[[#This Row],[Quantity]]*tblOrders[[#This Row],[Unit Price]]</f>
        <v>662.8</v>
      </c>
      <c r="Q838">
        <f>tblOrders[[#This Row],[TotalSales]]-tblOrders[[#This Row],[Calculated Sales]]</f>
        <v>0</v>
      </c>
    </row>
    <row r="839" spans="1:17" x14ac:dyDescent="0.25">
      <c r="A839">
        <v>194</v>
      </c>
      <c r="B839">
        <v>591</v>
      </c>
      <c r="C839" t="str">
        <f>_xlfn.XLOOKUP(tblOrders[[#This Row],[CustomerID]],tblCustomers[CustomerID],tblCustomers[CustomerName],"not found")</f>
        <v>David Crawford</v>
      </c>
      <c r="D839">
        <f>_xlfn.XLOOKUP(tblOrders[[#This Row],[CustomerID]],tblCustomers[CustomerID],tblCustomers[Age],"not found")</f>
        <v>52</v>
      </c>
      <c r="E839" t="str">
        <f>_xlfn.XLOOKUP(tblOrders[[#This Row],[CustomerID]],tblCustomers[CustomerID],tblCustomers[Gender],"not found")</f>
        <v>Male</v>
      </c>
      <c r="F839" t="str">
        <f>_xlfn.XLOOKUP(tblOrders[[#This Row],[CustomerID]],tblCustomers[CustomerID],tblCustomers[Region],"not found")</f>
        <v>North</v>
      </c>
      <c r="G839">
        <v>1013</v>
      </c>
      <c r="H839" t="str">
        <f>_xlfn.XLOOKUP(tblOrders[[#This Row],[ProductID]],tblProducts[ProductID],tblProducts[ProductName],"not found")</f>
        <v>Official</v>
      </c>
      <c r="I839" t="str">
        <f>_xlfn.XLOOKUP(tblOrders[[#This Row],[ProductID]],tblProducts[ProductID],tblProducts[Category],"not found")</f>
        <v>Toys</v>
      </c>
      <c r="J839">
        <f>_xlfn.XLOOKUP(tblOrders[[#This Row],[ProductID]],tblProducts[ProductID],tblProducts[UnitPrice],"not found")</f>
        <v>82.85</v>
      </c>
      <c r="K839" t="str">
        <f>_xlfn.XLOOKUP(tblOrders[[#This Row],[ProductID]],tblProducts[ProductID],tblProducts[Supplier],"not found")</f>
        <v>Johnson, Young and Davis</v>
      </c>
      <c r="L839" s="1">
        <v>45422</v>
      </c>
      <c r="M8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45422</v>
      </c>
      <c r="N839">
        <v>2</v>
      </c>
      <c r="O839">
        <v>165.7</v>
      </c>
      <c r="P839">
        <f>tblOrders[[#This Row],[Quantity]]*tblOrders[[#This Row],[Unit Price]]</f>
        <v>165.7</v>
      </c>
      <c r="Q839">
        <f>tblOrders[[#This Row],[TotalSales]]-tblOrders[[#This Row],[Calculated Sales]]</f>
        <v>0</v>
      </c>
    </row>
    <row r="840" spans="1:17" x14ac:dyDescent="0.25">
      <c r="A840">
        <v>320</v>
      </c>
      <c r="B840">
        <v>324</v>
      </c>
      <c r="C840" t="str">
        <f>_xlfn.XLOOKUP(tblOrders[[#This Row],[CustomerID]],tblCustomers[CustomerID],tblCustomers[CustomerName],"not found")</f>
        <v>Gregory Mills</v>
      </c>
      <c r="D840">
        <f>_xlfn.XLOOKUP(tblOrders[[#This Row],[CustomerID]],tblCustomers[CustomerID],tblCustomers[Age],"not found")</f>
        <v>32</v>
      </c>
      <c r="E840" t="str">
        <f>_xlfn.XLOOKUP(tblOrders[[#This Row],[CustomerID]],tblCustomers[CustomerID],tblCustomers[Gender],"not found")</f>
        <v>Male</v>
      </c>
      <c r="F840" t="str">
        <f>_xlfn.XLOOKUP(tblOrders[[#This Row],[CustomerID]],tblCustomers[CustomerID],tblCustomers[Region],"not found")</f>
        <v>East</v>
      </c>
      <c r="G840">
        <v>1013</v>
      </c>
      <c r="H840" t="str">
        <f>_xlfn.XLOOKUP(tblOrders[[#This Row],[ProductID]],tblProducts[ProductID],tblProducts[ProductName],"not found")</f>
        <v>Official</v>
      </c>
      <c r="I840" t="str">
        <f>_xlfn.XLOOKUP(tblOrders[[#This Row],[ProductID]],tblProducts[ProductID],tblProducts[Category],"not found")</f>
        <v>Toys</v>
      </c>
      <c r="J840">
        <f>_xlfn.XLOOKUP(tblOrders[[#This Row],[ProductID]],tblProducts[ProductID],tblProducts[UnitPrice],"not found")</f>
        <v>82.85</v>
      </c>
      <c r="K840" t="str">
        <f>_xlfn.XLOOKUP(tblOrders[[#This Row],[ProductID]],tblProducts[ProductID],tblProducts[Supplier],"not found")</f>
        <v>Johnson, Young and Davis</v>
      </c>
      <c r="L840" s="1" t="s">
        <v>2278</v>
      </c>
      <c r="M8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45289</v>
      </c>
      <c r="N840">
        <v>4</v>
      </c>
      <c r="O840">
        <v>331.4</v>
      </c>
      <c r="P840">
        <f>tblOrders[[#This Row],[Quantity]]*tblOrders[[#This Row],[Unit Price]]</f>
        <v>331.4</v>
      </c>
      <c r="Q840">
        <f>tblOrders[[#This Row],[TotalSales]]-tblOrders[[#This Row],[Calculated Sales]]</f>
        <v>0</v>
      </c>
    </row>
    <row r="841" spans="1:17" x14ac:dyDescent="0.25">
      <c r="A841">
        <v>331</v>
      </c>
      <c r="B841">
        <v>805</v>
      </c>
      <c r="C841" t="str">
        <f>_xlfn.XLOOKUP(tblOrders[[#This Row],[CustomerID]],tblCustomers[CustomerID],tblCustomers[CustomerName],"not found")</f>
        <v>Jennifer Lindsey</v>
      </c>
      <c r="D841">
        <f>_xlfn.XLOOKUP(tblOrders[[#This Row],[CustomerID]],tblCustomers[CustomerID],tblCustomers[Age],"not found")</f>
        <v>60</v>
      </c>
      <c r="E841" t="str">
        <f>_xlfn.XLOOKUP(tblOrders[[#This Row],[CustomerID]],tblCustomers[CustomerID],tblCustomers[Gender],"not found")</f>
        <v>Male</v>
      </c>
      <c r="F841" t="str">
        <f>_xlfn.XLOOKUP(tblOrders[[#This Row],[CustomerID]],tblCustomers[CustomerID],tblCustomers[Region],"not found")</f>
        <v>Central</v>
      </c>
      <c r="G841">
        <v>1013</v>
      </c>
      <c r="H841" t="str">
        <f>_xlfn.XLOOKUP(tblOrders[[#This Row],[ProductID]],tblProducts[ProductID],tblProducts[ProductName],"not found")</f>
        <v>Official</v>
      </c>
      <c r="I841" t="str">
        <f>_xlfn.XLOOKUP(tblOrders[[#This Row],[ProductID]],tblProducts[ProductID],tblProducts[Category],"not found")</f>
        <v>Toys</v>
      </c>
      <c r="J841">
        <f>_xlfn.XLOOKUP(tblOrders[[#This Row],[ProductID]],tblProducts[ProductID],tblProducts[UnitPrice],"not found")</f>
        <v>82.85</v>
      </c>
      <c r="K841" t="str">
        <f>_xlfn.XLOOKUP(tblOrders[[#This Row],[ProductID]],tblProducts[ProductID],tblProducts[Supplier],"not found")</f>
        <v>Johnson, Young and Davis</v>
      </c>
      <c r="L841" s="1">
        <v>44845</v>
      </c>
      <c r="M8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44845</v>
      </c>
      <c r="N841">
        <v>7</v>
      </c>
      <c r="O841">
        <v>579.95000000000005</v>
      </c>
      <c r="P841">
        <f>tblOrders[[#This Row],[Quantity]]*tblOrders[[#This Row],[Unit Price]]</f>
        <v>579.94999999999993</v>
      </c>
      <c r="Q841">
        <f>tblOrders[[#This Row],[TotalSales]]-tblOrders[[#This Row],[Calculated Sales]]</f>
        <v>0</v>
      </c>
    </row>
    <row r="842" spans="1:17" x14ac:dyDescent="0.25">
      <c r="A842">
        <v>640</v>
      </c>
      <c r="B842">
        <v>848</v>
      </c>
      <c r="C842" t="str">
        <f>_xlfn.XLOOKUP(tblOrders[[#This Row],[CustomerID]],tblCustomers[CustomerID],tblCustomers[CustomerName],"not found")</f>
        <v>Barbara Reese</v>
      </c>
      <c r="D842">
        <f>_xlfn.XLOOKUP(tblOrders[[#This Row],[CustomerID]],tblCustomers[CustomerID],tblCustomers[Age],"not found")</f>
        <v>44</v>
      </c>
      <c r="E842" t="str">
        <f>_xlfn.XLOOKUP(tblOrders[[#This Row],[CustomerID]],tblCustomers[CustomerID],tblCustomers[Gender],"not found")</f>
        <v>Female</v>
      </c>
      <c r="F842" t="str">
        <f>_xlfn.XLOOKUP(tblOrders[[#This Row],[CustomerID]],tblCustomers[CustomerID],tblCustomers[Region],"not found")</f>
        <v>Central</v>
      </c>
      <c r="G842">
        <v>1013</v>
      </c>
      <c r="H842" t="str">
        <f>_xlfn.XLOOKUP(tblOrders[[#This Row],[ProductID]],tblProducts[ProductID],tblProducts[ProductName],"not found")</f>
        <v>Official</v>
      </c>
      <c r="I842" t="str">
        <f>_xlfn.XLOOKUP(tblOrders[[#This Row],[ProductID]],tblProducts[ProductID],tblProducts[Category],"not found")</f>
        <v>Toys</v>
      </c>
      <c r="J842">
        <f>_xlfn.XLOOKUP(tblOrders[[#This Row],[ProductID]],tblProducts[ProductID],tblProducts[UnitPrice],"not found")</f>
        <v>82.85</v>
      </c>
      <c r="K842" t="str">
        <f>_xlfn.XLOOKUP(tblOrders[[#This Row],[ProductID]],tblProducts[ProductID],tblProducts[Supplier],"not found")</f>
        <v>Johnson, Young and Davis</v>
      </c>
      <c r="L842" s="1">
        <v>45390</v>
      </c>
      <c r="M8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45390</v>
      </c>
      <c r="N842">
        <v>7</v>
      </c>
      <c r="O842">
        <v>579.95000000000005</v>
      </c>
      <c r="P842">
        <f>tblOrders[[#This Row],[Quantity]]*tblOrders[[#This Row],[Unit Price]]</f>
        <v>579.94999999999993</v>
      </c>
      <c r="Q842">
        <f>tblOrders[[#This Row],[TotalSales]]-tblOrders[[#This Row],[Calculated Sales]]</f>
        <v>0</v>
      </c>
    </row>
    <row r="843" spans="1:17" x14ac:dyDescent="0.25">
      <c r="A843">
        <v>736</v>
      </c>
      <c r="B843">
        <v>394</v>
      </c>
      <c r="C843" t="str">
        <f>_xlfn.XLOOKUP(tblOrders[[#This Row],[CustomerID]],tblCustomers[CustomerID],tblCustomers[CustomerName],"not found")</f>
        <v>Lori Roberts</v>
      </c>
      <c r="D843">
        <f>_xlfn.XLOOKUP(tblOrders[[#This Row],[CustomerID]],tblCustomers[CustomerID],tblCustomers[Age],"not found")</f>
        <v>35</v>
      </c>
      <c r="E843" t="str">
        <f>_xlfn.XLOOKUP(tblOrders[[#This Row],[CustomerID]],tblCustomers[CustomerID],tblCustomers[Gender],"not found")</f>
        <v>Female</v>
      </c>
      <c r="F843" t="str">
        <f>_xlfn.XLOOKUP(tblOrders[[#This Row],[CustomerID]],tblCustomers[CustomerID],tblCustomers[Region],"not found")</f>
        <v>East</v>
      </c>
      <c r="G843">
        <v>1013</v>
      </c>
      <c r="H843" t="str">
        <f>_xlfn.XLOOKUP(tblOrders[[#This Row],[ProductID]],tblProducts[ProductID],tblProducts[ProductName],"not found")</f>
        <v>Official</v>
      </c>
      <c r="I843" t="str">
        <f>_xlfn.XLOOKUP(tblOrders[[#This Row],[ProductID]],tblProducts[ProductID],tblProducts[Category],"not found")</f>
        <v>Toys</v>
      </c>
      <c r="J843">
        <f>_xlfn.XLOOKUP(tblOrders[[#This Row],[ProductID]],tblProducts[ProductID],tblProducts[UnitPrice],"not found")</f>
        <v>82.85</v>
      </c>
      <c r="K843" t="str">
        <f>_xlfn.XLOOKUP(tblOrders[[#This Row],[ProductID]],tblProducts[ProductID],tblProducts[Supplier],"not found")</f>
        <v>Johnson, Young and Davis</v>
      </c>
      <c r="L843" s="1" t="s">
        <v>2162</v>
      </c>
      <c r="M8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45588</v>
      </c>
      <c r="N843">
        <v>1</v>
      </c>
      <c r="O843">
        <v>82.85</v>
      </c>
      <c r="P843">
        <f>tblOrders[[#This Row],[Quantity]]*tblOrders[[#This Row],[Unit Price]]</f>
        <v>82.85</v>
      </c>
      <c r="Q843">
        <f>tblOrders[[#This Row],[TotalSales]]-tblOrders[[#This Row],[Calculated Sales]]</f>
        <v>0</v>
      </c>
    </row>
    <row r="844" spans="1:17" x14ac:dyDescent="0.25">
      <c r="A844">
        <v>932</v>
      </c>
      <c r="B844">
        <v>268</v>
      </c>
      <c r="C844" t="str">
        <f>_xlfn.XLOOKUP(tblOrders[[#This Row],[CustomerID]],tblCustomers[CustomerID],tblCustomers[CustomerName],"not found")</f>
        <v>Joshua Singleton</v>
      </c>
      <c r="D844">
        <f>_xlfn.XLOOKUP(tblOrders[[#This Row],[CustomerID]],tblCustomers[CustomerID],tblCustomers[Age],"not found")</f>
        <v>30</v>
      </c>
      <c r="E844" t="str">
        <f>_xlfn.XLOOKUP(tblOrders[[#This Row],[CustomerID]],tblCustomers[CustomerID],tblCustomers[Gender],"not found")</f>
        <v>Female</v>
      </c>
      <c r="F844" t="str">
        <f>_xlfn.XLOOKUP(tblOrders[[#This Row],[CustomerID]],tblCustomers[CustomerID],tblCustomers[Region],"not found")</f>
        <v>Central</v>
      </c>
      <c r="G844">
        <v>1013</v>
      </c>
      <c r="H844" t="str">
        <f>_xlfn.XLOOKUP(tblOrders[[#This Row],[ProductID]],tblProducts[ProductID],tblProducts[ProductName],"not found")</f>
        <v>Official</v>
      </c>
      <c r="I844" t="str">
        <f>_xlfn.XLOOKUP(tblOrders[[#This Row],[ProductID]],tblProducts[ProductID],tblProducts[Category],"not found")</f>
        <v>Toys</v>
      </c>
      <c r="J844">
        <f>_xlfn.XLOOKUP(tblOrders[[#This Row],[ProductID]],tblProducts[ProductID],tblProducts[UnitPrice],"not found")</f>
        <v>82.85</v>
      </c>
      <c r="K844" t="str">
        <f>_xlfn.XLOOKUP(tblOrders[[#This Row],[ProductID]],tblProducts[ProductID],tblProducts[Supplier],"not found")</f>
        <v>Johnson, Young and Davis</v>
      </c>
      <c r="L844" s="1">
        <v>45606</v>
      </c>
      <c r="M8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45606</v>
      </c>
      <c r="N844">
        <v>8</v>
      </c>
      <c r="O844">
        <v>662.8</v>
      </c>
      <c r="P844">
        <f>tblOrders[[#This Row],[Quantity]]*tblOrders[[#This Row],[Unit Price]]</f>
        <v>662.8</v>
      </c>
      <c r="Q844">
        <f>tblOrders[[#This Row],[TotalSales]]-tblOrders[[#This Row],[Calculated Sales]]</f>
        <v>0</v>
      </c>
    </row>
    <row r="845" spans="1:17" x14ac:dyDescent="0.25">
      <c r="A845">
        <v>1326</v>
      </c>
      <c r="B845">
        <v>985</v>
      </c>
      <c r="C845" t="str">
        <f>_xlfn.XLOOKUP(tblOrders[[#This Row],[CustomerID]],tblCustomers[CustomerID],tblCustomers[CustomerName],"not found")</f>
        <v>Juan Miller</v>
      </c>
      <c r="D845">
        <f>_xlfn.XLOOKUP(tblOrders[[#This Row],[CustomerID]],tblCustomers[CustomerID],tblCustomers[Age],"not found")</f>
        <v>30</v>
      </c>
      <c r="E845" t="str">
        <f>_xlfn.XLOOKUP(tblOrders[[#This Row],[CustomerID]],tblCustomers[CustomerID],tblCustomers[Gender],"not found")</f>
        <v>Female</v>
      </c>
      <c r="F845" t="str">
        <f>_xlfn.XLOOKUP(tblOrders[[#This Row],[CustomerID]],tblCustomers[CustomerID],tblCustomers[Region],"not found")</f>
        <v>North</v>
      </c>
      <c r="G845">
        <v>1013</v>
      </c>
      <c r="H845" t="str">
        <f>_xlfn.XLOOKUP(tblOrders[[#This Row],[ProductID]],tblProducts[ProductID],tblProducts[ProductName],"not found")</f>
        <v>Official</v>
      </c>
      <c r="I845" t="str">
        <f>_xlfn.XLOOKUP(tblOrders[[#This Row],[ProductID]],tblProducts[ProductID],tblProducts[Category],"not found")</f>
        <v>Toys</v>
      </c>
      <c r="J845">
        <f>_xlfn.XLOOKUP(tblOrders[[#This Row],[ProductID]],tblProducts[ProductID],tblProducts[UnitPrice],"not found")</f>
        <v>82.85</v>
      </c>
      <c r="K845" t="str">
        <f>_xlfn.XLOOKUP(tblOrders[[#This Row],[ProductID]],tblProducts[ProductID],tblProducts[Supplier],"not found")</f>
        <v>Johnson, Young and Davis</v>
      </c>
      <c r="L845" s="1" t="s">
        <v>2167</v>
      </c>
      <c r="M8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45273</v>
      </c>
      <c r="N845">
        <v>1</v>
      </c>
      <c r="O845">
        <v>82.85</v>
      </c>
      <c r="P845">
        <f>tblOrders[[#This Row],[Quantity]]*tblOrders[[#This Row],[Unit Price]]</f>
        <v>82.85</v>
      </c>
      <c r="Q845">
        <f>tblOrders[[#This Row],[TotalSales]]-tblOrders[[#This Row],[Calculated Sales]]</f>
        <v>0</v>
      </c>
    </row>
    <row r="846" spans="1:17" x14ac:dyDescent="0.25">
      <c r="A846">
        <v>1634</v>
      </c>
      <c r="B846">
        <v>568</v>
      </c>
      <c r="C846" t="str">
        <f>_xlfn.XLOOKUP(tblOrders[[#This Row],[CustomerID]],tblCustomers[CustomerID],tblCustomers[CustomerName],"not found")</f>
        <v>Wayne Fernandez</v>
      </c>
      <c r="D846">
        <f>_xlfn.XLOOKUP(tblOrders[[#This Row],[CustomerID]],tblCustomers[CustomerID],tblCustomers[Age],"not found")</f>
        <v>31</v>
      </c>
      <c r="E846" t="str">
        <f>_xlfn.XLOOKUP(tblOrders[[#This Row],[CustomerID]],tblCustomers[CustomerID],tblCustomers[Gender],"not found")</f>
        <v>Male</v>
      </c>
      <c r="F846" t="str">
        <f>_xlfn.XLOOKUP(tblOrders[[#This Row],[CustomerID]],tblCustomers[CustomerID],tblCustomers[Region],"not found")</f>
        <v>Central</v>
      </c>
      <c r="G846">
        <v>1013</v>
      </c>
      <c r="H846" t="str">
        <f>_xlfn.XLOOKUP(tblOrders[[#This Row],[ProductID]],tblProducts[ProductID],tblProducts[ProductName],"not found")</f>
        <v>Official</v>
      </c>
      <c r="I846" t="str">
        <f>_xlfn.XLOOKUP(tblOrders[[#This Row],[ProductID]],tblProducts[ProductID],tblProducts[Category],"not found")</f>
        <v>Toys</v>
      </c>
      <c r="J846">
        <f>_xlfn.XLOOKUP(tblOrders[[#This Row],[ProductID]],tblProducts[ProductID],tblProducts[UnitPrice],"not found")</f>
        <v>82.85</v>
      </c>
      <c r="K846" t="str">
        <f>_xlfn.XLOOKUP(tblOrders[[#This Row],[ProductID]],tblProducts[ProductID],tblProducts[Supplier],"not found")</f>
        <v>Johnson, Young and Davis</v>
      </c>
      <c r="L846" s="1" t="s">
        <v>2311</v>
      </c>
      <c r="M8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45033</v>
      </c>
      <c r="N846">
        <v>8</v>
      </c>
      <c r="O846">
        <v>662.8</v>
      </c>
      <c r="P846">
        <f>tblOrders[[#This Row],[Quantity]]*tblOrders[[#This Row],[Unit Price]]</f>
        <v>662.8</v>
      </c>
      <c r="Q846">
        <f>tblOrders[[#This Row],[TotalSales]]-tblOrders[[#This Row],[Calculated Sales]]</f>
        <v>0</v>
      </c>
    </row>
    <row r="847" spans="1:17" x14ac:dyDescent="0.25">
      <c r="A847">
        <v>1797</v>
      </c>
      <c r="B847">
        <v>77</v>
      </c>
      <c r="C847" t="str">
        <f>_xlfn.XLOOKUP(tblOrders[[#This Row],[CustomerID]],tblCustomers[CustomerID],tblCustomers[CustomerName],"not found")</f>
        <v>Melissa Flores</v>
      </c>
      <c r="D847">
        <f>_xlfn.XLOOKUP(tblOrders[[#This Row],[CustomerID]],tblCustomers[CustomerID],tblCustomers[Age],"not found")</f>
        <v>69</v>
      </c>
      <c r="E847" t="str">
        <f>_xlfn.XLOOKUP(tblOrders[[#This Row],[CustomerID]],tblCustomers[CustomerID],tblCustomers[Gender],"not found")</f>
        <v>Female</v>
      </c>
      <c r="F847" t="str">
        <f>_xlfn.XLOOKUP(tblOrders[[#This Row],[CustomerID]],tblCustomers[CustomerID],tblCustomers[Region],"not found")</f>
        <v>Central</v>
      </c>
      <c r="G847">
        <v>1013</v>
      </c>
      <c r="H847" t="str">
        <f>_xlfn.XLOOKUP(tblOrders[[#This Row],[ProductID]],tblProducts[ProductID],tblProducts[ProductName],"not found")</f>
        <v>Official</v>
      </c>
      <c r="I847" t="str">
        <f>_xlfn.XLOOKUP(tblOrders[[#This Row],[ProductID]],tblProducts[ProductID],tblProducts[Category],"not found")</f>
        <v>Toys</v>
      </c>
      <c r="J847">
        <f>_xlfn.XLOOKUP(tblOrders[[#This Row],[ProductID]],tblProducts[ProductID],tblProducts[UnitPrice],"not found")</f>
        <v>82.85</v>
      </c>
      <c r="K847" t="str">
        <f>_xlfn.XLOOKUP(tblOrders[[#This Row],[ProductID]],tblProducts[ProductID],tblProducts[Supplier],"not found")</f>
        <v>Johnson, Young and Davis</v>
      </c>
      <c r="L847" s="1">
        <v>45444</v>
      </c>
      <c r="M8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45444</v>
      </c>
      <c r="N847">
        <v>8</v>
      </c>
      <c r="O847">
        <v>662.8</v>
      </c>
      <c r="P847">
        <f>tblOrders[[#This Row],[Quantity]]*tblOrders[[#This Row],[Unit Price]]</f>
        <v>662.8</v>
      </c>
      <c r="Q847">
        <f>tblOrders[[#This Row],[TotalSales]]-tblOrders[[#This Row],[Calculated Sales]]</f>
        <v>0</v>
      </c>
    </row>
    <row r="848" spans="1:17" x14ac:dyDescent="0.25">
      <c r="A848">
        <v>1853</v>
      </c>
      <c r="B848">
        <v>39</v>
      </c>
      <c r="C848" t="str">
        <f>_xlfn.XLOOKUP(tblOrders[[#This Row],[CustomerID]],tblCustomers[CustomerID],tblCustomers[CustomerName],"not found")</f>
        <v>Matthew Hernandez</v>
      </c>
      <c r="D848">
        <f>_xlfn.XLOOKUP(tblOrders[[#This Row],[CustomerID]],tblCustomers[CustomerID],tblCustomers[Age],"not found")</f>
        <v>41</v>
      </c>
      <c r="E848" t="str">
        <f>_xlfn.XLOOKUP(tblOrders[[#This Row],[CustomerID]],tblCustomers[CustomerID],tblCustomers[Gender],"not found")</f>
        <v>Female</v>
      </c>
      <c r="F848" t="str">
        <f>_xlfn.XLOOKUP(tblOrders[[#This Row],[CustomerID]],tblCustomers[CustomerID],tblCustomers[Region],"not found")</f>
        <v>Central</v>
      </c>
      <c r="G848">
        <v>1013</v>
      </c>
      <c r="H848" t="str">
        <f>_xlfn.XLOOKUP(tblOrders[[#This Row],[ProductID]],tblProducts[ProductID],tblProducts[ProductName],"not found")</f>
        <v>Official</v>
      </c>
      <c r="I848" t="str">
        <f>_xlfn.XLOOKUP(tblOrders[[#This Row],[ProductID]],tblProducts[ProductID],tblProducts[Category],"not found")</f>
        <v>Toys</v>
      </c>
      <c r="J848">
        <f>_xlfn.XLOOKUP(tblOrders[[#This Row],[ProductID]],tblProducts[ProductID],tblProducts[UnitPrice],"not found")</f>
        <v>82.85</v>
      </c>
      <c r="K848" t="str">
        <f>_xlfn.XLOOKUP(tblOrders[[#This Row],[ProductID]],tblProducts[ProductID],tblProducts[Supplier],"not found")</f>
        <v>Johnson, Young and Davis</v>
      </c>
      <c r="L848" s="1" t="s">
        <v>2312</v>
      </c>
      <c r="M8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45380</v>
      </c>
      <c r="N848">
        <v>6</v>
      </c>
      <c r="O848">
        <v>497.1</v>
      </c>
      <c r="P848">
        <f>tblOrders[[#This Row],[Quantity]]*tblOrders[[#This Row],[Unit Price]]</f>
        <v>497.09999999999997</v>
      </c>
      <c r="Q848">
        <f>tblOrders[[#This Row],[TotalSales]]-tblOrders[[#This Row],[Calculated Sales]]</f>
        <v>0</v>
      </c>
    </row>
    <row r="849" spans="1:17" x14ac:dyDescent="0.25">
      <c r="A849">
        <v>1934</v>
      </c>
      <c r="B849">
        <v>762</v>
      </c>
      <c r="C849" t="str">
        <f>_xlfn.XLOOKUP(tblOrders[[#This Row],[CustomerID]],tblCustomers[CustomerID],tblCustomers[CustomerName],"not found")</f>
        <v>Stephanie Rivera</v>
      </c>
      <c r="D849">
        <f>_xlfn.XLOOKUP(tblOrders[[#This Row],[CustomerID]],tblCustomers[CustomerID],tblCustomers[Age],"not found")</f>
        <v>28</v>
      </c>
      <c r="E849" t="str">
        <f>_xlfn.XLOOKUP(tblOrders[[#This Row],[CustomerID]],tblCustomers[CustomerID],tblCustomers[Gender],"not found")</f>
        <v>Female</v>
      </c>
      <c r="F849" t="str">
        <f>_xlfn.XLOOKUP(tblOrders[[#This Row],[CustomerID]],tblCustomers[CustomerID],tblCustomers[Region],"not found")</f>
        <v>North</v>
      </c>
      <c r="G849">
        <v>1013</v>
      </c>
      <c r="H849" t="str">
        <f>_xlfn.XLOOKUP(tblOrders[[#This Row],[ProductID]],tblProducts[ProductID],tblProducts[ProductName],"not found")</f>
        <v>Official</v>
      </c>
      <c r="I849" t="str">
        <f>_xlfn.XLOOKUP(tblOrders[[#This Row],[ProductID]],tblProducts[ProductID],tblProducts[Category],"not found")</f>
        <v>Toys</v>
      </c>
      <c r="J849">
        <f>_xlfn.XLOOKUP(tblOrders[[#This Row],[ProductID]],tblProducts[ProductID],tblProducts[UnitPrice],"not found")</f>
        <v>82.85</v>
      </c>
      <c r="K849" t="str">
        <f>_xlfn.XLOOKUP(tblOrders[[#This Row],[ProductID]],tblProducts[ProductID],tblProducts[Supplier],"not found")</f>
        <v>Johnson, Young and Davis</v>
      </c>
      <c r="L849" s="1" t="s">
        <v>2281</v>
      </c>
      <c r="M8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45014</v>
      </c>
      <c r="N849">
        <v>7</v>
      </c>
      <c r="O849">
        <v>579.95000000000005</v>
      </c>
      <c r="P849">
        <f>tblOrders[[#This Row],[Quantity]]*tblOrders[[#This Row],[Unit Price]]</f>
        <v>579.94999999999993</v>
      </c>
      <c r="Q849">
        <f>tblOrders[[#This Row],[TotalSales]]-tblOrders[[#This Row],[Calculated Sales]]</f>
        <v>0</v>
      </c>
    </row>
    <row r="850" spans="1:17" x14ac:dyDescent="0.25">
      <c r="A850">
        <v>46</v>
      </c>
      <c r="B850">
        <v>77</v>
      </c>
      <c r="C850" t="str">
        <f>_xlfn.XLOOKUP(tblOrders[[#This Row],[CustomerID]],tblCustomers[CustomerID],tblCustomers[CustomerName],"not found")</f>
        <v>Melissa Flores</v>
      </c>
      <c r="D850">
        <f>_xlfn.XLOOKUP(tblOrders[[#This Row],[CustomerID]],tblCustomers[CustomerID],tblCustomers[Age],"not found")</f>
        <v>69</v>
      </c>
      <c r="E850" t="str">
        <f>_xlfn.XLOOKUP(tblOrders[[#This Row],[CustomerID]],tblCustomers[CustomerID],tblCustomers[Gender],"not found")</f>
        <v>Female</v>
      </c>
      <c r="F850" t="str">
        <f>_xlfn.XLOOKUP(tblOrders[[#This Row],[CustomerID]],tblCustomers[CustomerID],tblCustomers[Region],"not found")</f>
        <v>Central</v>
      </c>
      <c r="G850">
        <v>1061</v>
      </c>
      <c r="H850" t="str">
        <f>_xlfn.XLOOKUP(tblOrders[[#This Row],[ProductID]],tblProducts[ProductID],tblProducts[ProductName],"not found")</f>
        <v>State</v>
      </c>
      <c r="I850" t="str">
        <f>_xlfn.XLOOKUP(tblOrders[[#This Row],[ProductID]],tblProducts[ProductID],tblProducts[Category],"not found")</f>
        <v>Furniture</v>
      </c>
      <c r="J850">
        <f>_xlfn.XLOOKUP(tblOrders[[#This Row],[ProductID]],tblProducts[ProductID],tblProducts[UnitPrice],"not found")</f>
        <v>434.18</v>
      </c>
      <c r="K850" t="str">
        <f>_xlfn.XLOOKUP(tblOrders[[#This Row],[ProductID]],tblProducts[ProductID],tblProducts[Supplier],"not found")</f>
        <v>Ball-Russell</v>
      </c>
      <c r="L850" s="1" t="s">
        <v>2313</v>
      </c>
      <c r="M8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45494</v>
      </c>
      <c r="N850">
        <v>1</v>
      </c>
      <c r="O850">
        <v>434.18</v>
      </c>
      <c r="P850">
        <f>tblOrders[[#This Row],[Quantity]]*tblOrders[[#This Row],[Unit Price]]</f>
        <v>434.18</v>
      </c>
      <c r="Q850">
        <f>tblOrders[[#This Row],[TotalSales]]-tblOrders[[#This Row],[Calculated Sales]]</f>
        <v>0</v>
      </c>
    </row>
    <row r="851" spans="1:17" x14ac:dyDescent="0.25">
      <c r="A851">
        <v>96</v>
      </c>
      <c r="B851">
        <v>454</v>
      </c>
      <c r="C851" t="str">
        <f>_xlfn.XLOOKUP(tblOrders[[#This Row],[CustomerID]],tblCustomers[CustomerID],tblCustomers[CustomerName],"not found")</f>
        <v>Jennifer Alvarez</v>
      </c>
      <c r="D851">
        <f>_xlfn.XLOOKUP(tblOrders[[#This Row],[CustomerID]],tblCustomers[CustomerID],tblCustomers[Age],"not found")</f>
        <v>67</v>
      </c>
      <c r="E851" t="str">
        <f>_xlfn.XLOOKUP(tblOrders[[#This Row],[CustomerID]],tblCustomers[CustomerID],tblCustomers[Gender],"not found")</f>
        <v>Male</v>
      </c>
      <c r="F851" t="str">
        <f>_xlfn.XLOOKUP(tblOrders[[#This Row],[CustomerID]],tblCustomers[CustomerID],tblCustomers[Region],"not found")</f>
        <v>Central</v>
      </c>
      <c r="G851">
        <v>1061</v>
      </c>
      <c r="H851" t="str">
        <f>_xlfn.XLOOKUP(tblOrders[[#This Row],[ProductID]],tblProducts[ProductID],tblProducts[ProductName],"not found")</f>
        <v>State</v>
      </c>
      <c r="I851" t="str">
        <f>_xlfn.XLOOKUP(tblOrders[[#This Row],[ProductID]],tblProducts[ProductID],tblProducts[Category],"not found")</f>
        <v>Furniture</v>
      </c>
      <c r="J851">
        <f>_xlfn.XLOOKUP(tblOrders[[#This Row],[ProductID]],tblProducts[ProductID],tblProducts[UnitPrice],"not found")</f>
        <v>434.18</v>
      </c>
      <c r="K851" t="str">
        <f>_xlfn.XLOOKUP(tblOrders[[#This Row],[ProductID]],tblProducts[ProductID],tblProducts[Supplier],"not found")</f>
        <v>Ball-Russell</v>
      </c>
      <c r="L851" s="1">
        <v>45597</v>
      </c>
      <c r="M8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851">
        <v>2</v>
      </c>
      <c r="O851">
        <v>868.36</v>
      </c>
      <c r="P851">
        <f>tblOrders[[#This Row],[Quantity]]*tblOrders[[#This Row],[Unit Price]]</f>
        <v>868.36</v>
      </c>
      <c r="Q851">
        <f>tblOrders[[#This Row],[TotalSales]]-tblOrders[[#This Row],[Calculated Sales]]</f>
        <v>0</v>
      </c>
    </row>
    <row r="852" spans="1:17" x14ac:dyDescent="0.25">
      <c r="A852">
        <v>180</v>
      </c>
      <c r="B852">
        <v>151</v>
      </c>
      <c r="C852" t="str">
        <f>_xlfn.XLOOKUP(tblOrders[[#This Row],[CustomerID]],tblCustomers[CustomerID],tblCustomers[CustomerName],"not found")</f>
        <v>David Page</v>
      </c>
      <c r="D852">
        <f>_xlfn.XLOOKUP(tblOrders[[#This Row],[CustomerID]],tblCustomers[CustomerID],tblCustomers[Age],"not found")</f>
        <v>60</v>
      </c>
      <c r="E852" t="str">
        <f>_xlfn.XLOOKUP(tblOrders[[#This Row],[CustomerID]],tblCustomers[CustomerID],tblCustomers[Gender],"not found")</f>
        <v>Female</v>
      </c>
      <c r="F852" t="str">
        <f>_xlfn.XLOOKUP(tblOrders[[#This Row],[CustomerID]],tblCustomers[CustomerID],tblCustomers[Region],"not found")</f>
        <v>South</v>
      </c>
      <c r="G852">
        <v>1061</v>
      </c>
      <c r="H852" t="str">
        <f>_xlfn.XLOOKUP(tblOrders[[#This Row],[ProductID]],tblProducts[ProductID],tblProducts[ProductName],"not found")</f>
        <v>State</v>
      </c>
      <c r="I852" t="str">
        <f>_xlfn.XLOOKUP(tblOrders[[#This Row],[ProductID]],tblProducts[ProductID],tblProducts[Category],"not found")</f>
        <v>Furniture</v>
      </c>
      <c r="J852">
        <f>_xlfn.XLOOKUP(tblOrders[[#This Row],[ProductID]],tblProducts[ProductID],tblProducts[UnitPrice],"not found")</f>
        <v>434.18</v>
      </c>
      <c r="K852" t="str">
        <f>_xlfn.XLOOKUP(tblOrders[[#This Row],[ProductID]],tblProducts[ProductID],tblProducts[Supplier],"not found")</f>
        <v>Ball-Russell</v>
      </c>
      <c r="L852" s="1" t="s">
        <v>2236</v>
      </c>
      <c r="M8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45137</v>
      </c>
      <c r="N852">
        <v>6</v>
      </c>
      <c r="O852">
        <v>2605.08</v>
      </c>
      <c r="P852">
        <f>tblOrders[[#This Row],[Quantity]]*tblOrders[[#This Row],[Unit Price]]</f>
        <v>2605.08</v>
      </c>
      <c r="Q852">
        <f>tblOrders[[#This Row],[TotalSales]]-tblOrders[[#This Row],[Calculated Sales]]</f>
        <v>0</v>
      </c>
    </row>
    <row r="853" spans="1:17" x14ac:dyDescent="0.25">
      <c r="A853">
        <v>300</v>
      </c>
      <c r="B853">
        <v>246</v>
      </c>
      <c r="C853" t="str">
        <f>_xlfn.XLOOKUP(tblOrders[[#This Row],[CustomerID]],tblCustomers[CustomerID],tblCustomers[CustomerName],"not found")</f>
        <v>Jesse Cox</v>
      </c>
      <c r="D853">
        <f>_xlfn.XLOOKUP(tblOrders[[#This Row],[CustomerID]],tblCustomers[CustomerID],tblCustomers[Age],"not found")</f>
        <v>45</v>
      </c>
      <c r="E853" t="str">
        <f>_xlfn.XLOOKUP(tblOrders[[#This Row],[CustomerID]],tblCustomers[CustomerID],tblCustomers[Gender],"not found")</f>
        <v>Male</v>
      </c>
      <c r="F853" t="str">
        <f>_xlfn.XLOOKUP(tblOrders[[#This Row],[CustomerID]],tblCustomers[CustomerID],tblCustomers[Region],"not found")</f>
        <v>West</v>
      </c>
      <c r="G853">
        <v>1061</v>
      </c>
      <c r="H853" t="str">
        <f>_xlfn.XLOOKUP(tblOrders[[#This Row],[ProductID]],tblProducts[ProductID],tblProducts[ProductName],"not found")</f>
        <v>State</v>
      </c>
      <c r="I853" t="str">
        <f>_xlfn.XLOOKUP(tblOrders[[#This Row],[ProductID]],tblProducts[ProductID],tblProducts[Category],"not found")</f>
        <v>Furniture</v>
      </c>
      <c r="J853">
        <f>_xlfn.XLOOKUP(tblOrders[[#This Row],[ProductID]],tblProducts[ProductID],tblProducts[UnitPrice],"not found")</f>
        <v>434.18</v>
      </c>
      <c r="K853" t="str">
        <f>_xlfn.XLOOKUP(tblOrders[[#This Row],[ProductID]],tblProducts[ProductID],tblProducts[Supplier],"not found")</f>
        <v>Ball-Russell</v>
      </c>
      <c r="L853" s="1" t="s">
        <v>2231</v>
      </c>
      <c r="M8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45587</v>
      </c>
      <c r="N853">
        <v>6</v>
      </c>
      <c r="O853">
        <v>2605.08</v>
      </c>
      <c r="P853">
        <f>tblOrders[[#This Row],[Quantity]]*tblOrders[[#This Row],[Unit Price]]</f>
        <v>2605.08</v>
      </c>
      <c r="Q853">
        <f>tblOrders[[#This Row],[TotalSales]]-tblOrders[[#This Row],[Calculated Sales]]</f>
        <v>0</v>
      </c>
    </row>
    <row r="854" spans="1:17" x14ac:dyDescent="0.25">
      <c r="A854">
        <v>315</v>
      </c>
      <c r="B854">
        <v>408</v>
      </c>
      <c r="C854" t="str">
        <f>_xlfn.XLOOKUP(tblOrders[[#This Row],[CustomerID]],tblCustomers[CustomerID],tblCustomers[CustomerName],"not found")</f>
        <v>Alan Parks</v>
      </c>
      <c r="D854">
        <f>_xlfn.XLOOKUP(tblOrders[[#This Row],[CustomerID]],tblCustomers[CustomerID],tblCustomers[Age],"not found")</f>
        <v>66</v>
      </c>
      <c r="E854" t="str">
        <f>_xlfn.XLOOKUP(tblOrders[[#This Row],[CustomerID]],tblCustomers[CustomerID],tblCustomers[Gender],"not found")</f>
        <v>Female</v>
      </c>
      <c r="F854" t="str">
        <f>_xlfn.XLOOKUP(tblOrders[[#This Row],[CustomerID]],tblCustomers[CustomerID],tblCustomers[Region],"not found")</f>
        <v>Central</v>
      </c>
      <c r="G854">
        <v>1061</v>
      </c>
      <c r="H854" t="str">
        <f>_xlfn.XLOOKUP(tblOrders[[#This Row],[ProductID]],tblProducts[ProductID],tblProducts[ProductName],"not found")</f>
        <v>State</v>
      </c>
      <c r="I854" t="str">
        <f>_xlfn.XLOOKUP(tblOrders[[#This Row],[ProductID]],tblProducts[ProductID],tblProducts[Category],"not found")</f>
        <v>Furniture</v>
      </c>
      <c r="J854">
        <f>_xlfn.XLOOKUP(tblOrders[[#This Row],[ProductID]],tblProducts[ProductID],tblProducts[UnitPrice],"not found")</f>
        <v>434.18</v>
      </c>
      <c r="K854" t="str">
        <f>_xlfn.XLOOKUP(tblOrders[[#This Row],[ProductID]],tblProducts[ProductID],tblProducts[Supplier],"not found")</f>
        <v>Ball-Russell</v>
      </c>
      <c r="L854" s="1" t="s">
        <v>2219</v>
      </c>
      <c r="M8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45036</v>
      </c>
      <c r="N854">
        <v>2</v>
      </c>
      <c r="O854">
        <v>868.36</v>
      </c>
      <c r="P854">
        <f>tblOrders[[#This Row],[Quantity]]*tblOrders[[#This Row],[Unit Price]]</f>
        <v>868.36</v>
      </c>
      <c r="Q854">
        <f>tblOrders[[#This Row],[TotalSales]]-tblOrders[[#This Row],[Calculated Sales]]</f>
        <v>0</v>
      </c>
    </row>
    <row r="855" spans="1:17" x14ac:dyDescent="0.25">
      <c r="A855">
        <v>583</v>
      </c>
      <c r="B855">
        <v>345</v>
      </c>
      <c r="C855" t="str">
        <f>_xlfn.XLOOKUP(tblOrders[[#This Row],[CustomerID]],tblCustomers[CustomerID],tblCustomers[CustomerName],"not found")</f>
        <v>Sarah Cummings</v>
      </c>
      <c r="D855">
        <f>_xlfn.XLOOKUP(tblOrders[[#This Row],[CustomerID]],tblCustomers[CustomerID],tblCustomers[Age],"not found")</f>
        <v>27</v>
      </c>
      <c r="E855" t="str">
        <f>_xlfn.XLOOKUP(tblOrders[[#This Row],[CustomerID]],tblCustomers[CustomerID],tblCustomers[Gender],"not found")</f>
        <v>Male</v>
      </c>
      <c r="F855" t="str">
        <f>_xlfn.XLOOKUP(tblOrders[[#This Row],[CustomerID]],tblCustomers[CustomerID],tblCustomers[Region],"not found")</f>
        <v>North</v>
      </c>
      <c r="G855">
        <v>1061</v>
      </c>
      <c r="H855" t="str">
        <f>_xlfn.XLOOKUP(tblOrders[[#This Row],[ProductID]],tblProducts[ProductID],tblProducts[ProductName],"not found")</f>
        <v>State</v>
      </c>
      <c r="I855" t="str">
        <f>_xlfn.XLOOKUP(tblOrders[[#This Row],[ProductID]],tblProducts[ProductID],tblProducts[Category],"not found")</f>
        <v>Furniture</v>
      </c>
      <c r="J855">
        <f>_xlfn.XLOOKUP(tblOrders[[#This Row],[ProductID]],tblProducts[ProductID],tblProducts[UnitPrice],"not found")</f>
        <v>434.18</v>
      </c>
      <c r="K855" t="str">
        <f>_xlfn.XLOOKUP(tblOrders[[#This Row],[ProductID]],tblProducts[ProductID],tblProducts[Supplier],"not found")</f>
        <v>Ball-Russell</v>
      </c>
      <c r="L855" s="1" t="s">
        <v>2314</v>
      </c>
      <c r="M8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44923</v>
      </c>
      <c r="N855">
        <v>7</v>
      </c>
      <c r="O855">
        <v>3039.26</v>
      </c>
      <c r="P855">
        <f>tblOrders[[#This Row],[Quantity]]*tblOrders[[#This Row],[Unit Price]]</f>
        <v>3039.26</v>
      </c>
      <c r="Q855">
        <f>tblOrders[[#This Row],[TotalSales]]-tblOrders[[#This Row],[Calculated Sales]]</f>
        <v>0</v>
      </c>
    </row>
    <row r="856" spans="1:17" x14ac:dyDescent="0.25">
      <c r="A856">
        <v>665</v>
      </c>
      <c r="B856">
        <v>997</v>
      </c>
      <c r="C856" t="str">
        <f>_xlfn.XLOOKUP(tblOrders[[#This Row],[CustomerID]],tblCustomers[CustomerID],tblCustomers[CustomerName],"not found")</f>
        <v>Alison Ward</v>
      </c>
      <c r="D856">
        <f>_xlfn.XLOOKUP(tblOrders[[#This Row],[CustomerID]],tblCustomers[CustomerID],tblCustomers[Age],"not found")</f>
        <v>41</v>
      </c>
      <c r="E856" t="str">
        <f>_xlfn.XLOOKUP(tblOrders[[#This Row],[CustomerID]],tblCustomers[CustomerID],tblCustomers[Gender],"not found")</f>
        <v>Male</v>
      </c>
      <c r="F856" t="str">
        <f>_xlfn.XLOOKUP(tblOrders[[#This Row],[CustomerID]],tblCustomers[CustomerID],tblCustomers[Region],"not found")</f>
        <v>South</v>
      </c>
      <c r="G856">
        <v>1061</v>
      </c>
      <c r="H856" t="str">
        <f>_xlfn.XLOOKUP(tblOrders[[#This Row],[ProductID]],tblProducts[ProductID],tblProducts[ProductName],"not found")</f>
        <v>State</v>
      </c>
      <c r="I856" t="str">
        <f>_xlfn.XLOOKUP(tblOrders[[#This Row],[ProductID]],tblProducts[ProductID],tblProducts[Category],"not found")</f>
        <v>Furniture</v>
      </c>
      <c r="J856">
        <f>_xlfn.XLOOKUP(tblOrders[[#This Row],[ProductID]],tblProducts[ProductID],tblProducts[UnitPrice],"not found")</f>
        <v>434.18</v>
      </c>
      <c r="K856" t="str">
        <f>_xlfn.XLOOKUP(tblOrders[[#This Row],[ProductID]],tblProducts[ProductID],tblProducts[Supplier],"not found")</f>
        <v>Ball-Russell</v>
      </c>
      <c r="L856" s="1">
        <v>44966</v>
      </c>
      <c r="M8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44966</v>
      </c>
      <c r="N856">
        <v>5</v>
      </c>
      <c r="O856">
        <v>2170.9</v>
      </c>
      <c r="P856">
        <f>tblOrders[[#This Row],[Quantity]]*tblOrders[[#This Row],[Unit Price]]</f>
        <v>2170.9</v>
      </c>
      <c r="Q856">
        <f>tblOrders[[#This Row],[TotalSales]]-tblOrders[[#This Row],[Calculated Sales]]</f>
        <v>0</v>
      </c>
    </row>
    <row r="857" spans="1:17" x14ac:dyDescent="0.25">
      <c r="A857">
        <v>704</v>
      </c>
      <c r="B857">
        <v>57</v>
      </c>
      <c r="C857" t="str">
        <f>_xlfn.XLOOKUP(tblOrders[[#This Row],[CustomerID]],tblCustomers[CustomerID],tblCustomers[CustomerName],"not found")</f>
        <v>Lisa Davis</v>
      </c>
      <c r="D857">
        <f>_xlfn.XLOOKUP(tblOrders[[#This Row],[CustomerID]],tblCustomers[CustomerID],tblCustomers[Age],"not found")</f>
        <v>62</v>
      </c>
      <c r="E857" t="str">
        <f>_xlfn.XLOOKUP(tblOrders[[#This Row],[CustomerID]],tblCustomers[CustomerID],tblCustomers[Gender],"not found")</f>
        <v>Female</v>
      </c>
      <c r="F857" t="str">
        <f>_xlfn.XLOOKUP(tblOrders[[#This Row],[CustomerID]],tblCustomers[CustomerID],tblCustomers[Region],"not found")</f>
        <v>East</v>
      </c>
      <c r="G857">
        <v>1061</v>
      </c>
      <c r="H857" t="str">
        <f>_xlfn.XLOOKUP(tblOrders[[#This Row],[ProductID]],tblProducts[ProductID],tblProducts[ProductName],"not found")</f>
        <v>State</v>
      </c>
      <c r="I857" t="str">
        <f>_xlfn.XLOOKUP(tblOrders[[#This Row],[ProductID]],tblProducts[ProductID],tblProducts[Category],"not found")</f>
        <v>Furniture</v>
      </c>
      <c r="J857">
        <f>_xlfn.XLOOKUP(tblOrders[[#This Row],[ProductID]],tblProducts[ProductID],tblProducts[UnitPrice],"not found")</f>
        <v>434.18</v>
      </c>
      <c r="K857" t="str">
        <f>_xlfn.XLOOKUP(tblOrders[[#This Row],[ProductID]],tblProducts[ProductID],tblProducts[Supplier],"not found")</f>
        <v>Ball-Russell</v>
      </c>
      <c r="L857" s="1" t="s">
        <v>2150</v>
      </c>
      <c r="M8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45410</v>
      </c>
      <c r="N857">
        <v>9</v>
      </c>
      <c r="O857">
        <v>3907.62</v>
      </c>
      <c r="P857">
        <f>tblOrders[[#This Row],[Quantity]]*tblOrders[[#This Row],[Unit Price]]</f>
        <v>3907.62</v>
      </c>
      <c r="Q857">
        <f>tblOrders[[#This Row],[TotalSales]]-tblOrders[[#This Row],[Calculated Sales]]</f>
        <v>0</v>
      </c>
    </row>
    <row r="858" spans="1:17" x14ac:dyDescent="0.25">
      <c r="A858">
        <v>828</v>
      </c>
      <c r="B858">
        <v>182</v>
      </c>
      <c r="C858" t="str">
        <f>_xlfn.XLOOKUP(tblOrders[[#This Row],[CustomerID]],tblCustomers[CustomerID],tblCustomers[CustomerName],"not found")</f>
        <v>Stephen Hoffman</v>
      </c>
      <c r="D858">
        <f>_xlfn.XLOOKUP(tblOrders[[#This Row],[CustomerID]],tblCustomers[CustomerID],tblCustomers[Age],"not found")</f>
        <v>44</v>
      </c>
      <c r="E858" t="str">
        <f>_xlfn.XLOOKUP(tblOrders[[#This Row],[CustomerID]],tblCustomers[CustomerID],tblCustomers[Gender],"not found")</f>
        <v>Female</v>
      </c>
      <c r="F858" t="str">
        <f>_xlfn.XLOOKUP(tblOrders[[#This Row],[CustomerID]],tblCustomers[CustomerID],tblCustomers[Region],"not found")</f>
        <v>South</v>
      </c>
      <c r="G858">
        <v>1061</v>
      </c>
      <c r="H858" t="str">
        <f>_xlfn.XLOOKUP(tblOrders[[#This Row],[ProductID]],tblProducts[ProductID],tblProducts[ProductName],"not found")</f>
        <v>State</v>
      </c>
      <c r="I858" t="str">
        <f>_xlfn.XLOOKUP(tblOrders[[#This Row],[ProductID]],tblProducts[ProductID],tblProducts[Category],"not found")</f>
        <v>Furniture</v>
      </c>
      <c r="J858">
        <f>_xlfn.XLOOKUP(tblOrders[[#This Row],[ProductID]],tblProducts[ProductID],tblProducts[UnitPrice],"not found")</f>
        <v>434.18</v>
      </c>
      <c r="K858" t="str">
        <f>_xlfn.XLOOKUP(tblOrders[[#This Row],[ProductID]],tblProducts[ProductID],tblProducts[Supplier],"not found")</f>
        <v>Ball-Russell</v>
      </c>
      <c r="L858" s="1">
        <v>44877</v>
      </c>
      <c r="M8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44877</v>
      </c>
      <c r="N858">
        <v>3</v>
      </c>
      <c r="O858">
        <v>1302.54</v>
      </c>
      <c r="P858">
        <f>tblOrders[[#This Row],[Quantity]]*tblOrders[[#This Row],[Unit Price]]</f>
        <v>1302.54</v>
      </c>
      <c r="Q858">
        <f>tblOrders[[#This Row],[TotalSales]]-tblOrders[[#This Row],[Calculated Sales]]</f>
        <v>0</v>
      </c>
    </row>
    <row r="859" spans="1:17" x14ac:dyDescent="0.25">
      <c r="A859">
        <v>835</v>
      </c>
      <c r="B859">
        <v>781</v>
      </c>
      <c r="C859" t="str">
        <f>_xlfn.XLOOKUP(tblOrders[[#This Row],[CustomerID]],tblCustomers[CustomerID],tblCustomers[CustomerName],"not found")</f>
        <v>Jennifer Allen</v>
      </c>
      <c r="D859">
        <f>_xlfn.XLOOKUP(tblOrders[[#This Row],[CustomerID]],tblCustomers[CustomerID],tblCustomers[Age],"not found")</f>
        <v>20</v>
      </c>
      <c r="E859" t="str">
        <f>_xlfn.XLOOKUP(tblOrders[[#This Row],[CustomerID]],tblCustomers[CustomerID],tblCustomers[Gender],"not found")</f>
        <v>Female</v>
      </c>
      <c r="F859" t="str">
        <f>_xlfn.XLOOKUP(tblOrders[[#This Row],[CustomerID]],tblCustomers[CustomerID],tblCustomers[Region],"not found")</f>
        <v>North</v>
      </c>
      <c r="G859">
        <v>1061</v>
      </c>
      <c r="H859" t="str">
        <f>_xlfn.XLOOKUP(tblOrders[[#This Row],[ProductID]],tblProducts[ProductID],tblProducts[ProductName],"not found")</f>
        <v>State</v>
      </c>
      <c r="I859" t="str">
        <f>_xlfn.XLOOKUP(tblOrders[[#This Row],[ProductID]],tblProducts[ProductID],tblProducts[Category],"not found")</f>
        <v>Furniture</v>
      </c>
      <c r="J859">
        <f>_xlfn.XLOOKUP(tblOrders[[#This Row],[ProductID]],tblProducts[ProductID],tblProducts[UnitPrice],"not found")</f>
        <v>434.18</v>
      </c>
      <c r="K859" t="str">
        <f>_xlfn.XLOOKUP(tblOrders[[#This Row],[ProductID]],tblProducts[ProductID],tblProducts[Supplier],"not found")</f>
        <v>Ball-Russell</v>
      </c>
      <c r="L859" s="1" t="s">
        <v>2315</v>
      </c>
      <c r="M8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45182</v>
      </c>
      <c r="N859">
        <v>1</v>
      </c>
      <c r="O859">
        <v>434.18</v>
      </c>
      <c r="P859">
        <f>tblOrders[[#This Row],[Quantity]]*tblOrders[[#This Row],[Unit Price]]</f>
        <v>434.18</v>
      </c>
      <c r="Q859">
        <f>tblOrders[[#This Row],[TotalSales]]-tblOrders[[#This Row],[Calculated Sales]]</f>
        <v>0</v>
      </c>
    </row>
    <row r="860" spans="1:17" x14ac:dyDescent="0.25">
      <c r="A860">
        <v>843</v>
      </c>
      <c r="B860">
        <v>979</v>
      </c>
      <c r="C860" t="str">
        <f>_xlfn.XLOOKUP(tblOrders[[#This Row],[CustomerID]],tblCustomers[CustomerID],tblCustomers[CustomerName],"not found")</f>
        <v>Sheila Erickson</v>
      </c>
      <c r="D860">
        <f>_xlfn.XLOOKUP(tblOrders[[#This Row],[CustomerID]],tblCustomers[CustomerID],tblCustomers[Age],"not found")</f>
        <v>38</v>
      </c>
      <c r="E860" t="str">
        <f>_xlfn.XLOOKUP(tblOrders[[#This Row],[CustomerID]],tblCustomers[CustomerID],tblCustomers[Gender],"not found")</f>
        <v>Female</v>
      </c>
      <c r="F860" t="str">
        <f>_xlfn.XLOOKUP(tblOrders[[#This Row],[CustomerID]],tblCustomers[CustomerID],tblCustomers[Region],"not found")</f>
        <v>South</v>
      </c>
      <c r="G860">
        <v>1061</v>
      </c>
      <c r="H860" t="str">
        <f>_xlfn.XLOOKUP(tblOrders[[#This Row],[ProductID]],tblProducts[ProductID],tblProducts[ProductName],"not found")</f>
        <v>State</v>
      </c>
      <c r="I860" t="str">
        <f>_xlfn.XLOOKUP(tblOrders[[#This Row],[ProductID]],tblProducts[ProductID],tblProducts[Category],"not found")</f>
        <v>Furniture</v>
      </c>
      <c r="J860">
        <f>_xlfn.XLOOKUP(tblOrders[[#This Row],[ProductID]],tblProducts[ProductID],tblProducts[UnitPrice],"not found")</f>
        <v>434.18</v>
      </c>
      <c r="K860" t="str">
        <f>_xlfn.XLOOKUP(tblOrders[[#This Row],[ProductID]],tblProducts[ProductID],tblProducts[Supplier],"not found")</f>
        <v>Ball-Russell</v>
      </c>
      <c r="L860" s="1">
        <v>45293</v>
      </c>
      <c r="M8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45293</v>
      </c>
      <c r="N860">
        <v>4</v>
      </c>
      <c r="O860">
        <v>1736.72</v>
      </c>
      <c r="P860">
        <f>tblOrders[[#This Row],[Quantity]]*tblOrders[[#This Row],[Unit Price]]</f>
        <v>1736.72</v>
      </c>
      <c r="Q860">
        <f>tblOrders[[#This Row],[TotalSales]]-tblOrders[[#This Row],[Calculated Sales]]</f>
        <v>0</v>
      </c>
    </row>
    <row r="861" spans="1:17" x14ac:dyDescent="0.25">
      <c r="A861">
        <v>970</v>
      </c>
      <c r="B861">
        <v>349</v>
      </c>
      <c r="C861" t="str">
        <f>_xlfn.XLOOKUP(tblOrders[[#This Row],[CustomerID]],tblCustomers[CustomerID],tblCustomers[CustomerName],"not found")</f>
        <v>Gabriel Coleman</v>
      </c>
      <c r="D861">
        <f>_xlfn.XLOOKUP(tblOrders[[#This Row],[CustomerID]],tblCustomers[CustomerID],tblCustomers[Age],"not found")</f>
        <v>30</v>
      </c>
      <c r="E861" t="str">
        <f>_xlfn.XLOOKUP(tblOrders[[#This Row],[CustomerID]],tblCustomers[CustomerID],tblCustomers[Gender],"not found")</f>
        <v>Female</v>
      </c>
      <c r="F861" t="str">
        <f>_xlfn.XLOOKUP(tblOrders[[#This Row],[CustomerID]],tblCustomers[CustomerID],tblCustomers[Region],"not found")</f>
        <v>East</v>
      </c>
      <c r="G861">
        <v>1061</v>
      </c>
      <c r="H861" t="str">
        <f>_xlfn.XLOOKUP(tblOrders[[#This Row],[ProductID]],tblProducts[ProductID],tblProducts[ProductName],"not found")</f>
        <v>State</v>
      </c>
      <c r="I861" t="str">
        <f>_xlfn.XLOOKUP(tblOrders[[#This Row],[ProductID]],tblProducts[ProductID],tblProducts[Category],"not found")</f>
        <v>Furniture</v>
      </c>
      <c r="J861">
        <f>_xlfn.XLOOKUP(tblOrders[[#This Row],[ProductID]],tblProducts[ProductID],tblProducts[UnitPrice],"not found")</f>
        <v>434.18</v>
      </c>
      <c r="K861" t="str">
        <f>_xlfn.XLOOKUP(tblOrders[[#This Row],[ProductID]],tblProducts[ProductID],tblProducts[Supplier],"not found")</f>
        <v>Ball-Russell</v>
      </c>
      <c r="L861" s="1" t="s">
        <v>2020</v>
      </c>
      <c r="M8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45565</v>
      </c>
      <c r="N861">
        <v>2</v>
      </c>
      <c r="O861">
        <v>868.36</v>
      </c>
      <c r="P861">
        <f>tblOrders[[#This Row],[Quantity]]*tblOrders[[#This Row],[Unit Price]]</f>
        <v>868.36</v>
      </c>
      <c r="Q861">
        <f>tblOrders[[#This Row],[TotalSales]]-tblOrders[[#This Row],[Calculated Sales]]</f>
        <v>0</v>
      </c>
    </row>
    <row r="862" spans="1:17" x14ac:dyDescent="0.25">
      <c r="A862">
        <v>1050</v>
      </c>
      <c r="B862">
        <v>544</v>
      </c>
      <c r="C862" t="str">
        <f>_xlfn.XLOOKUP(tblOrders[[#This Row],[CustomerID]],tblCustomers[CustomerID],tblCustomers[CustomerName],"not found")</f>
        <v>Lauren Tran</v>
      </c>
      <c r="D862">
        <f>_xlfn.XLOOKUP(tblOrders[[#This Row],[CustomerID]],tblCustomers[CustomerID],tblCustomers[Age],"not found")</f>
        <v>36</v>
      </c>
      <c r="E862" t="str">
        <f>_xlfn.XLOOKUP(tblOrders[[#This Row],[CustomerID]],tblCustomers[CustomerID],tblCustomers[Gender],"not found")</f>
        <v>Male</v>
      </c>
      <c r="F862" t="str">
        <f>_xlfn.XLOOKUP(tblOrders[[#This Row],[CustomerID]],tblCustomers[CustomerID],tblCustomers[Region],"not found")</f>
        <v>South</v>
      </c>
      <c r="G862">
        <v>1061</v>
      </c>
      <c r="H862" t="str">
        <f>_xlfn.XLOOKUP(tblOrders[[#This Row],[ProductID]],tblProducts[ProductID],tblProducts[ProductName],"not found")</f>
        <v>State</v>
      </c>
      <c r="I862" t="str">
        <f>_xlfn.XLOOKUP(tblOrders[[#This Row],[ProductID]],tblProducts[ProductID],tblProducts[Category],"not found")</f>
        <v>Furniture</v>
      </c>
      <c r="J862">
        <f>_xlfn.XLOOKUP(tblOrders[[#This Row],[ProductID]],tblProducts[ProductID],tblProducts[UnitPrice],"not found")</f>
        <v>434.18</v>
      </c>
      <c r="K862" t="str">
        <f>_xlfn.XLOOKUP(tblOrders[[#This Row],[ProductID]],tblProducts[ProductID],tblProducts[Supplier],"not found")</f>
        <v>Ball-Russell</v>
      </c>
      <c r="L862" s="1" t="s">
        <v>2257</v>
      </c>
      <c r="M8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862">
        <v>2</v>
      </c>
      <c r="O862">
        <v>868.36</v>
      </c>
      <c r="P862">
        <f>tblOrders[[#This Row],[Quantity]]*tblOrders[[#This Row],[Unit Price]]</f>
        <v>868.36</v>
      </c>
      <c r="Q862">
        <f>tblOrders[[#This Row],[TotalSales]]-tblOrders[[#This Row],[Calculated Sales]]</f>
        <v>0</v>
      </c>
    </row>
    <row r="863" spans="1:17" x14ac:dyDescent="0.25">
      <c r="A863">
        <v>1195</v>
      </c>
      <c r="B863">
        <v>296</v>
      </c>
      <c r="C863" t="str">
        <f>_xlfn.XLOOKUP(tblOrders[[#This Row],[CustomerID]],tblCustomers[CustomerID],tblCustomers[CustomerName],"not found")</f>
        <v>Kelly Williams</v>
      </c>
      <c r="D863">
        <f>_xlfn.XLOOKUP(tblOrders[[#This Row],[CustomerID]],tblCustomers[CustomerID],tblCustomers[Age],"not found")</f>
        <v>30</v>
      </c>
      <c r="E863" t="str">
        <f>_xlfn.XLOOKUP(tblOrders[[#This Row],[CustomerID]],tblCustomers[CustomerID],tblCustomers[Gender],"not found")</f>
        <v>Male</v>
      </c>
      <c r="F863" t="str">
        <f>_xlfn.XLOOKUP(tblOrders[[#This Row],[CustomerID]],tblCustomers[CustomerID],tblCustomers[Region],"not found")</f>
        <v>North</v>
      </c>
      <c r="G863">
        <v>1061</v>
      </c>
      <c r="H863" t="str">
        <f>_xlfn.XLOOKUP(tblOrders[[#This Row],[ProductID]],tblProducts[ProductID],tblProducts[ProductName],"not found")</f>
        <v>State</v>
      </c>
      <c r="I863" t="str">
        <f>_xlfn.XLOOKUP(tblOrders[[#This Row],[ProductID]],tblProducts[ProductID],tblProducts[Category],"not found")</f>
        <v>Furniture</v>
      </c>
      <c r="J863">
        <f>_xlfn.XLOOKUP(tblOrders[[#This Row],[ProductID]],tblProducts[ProductID],tblProducts[UnitPrice],"not found")</f>
        <v>434.18</v>
      </c>
      <c r="K863" t="str">
        <f>_xlfn.XLOOKUP(tblOrders[[#This Row],[ProductID]],tblProducts[ProductID],tblProducts[Supplier],"not found")</f>
        <v>Ball-Russell</v>
      </c>
      <c r="L863" s="1" t="s">
        <v>2293</v>
      </c>
      <c r="M8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45103</v>
      </c>
      <c r="N863">
        <v>1</v>
      </c>
      <c r="O863">
        <v>434.18</v>
      </c>
      <c r="P863">
        <f>tblOrders[[#This Row],[Quantity]]*tblOrders[[#This Row],[Unit Price]]</f>
        <v>434.18</v>
      </c>
      <c r="Q863">
        <f>tblOrders[[#This Row],[TotalSales]]-tblOrders[[#This Row],[Calculated Sales]]</f>
        <v>0</v>
      </c>
    </row>
    <row r="864" spans="1:17" x14ac:dyDescent="0.25">
      <c r="A864">
        <v>1236</v>
      </c>
      <c r="B864">
        <v>859</v>
      </c>
      <c r="C864" t="str">
        <f>_xlfn.XLOOKUP(tblOrders[[#This Row],[CustomerID]],tblCustomers[CustomerID],tblCustomers[CustomerName],"not found")</f>
        <v>Richard Murray</v>
      </c>
      <c r="D864">
        <f>_xlfn.XLOOKUP(tblOrders[[#This Row],[CustomerID]],tblCustomers[CustomerID],tblCustomers[Age],"not found")</f>
        <v>48</v>
      </c>
      <c r="E864" t="str">
        <f>_xlfn.XLOOKUP(tblOrders[[#This Row],[CustomerID]],tblCustomers[CustomerID],tblCustomers[Gender],"not found")</f>
        <v>Female</v>
      </c>
      <c r="F864" t="str">
        <f>_xlfn.XLOOKUP(tblOrders[[#This Row],[CustomerID]],tblCustomers[CustomerID],tblCustomers[Region],"not found")</f>
        <v>North</v>
      </c>
      <c r="G864">
        <v>1061</v>
      </c>
      <c r="H864" t="str">
        <f>_xlfn.XLOOKUP(tblOrders[[#This Row],[ProductID]],tblProducts[ProductID],tblProducts[ProductName],"not found")</f>
        <v>State</v>
      </c>
      <c r="I864" t="str">
        <f>_xlfn.XLOOKUP(tblOrders[[#This Row],[ProductID]],tblProducts[ProductID],tblProducts[Category],"not found")</f>
        <v>Furniture</v>
      </c>
      <c r="J864">
        <f>_xlfn.XLOOKUP(tblOrders[[#This Row],[ProductID]],tblProducts[ProductID],tblProducts[UnitPrice],"not found")</f>
        <v>434.18</v>
      </c>
      <c r="K864" t="str">
        <f>_xlfn.XLOOKUP(tblOrders[[#This Row],[ProductID]],tblProducts[ProductID],tblProducts[Supplier],"not found")</f>
        <v>Ball-Russell</v>
      </c>
      <c r="L864" s="1" t="s">
        <v>2316</v>
      </c>
      <c r="M8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45351</v>
      </c>
      <c r="N864">
        <v>3</v>
      </c>
      <c r="O864">
        <v>1302.54</v>
      </c>
      <c r="P864">
        <f>tblOrders[[#This Row],[Quantity]]*tblOrders[[#This Row],[Unit Price]]</f>
        <v>1302.54</v>
      </c>
      <c r="Q864">
        <f>tblOrders[[#This Row],[TotalSales]]-tblOrders[[#This Row],[Calculated Sales]]</f>
        <v>0</v>
      </c>
    </row>
    <row r="865" spans="1:17" x14ac:dyDescent="0.25">
      <c r="A865">
        <v>1263</v>
      </c>
      <c r="B865">
        <v>787</v>
      </c>
      <c r="C865" t="str">
        <f>_xlfn.XLOOKUP(tblOrders[[#This Row],[CustomerID]],tblCustomers[CustomerID],tblCustomers[CustomerName],"not found")</f>
        <v>Danielle Flowers</v>
      </c>
      <c r="D865">
        <f>_xlfn.XLOOKUP(tblOrders[[#This Row],[CustomerID]],tblCustomers[CustomerID],tblCustomers[Age],"not found")</f>
        <v>46</v>
      </c>
      <c r="E865" t="str">
        <f>_xlfn.XLOOKUP(tblOrders[[#This Row],[CustomerID]],tblCustomers[CustomerID],tblCustomers[Gender],"not found")</f>
        <v>Male</v>
      </c>
      <c r="F865" t="str">
        <f>_xlfn.XLOOKUP(tblOrders[[#This Row],[CustomerID]],tblCustomers[CustomerID],tblCustomers[Region],"not found")</f>
        <v>West</v>
      </c>
      <c r="G865">
        <v>1061</v>
      </c>
      <c r="H865" t="str">
        <f>_xlfn.XLOOKUP(tblOrders[[#This Row],[ProductID]],tblProducts[ProductID],tblProducts[ProductName],"not found")</f>
        <v>State</v>
      </c>
      <c r="I865" t="str">
        <f>_xlfn.XLOOKUP(tblOrders[[#This Row],[ProductID]],tblProducts[ProductID],tblProducts[Category],"not found")</f>
        <v>Furniture</v>
      </c>
      <c r="J865">
        <f>_xlfn.XLOOKUP(tblOrders[[#This Row],[ProductID]],tblProducts[ProductID],tblProducts[UnitPrice],"not found")</f>
        <v>434.18</v>
      </c>
      <c r="K865" t="str">
        <f>_xlfn.XLOOKUP(tblOrders[[#This Row],[ProductID]],tblProducts[ProductID],tblProducts[Supplier],"not found")</f>
        <v>Ball-Russell</v>
      </c>
      <c r="L865" s="1" t="s">
        <v>2317</v>
      </c>
      <c r="M8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45398</v>
      </c>
      <c r="N865">
        <v>6</v>
      </c>
      <c r="O865">
        <v>2605.08</v>
      </c>
      <c r="P865">
        <f>tblOrders[[#This Row],[Quantity]]*tblOrders[[#This Row],[Unit Price]]</f>
        <v>2605.08</v>
      </c>
      <c r="Q865">
        <f>tblOrders[[#This Row],[TotalSales]]-tblOrders[[#This Row],[Calculated Sales]]</f>
        <v>0</v>
      </c>
    </row>
    <row r="866" spans="1:17" x14ac:dyDescent="0.25">
      <c r="A866">
        <v>1281</v>
      </c>
      <c r="B866">
        <v>49</v>
      </c>
      <c r="C866" t="str">
        <f>_xlfn.XLOOKUP(tblOrders[[#This Row],[CustomerID]],tblCustomers[CustomerID],tblCustomers[CustomerName],"not found")</f>
        <v>Sharon Alexander</v>
      </c>
      <c r="D866">
        <f>_xlfn.XLOOKUP(tblOrders[[#This Row],[CustomerID]],tblCustomers[CustomerID],tblCustomers[Age],"not found")</f>
        <v>38</v>
      </c>
      <c r="E866" t="str">
        <f>_xlfn.XLOOKUP(tblOrders[[#This Row],[CustomerID]],tblCustomers[CustomerID],tblCustomers[Gender],"not found")</f>
        <v>Female</v>
      </c>
      <c r="F866" t="str">
        <f>_xlfn.XLOOKUP(tblOrders[[#This Row],[CustomerID]],tblCustomers[CustomerID],tblCustomers[Region],"not found")</f>
        <v>West</v>
      </c>
      <c r="G866">
        <v>1061</v>
      </c>
      <c r="H866" t="str">
        <f>_xlfn.XLOOKUP(tblOrders[[#This Row],[ProductID]],tblProducts[ProductID],tblProducts[ProductName],"not found")</f>
        <v>State</v>
      </c>
      <c r="I866" t="str">
        <f>_xlfn.XLOOKUP(tblOrders[[#This Row],[ProductID]],tblProducts[ProductID],tblProducts[Category],"not found")</f>
        <v>Furniture</v>
      </c>
      <c r="J866">
        <f>_xlfn.XLOOKUP(tblOrders[[#This Row],[ProductID]],tblProducts[ProductID],tblProducts[UnitPrice],"not found")</f>
        <v>434.18</v>
      </c>
      <c r="K866" t="str">
        <f>_xlfn.XLOOKUP(tblOrders[[#This Row],[ProductID]],tblProducts[ProductID],tblProducts[Supplier],"not found")</f>
        <v>Ball-Russell</v>
      </c>
      <c r="L866" s="1" t="s">
        <v>2318</v>
      </c>
      <c r="M8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45120</v>
      </c>
      <c r="N866">
        <v>6</v>
      </c>
      <c r="O866">
        <v>2605.08</v>
      </c>
      <c r="P866">
        <f>tblOrders[[#This Row],[Quantity]]*tblOrders[[#This Row],[Unit Price]]</f>
        <v>2605.08</v>
      </c>
      <c r="Q866">
        <f>tblOrders[[#This Row],[TotalSales]]-tblOrders[[#This Row],[Calculated Sales]]</f>
        <v>0</v>
      </c>
    </row>
    <row r="867" spans="1:17" x14ac:dyDescent="0.25">
      <c r="A867">
        <v>1491</v>
      </c>
      <c r="B867">
        <v>403</v>
      </c>
      <c r="C867" t="str">
        <f>_xlfn.XLOOKUP(tblOrders[[#This Row],[CustomerID]],tblCustomers[CustomerID],tblCustomers[CustomerName],"not found")</f>
        <v>John Weaver</v>
      </c>
      <c r="D867">
        <f>_xlfn.XLOOKUP(tblOrders[[#This Row],[CustomerID]],tblCustomers[CustomerID],tblCustomers[Age],"not found")</f>
        <v>24</v>
      </c>
      <c r="E867" t="str">
        <f>_xlfn.XLOOKUP(tblOrders[[#This Row],[CustomerID]],tblCustomers[CustomerID],tblCustomers[Gender],"not found")</f>
        <v>Female</v>
      </c>
      <c r="F867" t="str">
        <f>_xlfn.XLOOKUP(tblOrders[[#This Row],[CustomerID]],tblCustomers[CustomerID],tblCustomers[Region],"not found")</f>
        <v>East</v>
      </c>
      <c r="G867">
        <v>1061</v>
      </c>
      <c r="H867" t="str">
        <f>_xlfn.XLOOKUP(tblOrders[[#This Row],[ProductID]],tblProducts[ProductID],tblProducts[ProductName],"not found")</f>
        <v>State</v>
      </c>
      <c r="I867" t="str">
        <f>_xlfn.XLOOKUP(tblOrders[[#This Row],[ProductID]],tblProducts[ProductID],tblProducts[Category],"not found")</f>
        <v>Furniture</v>
      </c>
      <c r="J867">
        <f>_xlfn.XLOOKUP(tblOrders[[#This Row],[ProductID]],tblProducts[ProductID],tblProducts[UnitPrice],"not found")</f>
        <v>434.18</v>
      </c>
      <c r="K867" t="str">
        <f>_xlfn.XLOOKUP(tblOrders[[#This Row],[ProductID]],tblProducts[ProductID],tblProducts[Supplier],"not found")</f>
        <v>Ball-Russell</v>
      </c>
      <c r="L867" s="1" t="s">
        <v>2066</v>
      </c>
      <c r="M8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45199</v>
      </c>
      <c r="N867">
        <v>3</v>
      </c>
      <c r="O867">
        <v>1302.54</v>
      </c>
      <c r="P867">
        <f>tblOrders[[#This Row],[Quantity]]*tblOrders[[#This Row],[Unit Price]]</f>
        <v>1302.54</v>
      </c>
      <c r="Q867">
        <f>tblOrders[[#This Row],[TotalSales]]-tblOrders[[#This Row],[Calculated Sales]]</f>
        <v>0</v>
      </c>
    </row>
    <row r="868" spans="1:17" x14ac:dyDescent="0.25">
      <c r="A868">
        <v>1498</v>
      </c>
      <c r="B868">
        <v>532</v>
      </c>
      <c r="C868" t="str">
        <f>_xlfn.XLOOKUP(tblOrders[[#This Row],[CustomerID]],tblCustomers[CustomerID],tblCustomers[CustomerName],"not found")</f>
        <v>Samuel Delacruz</v>
      </c>
      <c r="D868">
        <f>_xlfn.XLOOKUP(tblOrders[[#This Row],[CustomerID]],tblCustomers[CustomerID],tblCustomers[Age],"not found")</f>
        <v>47</v>
      </c>
      <c r="E868" t="str">
        <f>_xlfn.XLOOKUP(tblOrders[[#This Row],[CustomerID]],tblCustomers[CustomerID],tblCustomers[Gender],"not found")</f>
        <v>Female</v>
      </c>
      <c r="F868" t="str">
        <f>_xlfn.XLOOKUP(tblOrders[[#This Row],[CustomerID]],tblCustomers[CustomerID],tblCustomers[Region],"not found")</f>
        <v>West</v>
      </c>
      <c r="G868">
        <v>1061</v>
      </c>
      <c r="H868" t="str">
        <f>_xlfn.XLOOKUP(tblOrders[[#This Row],[ProductID]],tblProducts[ProductID],tblProducts[ProductName],"not found")</f>
        <v>State</v>
      </c>
      <c r="I868" t="str">
        <f>_xlfn.XLOOKUP(tblOrders[[#This Row],[ProductID]],tblProducts[ProductID],tblProducts[Category],"not found")</f>
        <v>Furniture</v>
      </c>
      <c r="J868">
        <f>_xlfn.XLOOKUP(tblOrders[[#This Row],[ProductID]],tblProducts[ProductID],tblProducts[UnitPrice],"not found")</f>
        <v>434.18</v>
      </c>
      <c r="K868" t="str">
        <f>_xlfn.XLOOKUP(tblOrders[[#This Row],[ProductID]],tblProducts[ProductID],tblProducts[Supplier],"not found")</f>
        <v>Ball-Russell</v>
      </c>
      <c r="L868" s="1" t="s">
        <v>2188</v>
      </c>
      <c r="M8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868">
        <v>3</v>
      </c>
      <c r="O868">
        <v>1302.54</v>
      </c>
      <c r="P868">
        <f>tblOrders[[#This Row],[Quantity]]*tblOrders[[#This Row],[Unit Price]]</f>
        <v>1302.54</v>
      </c>
      <c r="Q868">
        <f>tblOrders[[#This Row],[TotalSales]]-tblOrders[[#This Row],[Calculated Sales]]</f>
        <v>0</v>
      </c>
    </row>
    <row r="869" spans="1:17" x14ac:dyDescent="0.25">
      <c r="A869">
        <v>1533</v>
      </c>
      <c r="B869">
        <v>531</v>
      </c>
      <c r="C869" t="str">
        <f>_xlfn.XLOOKUP(tblOrders[[#This Row],[CustomerID]],tblCustomers[CustomerID],tblCustomers[CustomerName],"not found")</f>
        <v>Joseph Lutz</v>
      </c>
      <c r="D869">
        <f>_xlfn.XLOOKUP(tblOrders[[#This Row],[CustomerID]],tblCustomers[CustomerID],tblCustomers[Age],"not found")</f>
        <v>40</v>
      </c>
      <c r="E869" t="str">
        <f>_xlfn.XLOOKUP(tblOrders[[#This Row],[CustomerID]],tblCustomers[CustomerID],tblCustomers[Gender],"not found")</f>
        <v>Female</v>
      </c>
      <c r="F869" t="str">
        <f>_xlfn.XLOOKUP(tblOrders[[#This Row],[CustomerID]],tblCustomers[CustomerID],tblCustomers[Region],"not found")</f>
        <v>North</v>
      </c>
      <c r="G869">
        <v>1061</v>
      </c>
      <c r="H869" t="str">
        <f>_xlfn.XLOOKUP(tblOrders[[#This Row],[ProductID]],tblProducts[ProductID],tblProducts[ProductName],"not found")</f>
        <v>State</v>
      </c>
      <c r="I869" t="str">
        <f>_xlfn.XLOOKUP(tblOrders[[#This Row],[ProductID]],tblProducts[ProductID],tblProducts[Category],"not found")</f>
        <v>Furniture</v>
      </c>
      <c r="J869">
        <f>_xlfn.XLOOKUP(tblOrders[[#This Row],[ProductID]],tblProducts[ProductID],tblProducts[UnitPrice],"not found")</f>
        <v>434.18</v>
      </c>
      <c r="K869" t="str">
        <f>_xlfn.XLOOKUP(tblOrders[[#This Row],[ProductID]],tblProducts[ProductID],tblProducts[Supplier],"not found")</f>
        <v>Ball-Russell</v>
      </c>
      <c r="L869" s="1" t="s">
        <v>2268</v>
      </c>
      <c r="M8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45305</v>
      </c>
      <c r="N869">
        <v>9</v>
      </c>
      <c r="O869">
        <v>3907.62</v>
      </c>
      <c r="P869">
        <f>tblOrders[[#This Row],[Quantity]]*tblOrders[[#This Row],[Unit Price]]</f>
        <v>3907.62</v>
      </c>
      <c r="Q869">
        <f>tblOrders[[#This Row],[TotalSales]]-tblOrders[[#This Row],[Calculated Sales]]</f>
        <v>0</v>
      </c>
    </row>
    <row r="870" spans="1:17" x14ac:dyDescent="0.25">
      <c r="A870">
        <v>1569</v>
      </c>
      <c r="B870">
        <v>750</v>
      </c>
      <c r="C870" t="str">
        <f>_xlfn.XLOOKUP(tblOrders[[#This Row],[CustomerID]],tblCustomers[CustomerID],tblCustomers[CustomerName],"not found")</f>
        <v>James Hughes</v>
      </c>
      <c r="D870">
        <f>_xlfn.XLOOKUP(tblOrders[[#This Row],[CustomerID]],tblCustomers[CustomerID],tblCustomers[Age],"not found")</f>
        <v>60</v>
      </c>
      <c r="E870" t="str">
        <f>_xlfn.XLOOKUP(tblOrders[[#This Row],[CustomerID]],tblCustomers[CustomerID],tblCustomers[Gender],"not found")</f>
        <v>Female</v>
      </c>
      <c r="F870" t="str">
        <f>_xlfn.XLOOKUP(tblOrders[[#This Row],[CustomerID]],tblCustomers[CustomerID],tblCustomers[Region],"not found")</f>
        <v>West</v>
      </c>
      <c r="G870">
        <v>1061</v>
      </c>
      <c r="H870" t="str">
        <f>_xlfn.XLOOKUP(tblOrders[[#This Row],[ProductID]],tblProducts[ProductID],tblProducts[ProductName],"not found")</f>
        <v>State</v>
      </c>
      <c r="I870" t="str">
        <f>_xlfn.XLOOKUP(tblOrders[[#This Row],[ProductID]],tblProducts[ProductID],tblProducts[Category],"not found")</f>
        <v>Furniture</v>
      </c>
      <c r="J870">
        <f>_xlfn.XLOOKUP(tblOrders[[#This Row],[ProductID]],tblProducts[ProductID],tblProducts[UnitPrice],"not found")</f>
        <v>434.18</v>
      </c>
      <c r="K870" t="str">
        <f>_xlfn.XLOOKUP(tblOrders[[#This Row],[ProductID]],tblProducts[ProductID],tblProducts[Supplier],"not found")</f>
        <v>Ball-Russell</v>
      </c>
      <c r="L870" s="1" t="s">
        <v>2066</v>
      </c>
      <c r="M8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45199</v>
      </c>
      <c r="N870">
        <v>9</v>
      </c>
      <c r="O870">
        <v>3907.62</v>
      </c>
      <c r="P870">
        <f>tblOrders[[#This Row],[Quantity]]*tblOrders[[#This Row],[Unit Price]]</f>
        <v>3907.62</v>
      </c>
      <c r="Q870">
        <f>tblOrders[[#This Row],[TotalSales]]-tblOrders[[#This Row],[Calculated Sales]]</f>
        <v>0</v>
      </c>
    </row>
    <row r="871" spans="1:17" x14ac:dyDescent="0.25">
      <c r="A871">
        <v>1607</v>
      </c>
      <c r="B871">
        <v>398</v>
      </c>
      <c r="C871" t="str">
        <f>_xlfn.XLOOKUP(tblOrders[[#This Row],[CustomerID]],tblCustomers[CustomerID],tblCustomers[CustomerName],"not found")</f>
        <v>Katie Hawkins</v>
      </c>
      <c r="D871">
        <f>_xlfn.XLOOKUP(tblOrders[[#This Row],[CustomerID]],tblCustomers[CustomerID],tblCustomers[Age],"not found")</f>
        <v>36</v>
      </c>
      <c r="E871" t="str">
        <f>_xlfn.XLOOKUP(tblOrders[[#This Row],[CustomerID]],tblCustomers[CustomerID],tblCustomers[Gender],"not found")</f>
        <v>Female</v>
      </c>
      <c r="F871" t="str">
        <f>_xlfn.XLOOKUP(tblOrders[[#This Row],[CustomerID]],tblCustomers[CustomerID],tblCustomers[Region],"not found")</f>
        <v>West</v>
      </c>
      <c r="G871">
        <v>1061</v>
      </c>
      <c r="H871" t="str">
        <f>_xlfn.XLOOKUP(tblOrders[[#This Row],[ProductID]],tblProducts[ProductID],tblProducts[ProductName],"not found")</f>
        <v>State</v>
      </c>
      <c r="I871" t="str">
        <f>_xlfn.XLOOKUP(tblOrders[[#This Row],[ProductID]],tblProducts[ProductID],tblProducts[Category],"not found")</f>
        <v>Furniture</v>
      </c>
      <c r="J871">
        <f>_xlfn.XLOOKUP(tblOrders[[#This Row],[ProductID]],tblProducts[ProductID],tblProducts[UnitPrice],"not found")</f>
        <v>434.18</v>
      </c>
      <c r="K871" t="str">
        <f>_xlfn.XLOOKUP(tblOrders[[#This Row],[ProductID]],tblProducts[ProductID],tblProducts[Supplier],"not found")</f>
        <v>Ball-Russell</v>
      </c>
      <c r="L871" s="1">
        <v>45211</v>
      </c>
      <c r="M8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45211</v>
      </c>
      <c r="N871">
        <v>3</v>
      </c>
      <c r="O871">
        <v>1302.54</v>
      </c>
      <c r="P871">
        <f>tblOrders[[#This Row],[Quantity]]*tblOrders[[#This Row],[Unit Price]]</f>
        <v>1302.54</v>
      </c>
      <c r="Q871">
        <f>tblOrders[[#This Row],[TotalSales]]-tblOrders[[#This Row],[Calculated Sales]]</f>
        <v>0</v>
      </c>
    </row>
    <row r="872" spans="1:17" x14ac:dyDescent="0.25">
      <c r="A872">
        <v>1741</v>
      </c>
      <c r="B872">
        <v>710</v>
      </c>
      <c r="C872" t="str">
        <f>_xlfn.XLOOKUP(tblOrders[[#This Row],[CustomerID]],tblCustomers[CustomerID],tblCustomers[CustomerName],"not found")</f>
        <v>Clinton Smith</v>
      </c>
      <c r="D872">
        <f>_xlfn.XLOOKUP(tblOrders[[#This Row],[CustomerID]],tblCustomers[CustomerID],tblCustomers[Age],"not found")</f>
        <v>40</v>
      </c>
      <c r="E872" t="str">
        <f>_xlfn.XLOOKUP(tblOrders[[#This Row],[CustomerID]],tblCustomers[CustomerID],tblCustomers[Gender],"not found")</f>
        <v>Female</v>
      </c>
      <c r="F872" t="str">
        <f>_xlfn.XLOOKUP(tblOrders[[#This Row],[CustomerID]],tblCustomers[CustomerID],tblCustomers[Region],"not found")</f>
        <v>North</v>
      </c>
      <c r="G872">
        <v>1061</v>
      </c>
      <c r="H872" t="str">
        <f>_xlfn.XLOOKUP(tblOrders[[#This Row],[ProductID]],tblProducts[ProductID],tblProducts[ProductName],"not found")</f>
        <v>State</v>
      </c>
      <c r="I872" t="str">
        <f>_xlfn.XLOOKUP(tblOrders[[#This Row],[ProductID]],tblProducts[ProductID],tblProducts[Category],"not found")</f>
        <v>Furniture</v>
      </c>
      <c r="J872">
        <f>_xlfn.XLOOKUP(tblOrders[[#This Row],[ProductID]],tblProducts[ProductID],tblProducts[UnitPrice],"not found")</f>
        <v>434.18</v>
      </c>
      <c r="K872" t="str">
        <f>_xlfn.XLOOKUP(tblOrders[[#This Row],[ProductID]],tblProducts[ProductID],tblProducts[Supplier],"not found")</f>
        <v>Ball-Russell</v>
      </c>
      <c r="L872" s="1" t="s">
        <v>2144</v>
      </c>
      <c r="M8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45405</v>
      </c>
      <c r="N872">
        <v>6</v>
      </c>
      <c r="O872">
        <v>2605.08</v>
      </c>
      <c r="P872">
        <f>tblOrders[[#This Row],[Quantity]]*tblOrders[[#This Row],[Unit Price]]</f>
        <v>2605.08</v>
      </c>
      <c r="Q872">
        <f>tblOrders[[#This Row],[TotalSales]]-tblOrders[[#This Row],[Calculated Sales]]</f>
        <v>0</v>
      </c>
    </row>
    <row r="873" spans="1:17" x14ac:dyDescent="0.25">
      <c r="A873">
        <v>1771</v>
      </c>
      <c r="B873">
        <v>621</v>
      </c>
      <c r="C873" t="str">
        <f>_xlfn.XLOOKUP(tblOrders[[#This Row],[CustomerID]],tblCustomers[CustomerID],tblCustomers[CustomerName],"not found")</f>
        <v>Maria Gutierrez</v>
      </c>
      <c r="D873">
        <f>_xlfn.XLOOKUP(tblOrders[[#This Row],[CustomerID]],tblCustomers[CustomerID],tblCustomers[Age],"not found")</f>
        <v>37</v>
      </c>
      <c r="E873" t="str">
        <f>_xlfn.XLOOKUP(tblOrders[[#This Row],[CustomerID]],tblCustomers[CustomerID],tblCustomers[Gender],"not found")</f>
        <v>Female</v>
      </c>
      <c r="F873" t="str">
        <f>_xlfn.XLOOKUP(tblOrders[[#This Row],[CustomerID]],tblCustomers[CustomerID],tblCustomers[Region],"not found")</f>
        <v>North</v>
      </c>
      <c r="G873">
        <v>1061</v>
      </c>
      <c r="H873" t="str">
        <f>_xlfn.XLOOKUP(tblOrders[[#This Row],[ProductID]],tblProducts[ProductID],tblProducts[ProductName],"not found")</f>
        <v>State</v>
      </c>
      <c r="I873" t="str">
        <f>_xlfn.XLOOKUP(tblOrders[[#This Row],[ProductID]],tblProducts[ProductID],tblProducts[Category],"not found")</f>
        <v>Furniture</v>
      </c>
      <c r="J873">
        <f>_xlfn.XLOOKUP(tblOrders[[#This Row],[ProductID]],tblProducts[ProductID],tblProducts[UnitPrice],"not found")</f>
        <v>434.18</v>
      </c>
      <c r="K873" t="str">
        <f>_xlfn.XLOOKUP(tblOrders[[#This Row],[ProductID]],tblProducts[ProductID],tblProducts[Supplier],"not found")</f>
        <v>Ball-Russell</v>
      </c>
      <c r="L873" s="1" t="s">
        <v>2104</v>
      </c>
      <c r="M8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45045</v>
      </c>
      <c r="N873">
        <v>1</v>
      </c>
      <c r="O873">
        <v>434.18</v>
      </c>
      <c r="P873">
        <f>tblOrders[[#This Row],[Quantity]]*tblOrders[[#This Row],[Unit Price]]</f>
        <v>434.18</v>
      </c>
      <c r="Q873">
        <f>tblOrders[[#This Row],[TotalSales]]-tblOrders[[#This Row],[Calculated Sales]]</f>
        <v>0</v>
      </c>
    </row>
    <row r="874" spans="1:17" x14ac:dyDescent="0.25">
      <c r="A874">
        <v>1804</v>
      </c>
      <c r="B874">
        <v>561</v>
      </c>
      <c r="C874" t="str">
        <f>_xlfn.XLOOKUP(tblOrders[[#This Row],[CustomerID]],tblCustomers[CustomerID],tblCustomers[CustomerName],"not found")</f>
        <v>Jesse West</v>
      </c>
      <c r="D874">
        <f>_xlfn.XLOOKUP(tblOrders[[#This Row],[CustomerID]],tblCustomers[CustomerID],tblCustomers[Age],"not found")</f>
        <v>19</v>
      </c>
      <c r="E874" t="str">
        <f>_xlfn.XLOOKUP(tblOrders[[#This Row],[CustomerID]],tblCustomers[CustomerID],tblCustomers[Gender],"not found")</f>
        <v>Male</v>
      </c>
      <c r="F874" t="str">
        <f>_xlfn.XLOOKUP(tblOrders[[#This Row],[CustomerID]],tblCustomers[CustomerID],tblCustomers[Region],"not found")</f>
        <v>North</v>
      </c>
      <c r="G874">
        <v>1061</v>
      </c>
      <c r="H874" t="str">
        <f>_xlfn.XLOOKUP(tblOrders[[#This Row],[ProductID]],tblProducts[ProductID],tblProducts[ProductName],"not found")</f>
        <v>State</v>
      </c>
      <c r="I874" t="str">
        <f>_xlfn.XLOOKUP(tblOrders[[#This Row],[ProductID]],tblProducts[ProductID],tblProducts[Category],"not found")</f>
        <v>Furniture</v>
      </c>
      <c r="J874">
        <f>_xlfn.XLOOKUP(tblOrders[[#This Row],[ProductID]],tblProducts[ProductID],tblProducts[UnitPrice],"not found")</f>
        <v>434.18</v>
      </c>
      <c r="K874" t="str">
        <f>_xlfn.XLOOKUP(tblOrders[[#This Row],[ProductID]],tblProducts[ProductID],tblProducts[Supplier],"not found")</f>
        <v>Ball-Russell</v>
      </c>
      <c r="L874" s="1">
        <v>45450</v>
      </c>
      <c r="M8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45450</v>
      </c>
      <c r="N874">
        <v>5</v>
      </c>
      <c r="O874">
        <v>2170.9</v>
      </c>
      <c r="P874">
        <f>tblOrders[[#This Row],[Quantity]]*tblOrders[[#This Row],[Unit Price]]</f>
        <v>2170.9</v>
      </c>
      <c r="Q874">
        <f>tblOrders[[#This Row],[TotalSales]]-tblOrders[[#This Row],[Calculated Sales]]</f>
        <v>0</v>
      </c>
    </row>
    <row r="875" spans="1:17" x14ac:dyDescent="0.25">
      <c r="A875">
        <v>1906</v>
      </c>
      <c r="B875">
        <v>603</v>
      </c>
      <c r="C875" t="str">
        <f>_xlfn.XLOOKUP(tblOrders[[#This Row],[CustomerID]],tblCustomers[CustomerID],tblCustomers[CustomerName],"not found")</f>
        <v>Robert Fuller</v>
      </c>
      <c r="D875">
        <f>_xlfn.XLOOKUP(tblOrders[[#This Row],[CustomerID]],tblCustomers[CustomerID],tblCustomers[Age],"not found")</f>
        <v>26</v>
      </c>
      <c r="E875" t="str">
        <f>_xlfn.XLOOKUP(tblOrders[[#This Row],[CustomerID]],tblCustomers[CustomerID],tblCustomers[Gender],"not found")</f>
        <v>Female</v>
      </c>
      <c r="F875" t="str">
        <f>_xlfn.XLOOKUP(tblOrders[[#This Row],[CustomerID]],tblCustomers[CustomerID],tblCustomers[Region],"not found")</f>
        <v>Central</v>
      </c>
      <c r="G875">
        <v>1061</v>
      </c>
      <c r="H875" t="str">
        <f>_xlfn.XLOOKUP(tblOrders[[#This Row],[ProductID]],tblProducts[ProductID],tblProducts[ProductName],"not found")</f>
        <v>State</v>
      </c>
      <c r="I875" t="str">
        <f>_xlfn.XLOOKUP(tblOrders[[#This Row],[ProductID]],tblProducts[ProductID],tblProducts[Category],"not found")</f>
        <v>Furniture</v>
      </c>
      <c r="J875">
        <f>_xlfn.XLOOKUP(tblOrders[[#This Row],[ProductID]],tblProducts[ProductID],tblProducts[UnitPrice],"not found")</f>
        <v>434.18</v>
      </c>
      <c r="K875" t="str">
        <f>_xlfn.XLOOKUP(tblOrders[[#This Row],[ProductID]],tblProducts[ProductID],tblProducts[Supplier],"not found")</f>
        <v>Ball-Russell</v>
      </c>
      <c r="L875" s="1">
        <v>45296</v>
      </c>
      <c r="M8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45296</v>
      </c>
      <c r="N875">
        <v>3</v>
      </c>
      <c r="O875">
        <v>1302.54</v>
      </c>
      <c r="P875">
        <f>tblOrders[[#This Row],[Quantity]]*tblOrders[[#This Row],[Unit Price]]</f>
        <v>1302.54</v>
      </c>
      <c r="Q875">
        <f>tblOrders[[#This Row],[TotalSales]]-tblOrders[[#This Row],[Calculated Sales]]</f>
        <v>0</v>
      </c>
    </row>
    <row r="876" spans="1:17" x14ac:dyDescent="0.25">
      <c r="A876">
        <v>47</v>
      </c>
      <c r="B876">
        <v>685</v>
      </c>
      <c r="C876" t="str">
        <f>_xlfn.XLOOKUP(tblOrders[[#This Row],[CustomerID]],tblCustomers[CustomerID],tblCustomers[CustomerName],"not found")</f>
        <v>Joseph Porter</v>
      </c>
      <c r="D876">
        <f>_xlfn.XLOOKUP(tblOrders[[#This Row],[CustomerID]],tblCustomers[CustomerID],tblCustomers[Age],"not found")</f>
        <v>53</v>
      </c>
      <c r="E876" t="str">
        <f>_xlfn.XLOOKUP(tblOrders[[#This Row],[CustomerID]],tblCustomers[CustomerID],tblCustomers[Gender],"not found")</f>
        <v>Male</v>
      </c>
      <c r="F876" t="str">
        <f>_xlfn.XLOOKUP(tblOrders[[#This Row],[CustomerID]],tblCustomers[CustomerID],tblCustomers[Region],"not found")</f>
        <v>South</v>
      </c>
      <c r="G876">
        <v>1030</v>
      </c>
      <c r="H876" t="str">
        <f>_xlfn.XLOOKUP(tblOrders[[#This Row],[ProductID]],tblProducts[ProductID],tblProducts[ProductName],"not found")</f>
        <v>Stock</v>
      </c>
      <c r="I876" t="str">
        <f>_xlfn.XLOOKUP(tblOrders[[#This Row],[ProductID]],tblProducts[ProductID],tblProducts[Category],"not found")</f>
        <v>Apparel</v>
      </c>
      <c r="J876">
        <f>_xlfn.XLOOKUP(tblOrders[[#This Row],[ProductID]],tblProducts[ProductID],tblProducts[UnitPrice],"not found")</f>
        <v>159.69999999999999</v>
      </c>
      <c r="K876" t="str">
        <f>_xlfn.XLOOKUP(tblOrders[[#This Row],[ProductID]],tblProducts[ProductID],tblProducts[Supplier],"not found")</f>
        <v>Alvarez Group</v>
      </c>
      <c r="L876" s="1" t="s">
        <v>2139</v>
      </c>
      <c r="M8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45442</v>
      </c>
      <c r="N876">
        <v>7</v>
      </c>
      <c r="O876">
        <v>1117.9000000000001</v>
      </c>
      <c r="P876">
        <f>tblOrders[[#This Row],[Quantity]]*tblOrders[[#This Row],[Unit Price]]</f>
        <v>1117.8999999999999</v>
      </c>
      <c r="Q876">
        <f>tblOrders[[#This Row],[TotalSales]]-tblOrders[[#This Row],[Calculated Sales]]</f>
        <v>0</v>
      </c>
    </row>
    <row r="877" spans="1:17" x14ac:dyDescent="0.25">
      <c r="A877">
        <v>209</v>
      </c>
      <c r="B877">
        <v>379</v>
      </c>
      <c r="C877" t="str">
        <f>_xlfn.XLOOKUP(tblOrders[[#This Row],[CustomerID]],tblCustomers[CustomerID],tblCustomers[CustomerName],"not found")</f>
        <v>Mary Johnson</v>
      </c>
      <c r="D877">
        <f>_xlfn.XLOOKUP(tblOrders[[#This Row],[CustomerID]],tblCustomers[CustomerID],tblCustomers[Age],"not found")</f>
        <v>44</v>
      </c>
      <c r="E877" t="str">
        <f>_xlfn.XLOOKUP(tblOrders[[#This Row],[CustomerID]],tblCustomers[CustomerID],tblCustomers[Gender],"not found")</f>
        <v>Female</v>
      </c>
      <c r="F877" t="str">
        <f>_xlfn.XLOOKUP(tblOrders[[#This Row],[CustomerID]],tblCustomers[CustomerID],tblCustomers[Region],"not found")</f>
        <v>West</v>
      </c>
      <c r="G877">
        <v>1030</v>
      </c>
      <c r="H877" t="str">
        <f>_xlfn.XLOOKUP(tblOrders[[#This Row],[ProductID]],tblProducts[ProductID],tblProducts[ProductName],"not found")</f>
        <v>Stock</v>
      </c>
      <c r="I877" t="str">
        <f>_xlfn.XLOOKUP(tblOrders[[#This Row],[ProductID]],tblProducts[ProductID],tblProducts[Category],"not found")</f>
        <v>Apparel</v>
      </c>
      <c r="J877">
        <f>_xlfn.XLOOKUP(tblOrders[[#This Row],[ProductID]],tblProducts[ProductID],tblProducts[UnitPrice],"not found")</f>
        <v>159.69999999999999</v>
      </c>
      <c r="K877" t="str">
        <f>_xlfn.XLOOKUP(tblOrders[[#This Row],[ProductID]],tblProducts[ProductID],tblProducts[Supplier],"not found")</f>
        <v>Alvarez Group</v>
      </c>
      <c r="L877" s="1">
        <v>44991</v>
      </c>
      <c r="M8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44991</v>
      </c>
      <c r="N877">
        <v>4</v>
      </c>
      <c r="O877">
        <v>638.79999999999995</v>
      </c>
      <c r="P877">
        <f>tblOrders[[#This Row],[Quantity]]*tblOrders[[#This Row],[Unit Price]]</f>
        <v>638.79999999999995</v>
      </c>
      <c r="Q877">
        <f>tblOrders[[#This Row],[TotalSales]]-tblOrders[[#This Row],[Calculated Sales]]</f>
        <v>0</v>
      </c>
    </row>
    <row r="878" spans="1:17" x14ac:dyDescent="0.25">
      <c r="A878">
        <v>509</v>
      </c>
      <c r="B878">
        <v>331</v>
      </c>
      <c r="C878" t="str">
        <f>_xlfn.XLOOKUP(tblOrders[[#This Row],[CustomerID]],tblCustomers[CustomerID],tblCustomers[CustomerName],"not found")</f>
        <v>Ronald Gill</v>
      </c>
      <c r="D878">
        <f>_xlfn.XLOOKUP(tblOrders[[#This Row],[CustomerID]],tblCustomers[CustomerID],tblCustomers[Age],"not found")</f>
        <v>47</v>
      </c>
      <c r="E878" t="str">
        <f>_xlfn.XLOOKUP(tblOrders[[#This Row],[CustomerID]],tblCustomers[CustomerID],tblCustomers[Gender],"not found")</f>
        <v>Female</v>
      </c>
      <c r="F878" t="str">
        <f>_xlfn.XLOOKUP(tblOrders[[#This Row],[CustomerID]],tblCustomers[CustomerID],tblCustomers[Region],"not found")</f>
        <v>East</v>
      </c>
      <c r="G878">
        <v>1030</v>
      </c>
      <c r="H878" t="str">
        <f>_xlfn.XLOOKUP(tblOrders[[#This Row],[ProductID]],tblProducts[ProductID],tblProducts[ProductName],"not found")</f>
        <v>Stock</v>
      </c>
      <c r="I878" t="str">
        <f>_xlfn.XLOOKUP(tblOrders[[#This Row],[ProductID]],tblProducts[ProductID],tblProducts[Category],"not found")</f>
        <v>Apparel</v>
      </c>
      <c r="J878">
        <f>_xlfn.XLOOKUP(tblOrders[[#This Row],[ProductID]],tblProducts[ProductID],tblProducts[UnitPrice],"not found")</f>
        <v>159.69999999999999</v>
      </c>
      <c r="K878" t="str">
        <f>_xlfn.XLOOKUP(tblOrders[[#This Row],[ProductID]],tblProducts[ProductID],tblProducts[Supplier],"not found")</f>
        <v>Alvarez Group</v>
      </c>
      <c r="L878" s="1">
        <v>44877</v>
      </c>
      <c r="M8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44877</v>
      </c>
      <c r="N878">
        <v>7</v>
      </c>
      <c r="O878">
        <v>1117.9000000000001</v>
      </c>
      <c r="P878">
        <f>tblOrders[[#This Row],[Quantity]]*tblOrders[[#This Row],[Unit Price]]</f>
        <v>1117.8999999999999</v>
      </c>
      <c r="Q878">
        <f>tblOrders[[#This Row],[TotalSales]]-tblOrders[[#This Row],[Calculated Sales]]</f>
        <v>0</v>
      </c>
    </row>
    <row r="879" spans="1:17" x14ac:dyDescent="0.25">
      <c r="A879">
        <v>517</v>
      </c>
      <c r="B879">
        <v>323</v>
      </c>
      <c r="C879" t="str">
        <f>_xlfn.XLOOKUP(tblOrders[[#This Row],[CustomerID]],tblCustomers[CustomerID],tblCustomers[CustomerName],"not found")</f>
        <v>Aaron Thomas</v>
      </c>
      <c r="D879">
        <f>_xlfn.XLOOKUP(tblOrders[[#This Row],[CustomerID]],tblCustomers[CustomerID],tblCustomers[Age],"not found")</f>
        <v>40</v>
      </c>
      <c r="E879" t="str">
        <f>_xlfn.XLOOKUP(tblOrders[[#This Row],[CustomerID]],tblCustomers[CustomerID],tblCustomers[Gender],"not found")</f>
        <v>Female</v>
      </c>
      <c r="F879" t="str">
        <f>_xlfn.XLOOKUP(tblOrders[[#This Row],[CustomerID]],tblCustomers[CustomerID],tblCustomers[Region],"not found")</f>
        <v>North</v>
      </c>
      <c r="G879">
        <v>1030</v>
      </c>
      <c r="H879" t="str">
        <f>_xlfn.XLOOKUP(tblOrders[[#This Row],[ProductID]],tblProducts[ProductID],tblProducts[ProductName],"not found")</f>
        <v>Stock</v>
      </c>
      <c r="I879" t="str">
        <f>_xlfn.XLOOKUP(tblOrders[[#This Row],[ProductID]],tblProducts[ProductID],tblProducts[Category],"not found")</f>
        <v>Apparel</v>
      </c>
      <c r="J879">
        <f>_xlfn.XLOOKUP(tblOrders[[#This Row],[ProductID]],tblProducts[ProductID],tblProducts[UnitPrice],"not found")</f>
        <v>159.69999999999999</v>
      </c>
      <c r="K879" t="str">
        <f>_xlfn.XLOOKUP(tblOrders[[#This Row],[ProductID]],tblProducts[ProductID],tblProducts[Supplier],"not found")</f>
        <v>Alvarez Group</v>
      </c>
      <c r="L879" s="1" t="s">
        <v>2258</v>
      </c>
      <c r="M8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45031</v>
      </c>
      <c r="N879">
        <v>6</v>
      </c>
      <c r="O879">
        <v>958.2</v>
      </c>
      <c r="P879">
        <f>tblOrders[[#This Row],[Quantity]]*tblOrders[[#This Row],[Unit Price]]</f>
        <v>958.19999999999993</v>
      </c>
      <c r="Q879">
        <f>tblOrders[[#This Row],[TotalSales]]-tblOrders[[#This Row],[Calculated Sales]]</f>
        <v>0</v>
      </c>
    </row>
    <row r="880" spans="1:17" x14ac:dyDescent="0.25">
      <c r="A880">
        <v>626</v>
      </c>
      <c r="B880">
        <v>78</v>
      </c>
      <c r="C880" t="str">
        <f>_xlfn.XLOOKUP(tblOrders[[#This Row],[CustomerID]],tblCustomers[CustomerID],tblCustomers[CustomerName],"not found")</f>
        <v>Kimberly Walton</v>
      </c>
      <c r="D880">
        <f>_xlfn.XLOOKUP(tblOrders[[#This Row],[CustomerID]],tblCustomers[CustomerID],tblCustomers[Age],"not found")</f>
        <v>28</v>
      </c>
      <c r="E880" t="str">
        <f>_xlfn.XLOOKUP(tblOrders[[#This Row],[CustomerID]],tblCustomers[CustomerID],tblCustomers[Gender],"not found")</f>
        <v>Female</v>
      </c>
      <c r="F880" t="str">
        <f>_xlfn.XLOOKUP(tblOrders[[#This Row],[CustomerID]],tblCustomers[CustomerID],tblCustomers[Region],"not found")</f>
        <v>Central</v>
      </c>
      <c r="G880">
        <v>1030</v>
      </c>
      <c r="H880" t="str">
        <f>_xlfn.XLOOKUP(tblOrders[[#This Row],[ProductID]],tblProducts[ProductID],tblProducts[ProductName],"not found")</f>
        <v>Stock</v>
      </c>
      <c r="I880" t="str">
        <f>_xlfn.XLOOKUP(tblOrders[[#This Row],[ProductID]],tblProducts[ProductID],tblProducts[Category],"not found")</f>
        <v>Apparel</v>
      </c>
      <c r="J880">
        <f>_xlfn.XLOOKUP(tblOrders[[#This Row],[ProductID]],tblProducts[ProductID],tblProducts[UnitPrice],"not found")</f>
        <v>159.69999999999999</v>
      </c>
      <c r="K880" t="str">
        <f>_xlfn.XLOOKUP(tblOrders[[#This Row],[ProductID]],tblProducts[ProductID],tblProducts[Supplier],"not found")</f>
        <v>Alvarez Group</v>
      </c>
      <c r="L880" s="1">
        <v>45483</v>
      </c>
      <c r="M8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45483</v>
      </c>
      <c r="N880">
        <v>2</v>
      </c>
      <c r="O880">
        <v>319.39999999999998</v>
      </c>
      <c r="P880">
        <f>tblOrders[[#This Row],[Quantity]]*tblOrders[[#This Row],[Unit Price]]</f>
        <v>319.39999999999998</v>
      </c>
      <c r="Q880">
        <f>tblOrders[[#This Row],[TotalSales]]-tblOrders[[#This Row],[Calculated Sales]]</f>
        <v>0</v>
      </c>
    </row>
    <row r="881" spans="1:17" x14ac:dyDescent="0.25">
      <c r="A881">
        <v>734</v>
      </c>
      <c r="B881">
        <v>766</v>
      </c>
      <c r="C881" t="str">
        <f>_xlfn.XLOOKUP(tblOrders[[#This Row],[CustomerID]],tblCustomers[CustomerID],tblCustomers[CustomerName],"not found")</f>
        <v>Kenneth Cole</v>
      </c>
      <c r="D881">
        <f>_xlfn.XLOOKUP(tblOrders[[#This Row],[CustomerID]],tblCustomers[CustomerID],tblCustomers[Age],"not found")</f>
        <v>29</v>
      </c>
      <c r="E881" t="str">
        <f>_xlfn.XLOOKUP(tblOrders[[#This Row],[CustomerID]],tblCustomers[CustomerID],tblCustomers[Gender],"not found")</f>
        <v>Male</v>
      </c>
      <c r="F881" t="str">
        <f>_xlfn.XLOOKUP(tblOrders[[#This Row],[CustomerID]],tblCustomers[CustomerID],tblCustomers[Region],"not found")</f>
        <v>South</v>
      </c>
      <c r="G881">
        <v>1030</v>
      </c>
      <c r="H881" t="str">
        <f>_xlfn.XLOOKUP(tblOrders[[#This Row],[ProductID]],tblProducts[ProductID],tblProducts[ProductName],"not found")</f>
        <v>Stock</v>
      </c>
      <c r="I881" t="str">
        <f>_xlfn.XLOOKUP(tblOrders[[#This Row],[ProductID]],tblProducts[ProductID],tblProducts[Category],"not found")</f>
        <v>Apparel</v>
      </c>
      <c r="J881">
        <f>_xlfn.XLOOKUP(tblOrders[[#This Row],[ProductID]],tblProducts[ProductID],tblProducts[UnitPrice],"not found")</f>
        <v>159.69999999999999</v>
      </c>
      <c r="K881" t="str">
        <f>_xlfn.XLOOKUP(tblOrders[[#This Row],[ProductID]],tblProducts[ProductID],tblProducts[Supplier],"not found")</f>
        <v>Alvarez Group</v>
      </c>
      <c r="L881" s="1">
        <v>45144</v>
      </c>
      <c r="M8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45144</v>
      </c>
      <c r="N881">
        <v>2</v>
      </c>
      <c r="O881">
        <v>319.39999999999998</v>
      </c>
      <c r="P881">
        <f>tblOrders[[#This Row],[Quantity]]*tblOrders[[#This Row],[Unit Price]]</f>
        <v>319.39999999999998</v>
      </c>
      <c r="Q881">
        <f>tblOrders[[#This Row],[TotalSales]]-tblOrders[[#This Row],[Calculated Sales]]</f>
        <v>0</v>
      </c>
    </row>
    <row r="882" spans="1:17" x14ac:dyDescent="0.25">
      <c r="A882">
        <v>735</v>
      </c>
      <c r="B882">
        <v>299</v>
      </c>
      <c r="C882" t="str">
        <f>_xlfn.XLOOKUP(tblOrders[[#This Row],[CustomerID]],tblCustomers[CustomerID],tblCustomers[CustomerName],"not found")</f>
        <v>Brian Cantrell</v>
      </c>
      <c r="D882">
        <f>_xlfn.XLOOKUP(tblOrders[[#This Row],[CustomerID]],tblCustomers[CustomerID],tblCustomers[Age],"not found")</f>
        <v>69</v>
      </c>
      <c r="E882" t="str">
        <f>_xlfn.XLOOKUP(tblOrders[[#This Row],[CustomerID]],tblCustomers[CustomerID],tblCustomers[Gender],"not found")</f>
        <v>Male</v>
      </c>
      <c r="F882" t="str">
        <f>_xlfn.XLOOKUP(tblOrders[[#This Row],[CustomerID]],tblCustomers[CustomerID],tblCustomers[Region],"not found")</f>
        <v>East</v>
      </c>
      <c r="G882">
        <v>1030</v>
      </c>
      <c r="H882" t="str">
        <f>_xlfn.XLOOKUP(tblOrders[[#This Row],[ProductID]],tblProducts[ProductID],tblProducts[ProductName],"not found")</f>
        <v>Stock</v>
      </c>
      <c r="I882" t="str">
        <f>_xlfn.XLOOKUP(tblOrders[[#This Row],[ProductID]],tblProducts[ProductID],tblProducts[Category],"not found")</f>
        <v>Apparel</v>
      </c>
      <c r="J882">
        <f>_xlfn.XLOOKUP(tblOrders[[#This Row],[ProductID]],tblProducts[ProductID],tblProducts[UnitPrice],"not found")</f>
        <v>159.69999999999999</v>
      </c>
      <c r="K882" t="str">
        <f>_xlfn.XLOOKUP(tblOrders[[#This Row],[ProductID]],tblProducts[ProductID],tblProducts[Supplier],"not found")</f>
        <v>Alvarez Group</v>
      </c>
      <c r="L882" s="1" t="s">
        <v>2319</v>
      </c>
      <c r="M8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45321</v>
      </c>
      <c r="N882">
        <v>7</v>
      </c>
      <c r="O882">
        <v>1117.9000000000001</v>
      </c>
      <c r="P882">
        <f>tblOrders[[#This Row],[Quantity]]*tblOrders[[#This Row],[Unit Price]]</f>
        <v>1117.8999999999999</v>
      </c>
      <c r="Q882">
        <f>tblOrders[[#This Row],[TotalSales]]-tblOrders[[#This Row],[Calculated Sales]]</f>
        <v>0</v>
      </c>
    </row>
    <row r="883" spans="1:17" x14ac:dyDescent="0.25">
      <c r="A883">
        <v>808</v>
      </c>
      <c r="B883">
        <v>344</v>
      </c>
      <c r="C883" t="str">
        <f>_xlfn.XLOOKUP(tblOrders[[#This Row],[CustomerID]],tblCustomers[CustomerID],tblCustomers[CustomerName],"not found")</f>
        <v>Joseph Hernandez</v>
      </c>
      <c r="D883">
        <f>_xlfn.XLOOKUP(tblOrders[[#This Row],[CustomerID]],tblCustomers[CustomerID],tblCustomers[Age],"not found")</f>
        <v>27</v>
      </c>
      <c r="E883" t="str">
        <f>_xlfn.XLOOKUP(tblOrders[[#This Row],[CustomerID]],tblCustomers[CustomerID],tblCustomers[Gender],"not found")</f>
        <v>Female</v>
      </c>
      <c r="F883" t="str">
        <f>_xlfn.XLOOKUP(tblOrders[[#This Row],[CustomerID]],tblCustomers[CustomerID],tblCustomers[Region],"not found")</f>
        <v>North</v>
      </c>
      <c r="G883">
        <v>1030</v>
      </c>
      <c r="H883" t="str">
        <f>_xlfn.XLOOKUP(tblOrders[[#This Row],[ProductID]],tblProducts[ProductID],tblProducts[ProductName],"not found")</f>
        <v>Stock</v>
      </c>
      <c r="I883" t="str">
        <f>_xlfn.XLOOKUP(tblOrders[[#This Row],[ProductID]],tblProducts[ProductID],tblProducts[Category],"not found")</f>
        <v>Apparel</v>
      </c>
      <c r="J883">
        <f>_xlfn.XLOOKUP(tblOrders[[#This Row],[ProductID]],tblProducts[ProductID],tblProducts[UnitPrice],"not found")</f>
        <v>159.69999999999999</v>
      </c>
      <c r="K883" t="str">
        <f>_xlfn.XLOOKUP(tblOrders[[#This Row],[ProductID]],tblProducts[ProductID],tblProducts[Supplier],"not found")</f>
        <v>Alvarez Group</v>
      </c>
      <c r="L883" s="1" t="s">
        <v>2318</v>
      </c>
      <c r="M8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45120</v>
      </c>
      <c r="N883">
        <v>9</v>
      </c>
      <c r="O883">
        <v>1437.3</v>
      </c>
      <c r="P883">
        <f>tblOrders[[#This Row],[Quantity]]*tblOrders[[#This Row],[Unit Price]]</f>
        <v>1437.3</v>
      </c>
      <c r="Q883">
        <f>tblOrders[[#This Row],[TotalSales]]-tblOrders[[#This Row],[Calculated Sales]]</f>
        <v>0</v>
      </c>
    </row>
    <row r="884" spans="1:17" x14ac:dyDescent="0.25">
      <c r="A884">
        <v>839</v>
      </c>
      <c r="B884">
        <v>848</v>
      </c>
      <c r="C884" t="str">
        <f>_xlfn.XLOOKUP(tblOrders[[#This Row],[CustomerID]],tblCustomers[CustomerID],tblCustomers[CustomerName],"not found")</f>
        <v>Barbara Reese</v>
      </c>
      <c r="D884">
        <f>_xlfn.XLOOKUP(tblOrders[[#This Row],[CustomerID]],tblCustomers[CustomerID],tblCustomers[Age],"not found")</f>
        <v>44</v>
      </c>
      <c r="E884" t="str">
        <f>_xlfn.XLOOKUP(tblOrders[[#This Row],[CustomerID]],tblCustomers[CustomerID],tblCustomers[Gender],"not found")</f>
        <v>Female</v>
      </c>
      <c r="F884" t="str">
        <f>_xlfn.XLOOKUP(tblOrders[[#This Row],[CustomerID]],tblCustomers[CustomerID],tblCustomers[Region],"not found")</f>
        <v>Central</v>
      </c>
      <c r="G884">
        <v>1030</v>
      </c>
      <c r="H884" t="str">
        <f>_xlfn.XLOOKUP(tblOrders[[#This Row],[ProductID]],tblProducts[ProductID],tblProducts[ProductName],"not found")</f>
        <v>Stock</v>
      </c>
      <c r="I884" t="str">
        <f>_xlfn.XLOOKUP(tblOrders[[#This Row],[ProductID]],tblProducts[ProductID],tblProducts[Category],"not found")</f>
        <v>Apparel</v>
      </c>
      <c r="J884">
        <f>_xlfn.XLOOKUP(tblOrders[[#This Row],[ProductID]],tblProducts[ProductID],tblProducts[UnitPrice],"not found")</f>
        <v>159.69999999999999</v>
      </c>
      <c r="K884" t="str">
        <f>_xlfn.XLOOKUP(tblOrders[[#This Row],[ProductID]],tblProducts[ProductID],tblProducts[Supplier],"not found")</f>
        <v>Alvarez Group</v>
      </c>
      <c r="L884" s="1" t="s">
        <v>2320</v>
      </c>
      <c r="M8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45075</v>
      </c>
      <c r="N884">
        <v>6</v>
      </c>
      <c r="O884">
        <v>958.2</v>
      </c>
      <c r="P884">
        <f>tblOrders[[#This Row],[Quantity]]*tblOrders[[#This Row],[Unit Price]]</f>
        <v>958.19999999999993</v>
      </c>
      <c r="Q884">
        <f>tblOrders[[#This Row],[TotalSales]]-tblOrders[[#This Row],[Calculated Sales]]</f>
        <v>0</v>
      </c>
    </row>
    <row r="885" spans="1:17" x14ac:dyDescent="0.25">
      <c r="A885">
        <v>1000</v>
      </c>
      <c r="B885">
        <v>557</v>
      </c>
      <c r="C885" t="str">
        <f>_xlfn.XLOOKUP(tblOrders[[#This Row],[CustomerID]],tblCustomers[CustomerID],tblCustomers[CustomerName],"not found")</f>
        <v>Max Mayo</v>
      </c>
      <c r="D885">
        <f>_xlfn.XLOOKUP(tblOrders[[#This Row],[CustomerID]],tblCustomers[CustomerID],tblCustomers[Age],"not found")</f>
        <v>41</v>
      </c>
      <c r="E885" t="str">
        <f>_xlfn.XLOOKUP(tblOrders[[#This Row],[CustomerID]],tblCustomers[CustomerID],tblCustomers[Gender],"not found")</f>
        <v>Female</v>
      </c>
      <c r="F885" t="str">
        <f>_xlfn.XLOOKUP(tblOrders[[#This Row],[CustomerID]],tblCustomers[CustomerID],tblCustomers[Region],"not found")</f>
        <v>South</v>
      </c>
      <c r="G885">
        <v>1030</v>
      </c>
      <c r="H885" t="str">
        <f>_xlfn.XLOOKUP(tblOrders[[#This Row],[ProductID]],tblProducts[ProductID],tblProducts[ProductName],"not found")</f>
        <v>Stock</v>
      </c>
      <c r="I885" t="str">
        <f>_xlfn.XLOOKUP(tblOrders[[#This Row],[ProductID]],tblProducts[ProductID],tblProducts[Category],"not found")</f>
        <v>Apparel</v>
      </c>
      <c r="J885">
        <f>_xlfn.XLOOKUP(tblOrders[[#This Row],[ProductID]],tblProducts[ProductID],tblProducts[UnitPrice],"not found")</f>
        <v>159.69999999999999</v>
      </c>
      <c r="K885" t="str">
        <f>_xlfn.XLOOKUP(tblOrders[[#This Row],[ProductID]],tblProducts[ProductID],tblProducts[Supplier],"not found")</f>
        <v>Alvarez Group</v>
      </c>
      <c r="L885" s="1" t="s">
        <v>2321</v>
      </c>
      <c r="M8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45133</v>
      </c>
      <c r="N885">
        <v>3</v>
      </c>
      <c r="O885">
        <v>479.1</v>
      </c>
      <c r="P885">
        <f>tblOrders[[#This Row],[Quantity]]*tblOrders[[#This Row],[Unit Price]]</f>
        <v>479.09999999999997</v>
      </c>
      <c r="Q885">
        <f>tblOrders[[#This Row],[TotalSales]]-tblOrders[[#This Row],[Calculated Sales]]</f>
        <v>0</v>
      </c>
    </row>
    <row r="886" spans="1:17" x14ac:dyDescent="0.25">
      <c r="A886">
        <v>1034</v>
      </c>
      <c r="B886">
        <v>28</v>
      </c>
      <c r="C886" t="str">
        <f>_xlfn.XLOOKUP(tblOrders[[#This Row],[CustomerID]],tblCustomers[CustomerID],tblCustomers[CustomerName],"not found")</f>
        <v>Joseph Powell</v>
      </c>
      <c r="D886">
        <f>_xlfn.XLOOKUP(tblOrders[[#This Row],[CustomerID]],tblCustomers[CustomerID],tblCustomers[Age],"not found")</f>
        <v>57</v>
      </c>
      <c r="E886" t="str">
        <f>_xlfn.XLOOKUP(tblOrders[[#This Row],[CustomerID]],tblCustomers[CustomerID],tblCustomers[Gender],"not found")</f>
        <v>Male</v>
      </c>
      <c r="F886" t="str">
        <f>_xlfn.XLOOKUP(tblOrders[[#This Row],[CustomerID]],tblCustomers[CustomerID],tblCustomers[Region],"not found")</f>
        <v>East</v>
      </c>
      <c r="G886">
        <v>1030</v>
      </c>
      <c r="H886" t="str">
        <f>_xlfn.XLOOKUP(tblOrders[[#This Row],[ProductID]],tblProducts[ProductID],tblProducts[ProductName],"not found")</f>
        <v>Stock</v>
      </c>
      <c r="I886" t="str">
        <f>_xlfn.XLOOKUP(tblOrders[[#This Row],[ProductID]],tblProducts[ProductID],tblProducts[Category],"not found")</f>
        <v>Apparel</v>
      </c>
      <c r="J886">
        <f>_xlfn.XLOOKUP(tblOrders[[#This Row],[ProductID]],tblProducts[ProductID],tblProducts[UnitPrice],"not found")</f>
        <v>159.69999999999999</v>
      </c>
      <c r="K886" t="str">
        <f>_xlfn.XLOOKUP(tblOrders[[#This Row],[ProductID]],tblProducts[ProductID],tblProducts[Supplier],"not found")</f>
        <v>Alvarez Group</v>
      </c>
      <c r="L886" s="1" t="s">
        <v>2190</v>
      </c>
      <c r="M8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45123</v>
      </c>
      <c r="N886">
        <v>2</v>
      </c>
      <c r="O886">
        <v>319.39999999999998</v>
      </c>
      <c r="P886">
        <f>tblOrders[[#This Row],[Quantity]]*tblOrders[[#This Row],[Unit Price]]</f>
        <v>319.39999999999998</v>
      </c>
      <c r="Q886">
        <f>tblOrders[[#This Row],[TotalSales]]-tblOrders[[#This Row],[Calculated Sales]]</f>
        <v>0</v>
      </c>
    </row>
    <row r="887" spans="1:17" x14ac:dyDescent="0.25">
      <c r="A887">
        <v>1046</v>
      </c>
      <c r="B887">
        <v>80</v>
      </c>
      <c r="C887" t="str">
        <f>_xlfn.XLOOKUP(tblOrders[[#This Row],[CustomerID]],tblCustomers[CustomerID],tblCustomers[CustomerName],"not found")</f>
        <v>Sophia Drake</v>
      </c>
      <c r="D887">
        <f>_xlfn.XLOOKUP(tblOrders[[#This Row],[CustomerID]],tblCustomers[CustomerID],tblCustomers[Age],"not found")</f>
        <v>59</v>
      </c>
      <c r="E887" t="str">
        <f>_xlfn.XLOOKUP(tblOrders[[#This Row],[CustomerID]],tblCustomers[CustomerID],tblCustomers[Gender],"not found")</f>
        <v>Male</v>
      </c>
      <c r="F887" t="str">
        <f>_xlfn.XLOOKUP(tblOrders[[#This Row],[CustomerID]],tblCustomers[CustomerID],tblCustomers[Region],"not found")</f>
        <v>North</v>
      </c>
      <c r="G887">
        <v>1030</v>
      </c>
      <c r="H887" t="str">
        <f>_xlfn.XLOOKUP(tblOrders[[#This Row],[ProductID]],tblProducts[ProductID],tblProducts[ProductName],"not found")</f>
        <v>Stock</v>
      </c>
      <c r="I887" t="str">
        <f>_xlfn.XLOOKUP(tblOrders[[#This Row],[ProductID]],tblProducts[ProductID],tblProducts[Category],"not found")</f>
        <v>Apparel</v>
      </c>
      <c r="J887">
        <f>_xlfn.XLOOKUP(tblOrders[[#This Row],[ProductID]],tblProducts[ProductID],tblProducts[UnitPrice],"not found")</f>
        <v>159.69999999999999</v>
      </c>
      <c r="K887" t="str">
        <f>_xlfn.XLOOKUP(tblOrders[[#This Row],[ProductID]],tblProducts[ProductID],tblProducts[Supplier],"not found")</f>
        <v>Alvarez Group</v>
      </c>
      <c r="L887" s="1">
        <v>45209</v>
      </c>
      <c r="M8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45209</v>
      </c>
      <c r="N887">
        <v>4</v>
      </c>
      <c r="O887">
        <v>638.79999999999995</v>
      </c>
      <c r="P887">
        <f>tblOrders[[#This Row],[Quantity]]*tblOrders[[#This Row],[Unit Price]]</f>
        <v>638.79999999999995</v>
      </c>
      <c r="Q887">
        <f>tblOrders[[#This Row],[TotalSales]]-tblOrders[[#This Row],[Calculated Sales]]</f>
        <v>0</v>
      </c>
    </row>
    <row r="888" spans="1:17" x14ac:dyDescent="0.25">
      <c r="A888">
        <v>1353</v>
      </c>
      <c r="B888">
        <v>405</v>
      </c>
      <c r="C888" t="str">
        <f>_xlfn.XLOOKUP(tblOrders[[#This Row],[CustomerID]],tblCustomers[CustomerID],tblCustomers[CustomerName],"not found")</f>
        <v>Sheri Nelson</v>
      </c>
      <c r="D888">
        <f>_xlfn.XLOOKUP(tblOrders[[#This Row],[CustomerID]],tblCustomers[CustomerID],tblCustomers[Age],"not found")</f>
        <v>65</v>
      </c>
      <c r="E888" t="str">
        <f>_xlfn.XLOOKUP(tblOrders[[#This Row],[CustomerID]],tblCustomers[CustomerID],tblCustomers[Gender],"not found")</f>
        <v>Male</v>
      </c>
      <c r="F888" t="str">
        <f>_xlfn.XLOOKUP(tblOrders[[#This Row],[CustomerID]],tblCustomers[CustomerID],tblCustomers[Region],"not found")</f>
        <v>Central</v>
      </c>
      <c r="G888">
        <v>1030</v>
      </c>
      <c r="H888" t="str">
        <f>_xlfn.XLOOKUP(tblOrders[[#This Row],[ProductID]],tblProducts[ProductID],tblProducts[ProductName],"not found")</f>
        <v>Stock</v>
      </c>
      <c r="I888" t="str">
        <f>_xlfn.XLOOKUP(tblOrders[[#This Row],[ProductID]],tblProducts[ProductID],tblProducts[Category],"not found")</f>
        <v>Apparel</v>
      </c>
      <c r="J888">
        <f>_xlfn.XLOOKUP(tblOrders[[#This Row],[ProductID]],tblProducts[ProductID],tblProducts[UnitPrice],"not found")</f>
        <v>159.69999999999999</v>
      </c>
      <c r="K888" t="str">
        <f>_xlfn.XLOOKUP(tblOrders[[#This Row],[ProductID]],tblProducts[ProductID],tblProducts[Supplier],"not found")</f>
        <v>Alvarez Group</v>
      </c>
      <c r="L888" s="1" t="s">
        <v>2322</v>
      </c>
      <c r="M8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45065</v>
      </c>
      <c r="N888">
        <v>3</v>
      </c>
      <c r="O888">
        <v>479.1</v>
      </c>
      <c r="P888">
        <f>tblOrders[[#This Row],[Quantity]]*tblOrders[[#This Row],[Unit Price]]</f>
        <v>479.09999999999997</v>
      </c>
      <c r="Q888">
        <f>tblOrders[[#This Row],[TotalSales]]-tblOrders[[#This Row],[Calculated Sales]]</f>
        <v>0</v>
      </c>
    </row>
    <row r="889" spans="1:17" x14ac:dyDescent="0.25">
      <c r="A889">
        <v>1432</v>
      </c>
      <c r="B889">
        <v>220</v>
      </c>
      <c r="C889" t="str">
        <f>_xlfn.XLOOKUP(tblOrders[[#This Row],[CustomerID]],tblCustomers[CustomerID],tblCustomers[CustomerName],"not found")</f>
        <v>Stephanie Smith</v>
      </c>
      <c r="D889">
        <f>_xlfn.XLOOKUP(tblOrders[[#This Row],[CustomerID]],tblCustomers[CustomerID],tblCustomers[Age],"not found")</f>
        <v>63</v>
      </c>
      <c r="E889" t="str">
        <f>_xlfn.XLOOKUP(tblOrders[[#This Row],[CustomerID]],tblCustomers[CustomerID],tblCustomers[Gender],"not found")</f>
        <v>Female</v>
      </c>
      <c r="F889" t="str">
        <f>_xlfn.XLOOKUP(tblOrders[[#This Row],[CustomerID]],tblCustomers[CustomerID],tblCustomers[Region],"not found")</f>
        <v>South</v>
      </c>
      <c r="G889">
        <v>1030</v>
      </c>
      <c r="H889" t="str">
        <f>_xlfn.XLOOKUP(tblOrders[[#This Row],[ProductID]],tblProducts[ProductID],tblProducts[ProductName],"not found")</f>
        <v>Stock</v>
      </c>
      <c r="I889" t="str">
        <f>_xlfn.XLOOKUP(tblOrders[[#This Row],[ProductID]],tblProducts[ProductID],tblProducts[Category],"not found")</f>
        <v>Apparel</v>
      </c>
      <c r="J889">
        <f>_xlfn.XLOOKUP(tblOrders[[#This Row],[ProductID]],tblProducts[ProductID],tblProducts[UnitPrice],"not found")</f>
        <v>159.69999999999999</v>
      </c>
      <c r="K889" t="str">
        <f>_xlfn.XLOOKUP(tblOrders[[#This Row],[ProductID]],tblProducts[ProductID],tblProducts[Supplier],"not found")</f>
        <v>Alvarez Group</v>
      </c>
      <c r="L889" s="1" t="s">
        <v>2234</v>
      </c>
      <c r="M8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45156</v>
      </c>
      <c r="N889">
        <v>2</v>
      </c>
      <c r="O889">
        <v>319.39999999999998</v>
      </c>
      <c r="P889">
        <f>tblOrders[[#This Row],[Quantity]]*tblOrders[[#This Row],[Unit Price]]</f>
        <v>319.39999999999998</v>
      </c>
      <c r="Q889">
        <f>tblOrders[[#This Row],[TotalSales]]-tblOrders[[#This Row],[Calculated Sales]]</f>
        <v>0</v>
      </c>
    </row>
    <row r="890" spans="1:17" x14ac:dyDescent="0.25">
      <c r="A890">
        <v>1516</v>
      </c>
      <c r="B890">
        <v>840</v>
      </c>
      <c r="C890" t="str">
        <f>_xlfn.XLOOKUP(tblOrders[[#This Row],[CustomerID]],tblCustomers[CustomerID],tblCustomers[CustomerName],"not found")</f>
        <v>Alicia Martinez</v>
      </c>
      <c r="D890">
        <f>_xlfn.XLOOKUP(tblOrders[[#This Row],[CustomerID]],tblCustomers[CustomerID],tblCustomers[Age],"not found")</f>
        <v>63</v>
      </c>
      <c r="E890" t="str">
        <f>_xlfn.XLOOKUP(tblOrders[[#This Row],[CustomerID]],tblCustomers[CustomerID],tblCustomers[Gender],"not found")</f>
        <v>Male</v>
      </c>
      <c r="F890" t="str">
        <f>_xlfn.XLOOKUP(tblOrders[[#This Row],[CustomerID]],tblCustomers[CustomerID],tblCustomers[Region],"not found")</f>
        <v>North</v>
      </c>
      <c r="G890">
        <v>1030</v>
      </c>
      <c r="H890" t="str">
        <f>_xlfn.XLOOKUP(tblOrders[[#This Row],[ProductID]],tblProducts[ProductID],tblProducts[ProductName],"not found")</f>
        <v>Stock</v>
      </c>
      <c r="I890" t="str">
        <f>_xlfn.XLOOKUP(tblOrders[[#This Row],[ProductID]],tblProducts[ProductID],tblProducts[Category],"not found")</f>
        <v>Apparel</v>
      </c>
      <c r="J890">
        <f>_xlfn.XLOOKUP(tblOrders[[#This Row],[ProductID]],tblProducts[ProductID],tblProducts[UnitPrice],"not found")</f>
        <v>159.69999999999999</v>
      </c>
      <c r="K890" t="str">
        <f>_xlfn.XLOOKUP(tblOrders[[#This Row],[ProductID]],tblProducts[ProductID],tblProducts[Supplier],"not found")</f>
        <v>Alvarez Group</v>
      </c>
      <c r="L890" s="1">
        <v>45177</v>
      </c>
      <c r="M8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45177</v>
      </c>
      <c r="N890">
        <v>9</v>
      </c>
      <c r="O890">
        <v>1437.3</v>
      </c>
      <c r="P890">
        <f>tblOrders[[#This Row],[Quantity]]*tblOrders[[#This Row],[Unit Price]]</f>
        <v>1437.3</v>
      </c>
      <c r="Q890">
        <f>tblOrders[[#This Row],[TotalSales]]-tblOrders[[#This Row],[Calculated Sales]]</f>
        <v>0</v>
      </c>
    </row>
    <row r="891" spans="1:17" x14ac:dyDescent="0.25">
      <c r="A891">
        <v>1739</v>
      </c>
      <c r="B891">
        <v>101</v>
      </c>
      <c r="C891" t="str">
        <f>_xlfn.XLOOKUP(tblOrders[[#This Row],[CustomerID]],tblCustomers[CustomerID],tblCustomers[CustomerName],"not found")</f>
        <v>Kayla Copeland</v>
      </c>
      <c r="D891">
        <f>_xlfn.XLOOKUP(tblOrders[[#This Row],[CustomerID]],tblCustomers[CustomerID],tblCustomers[Age],"not found")</f>
        <v>57</v>
      </c>
      <c r="E891" t="str">
        <f>_xlfn.XLOOKUP(tblOrders[[#This Row],[CustomerID]],tblCustomers[CustomerID],tblCustomers[Gender],"not found")</f>
        <v>Female</v>
      </c>
      <c r="F891" t="str">
        <f>_xlfn.XLOOKUP(tblOrders[[#This Row],[CustomerID]],tblCustomers[CustomerID],tblCustomers[Region],"not found")</f>
        <v>West</v>
      </c>
      <c r="G891">
        <v>1030</v>
      </c>
      <c r="H891" t="str">
        <f>_xlfn.XLOOKUP(tblOrders[[#This Row],[ProductID]],tblProducts[ProductID],tblProducts[ProductName],"not found")</f>
        <v>Stock</v>
      </c>
      <c r="I891" t="str">
        <f>_xlfn.XLOOKUP(tblOrders[[#This Row],[ProductID]],tblProducts[ProductID],tblProducts[Category],"not found")</f>
        <v>Apparel</v>
      </c>
      <c r="J891">
        <f>_xlfn.XLOOKUP(tblOrders[[#This Row],[ProductID]],tblProducts[ProductID],tblProducts[UnitPrice],"not found")</f>
        <v>159.69999999999999</v>
      </c>
      <c r="K891" t="str">
        <f>_xlfn.XLOOKUP(tblOrders[[#This Row],[ProductID]],tblProducts[ProductID],tblProducts[Supplier],"not found")</f>
        <v>Alvarez Group</v>
      </c>
      <c r="L891" s="1" t="s">
        <v>2323</v>
      </c>
      <c r="M8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45463</v>
      </c>
      <c r="N891">
        <v>2</v>
      </c>
      <c r="O891">
        <v>319.39999999999998</v>
      </c>
      <c r="P891">
        <f>tblOrders[[#This Row],[Quantity]]*tblOrders[[#This Row],[Unit Price]]</f>
        <v>319.39999999999998</v>
      </c>
      <c r="Q891">
        <f>tblOrders[[#This Row],[TotalSales]]-tblOrders[[#This Row],[Calculated Sales]]</f>
        <v>0</v>
      </c>
    </row>
    <row r="892" spans="1:17" x14ac:dyDescent="0.25">
      <c r="A892">
        <v>1808</v>
      </c>
      <c r="B892">
        <v>747</v>
      </c>
      <c r="C892" t="str">
        <f>_xlfn.XLOOKUP(tblOrders[[#This Row],[CustomerID]],tblCustomers[CustomerID],tblCustomers[CustomerName],"not found")</f>
        <v>Joshua Hall</v>
      </c>
      <c r="D892">
        <f>_xlfn.XLOOKUP(tblOrders[[#This Row],[CustomerID]],tblCustomers[CustomerID],tblCustomers[Age],"not found")</f>
        <v>67</v>
      </c>
      <c r="E892" t="str">
        <f>_xlfn.XLOOKUP(tblOrders[[#This Row],[CustomerID]],tblCustomers[CustomerID],tblCustomers[Gender],"not found")</f>
        <v>Male</v>
      </c>
      <c r="F892" t="str">
        <f>_xlfn.XLOOKUP(tblOrders[[#This Row],[CustomerID]],tblCustomers[CustomerID],tblCustomers[Region],"not found")</f>
        <v>North</v>
      </c>
      <c r="G892">
        <v>1030</v>
      </c>
      <c r="H892" t="str">
        <f>_xlfn.XLOOKUP(tblOrders[[#This Row],[ProductID]],tblProducts[ProductID],tblProducts[ProductName],"not found")</f>
        <v>Stock</v>
      </c>
      <c r="I892" t="str">
        <f>_xlfn.XLOOKUP(tblOrders[[#This Row],[ProductID]],tblProducts[ProductID],tblProducts[Category],"not found")</f>
        <v>Apparel</v>
      </c>
      <c r="J892">
        <f>_xlfn.XLOOKUP(tblOrders[[#This Row],[ProductID]],tblProducts[ProductID],tblProducts[UnitPrice],"not found")</f>
        <v>159.69999999999999</v>
      </c>
      <c r="K892" t="str">
        <f>_xlfn.XLOOKUP(tblOrders[[#This Row],[ProductID]],tblProducts[ProductID],tblProducts[Supplier],"not found")</f>
        <v>Alvarez Group</v>
      </c>
      <c r="L892" s="1">
        <v>45173</v>
      </c>
      <c r="M8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45173</v>
      </c>
      <c r="N892">
        <v>2</v>
      </c>
      <c r="O892">
        <v>319.39999999999998</v>
      </c>
      <c r="P892">
        <f>tblOrders[[#This Row],[Quantity]]*tblOrders[[#This Row],[Unit Price]]</f>
        <v>319.39999999999998</v>
      </c>
      <c r="Q892">
        <f>tblOrders[[#This Row],[TotalSales]]-tblOrders[[#This Row],[Calculated Sales]]</f>
        <v>0</v>
      </c>
    </row>
    <row r="893" spans="1:17" x14ac:dyDescent="0.25">
      <c r="A893">
        <v>1854</v>
      </c>
      <c r="B893">
        <v>800</v>
      </c>
      <c r="C893" t="str">
        <f>_xlfn.XLOOKUP(tblOrders[[#This Row],[CustomerID]],tblCustomers[CustomerID],tblCustomers[CustomerName],"not found")</f>
        <v>Brian Manning</v>
      </c>
      <c r="D893">
        <f>_xlfn.XLOOKUP(tblOrders[[#This Row],[CustomerID]],tblCustomers[CustomerID],tblCustomers[Age],"not found")</f>
        <v>27</v>
      </c>
      <c r="E893" t="str">
        <f>_xlfn.XLOOKUP(tblOrders[[#This Row],[CustomerID]],tblCustomers[CustomerID],tblCustomers[Gender],"not found")</f>
        <v>Male</v>
      </c>
      <c r="F893" t="str">
        <f>_xlfn.XLOOKUP(tblOrders[[#This Row],[CustomerID]],tblCustomers[CustomerID],tblCustomers[Region],"not found")</f>
        <v>South</v>
      </c>
      <c r="G893">
        <v>1030</v>
      </c>
      <c r="H893" t="str">
        <f>_xlfn.XLOOKUP(tblOrders[[#This Row],[ProductID]],tblProducts[ProductID],tblProducts[ProductName],"not found")</f>
        <v>Stock</v>
      </c>
      <c r="I893" t="str">
        <f>_xlfn.XLOOKUP(tblOrders[[#This Row],[ProductID]],tblProducts[ProductID],tblProducts[Category],"not found")</f>
        <v>Apparel</v>
      </c>
      <c r="J893">
        <f>_xlfn.XLOOKUP(tblOrders[[#This Row],[ProductID]],tblProducts[ProductID],tblProducts[UnitPrice],"not found")</f>
        <v>159.69999999999999</v>
      </c>
      <c r="K893" t="str">
        <f>_xlfn.XLOOKUP(tblOrders[[#This Row],[ProductID]],tblProducts[ProductID],tblProducts[Supplier],"not found")</f>
        <v>Alvarez Group</v>
      </c>
      <c r="L893" s="1">
        <v>45598</v>
      </c>
      <c r="M8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45598</v>
      </c>
      <c r="N893">
        <v>5</v>
      </c>
      <c r="O893">
        <v>798.5</v>
      </c>
      <c r="P893">
        <f>tblOrders[[#This Row],[Quantity]]*tblOrders[[#This Row],[Unit Price]]</f>
        <v>798.5</v>
      </c>
      <c r="Q893">
        <f>tblOrders[[#This Row],[TotalSales]]-tblOrders[[#This Row],[Calculated Sales]]</f>
        <v>0</v>
      </c>
    </row>
    <row r="894" spans="1:17" x14ac:dyDescent="0.25">
      <c r="A894">
        <v>1951</v>
      </c>
      <c r="B894">
        <v>319</v>
      </c>
      <c r="C894" t="str">
        <f>_xlfn.XLOOKUP(tblOrders[[#This Row],[CustomerID]],tblCustomers[CustomerID],tblCustomers[CustomerName],"not found")</f>
        <v>Lindsay Hall</v>
      </c>
      <c r="D894">
        <f>_xlfn.XLOOKUP(tblOrders[[#This Row],[CustomerID]],tblCustomers[CustomerID],tblCustomers[Age],"not found")</f>
        <v>54</v>
      </c>
      <c r="E894" t="str">
        <f>_xlfn.XLOOKUP(tblOrders[[#This Row],[CustomerID]],tblCustomers[CustomerID],tblCustomers[Gender],"not found")</f>
        <v>Male</v>
      </c>
      <c r="F894" t="str">
        <f>_xlfn.XLOOKUP(tblOrders[[#This Row],[CustomerID]],tblCustomers[CustomerID],tblCustomers[Region],"not found")</f>
        <v>West</v>
      </c>
      <c r="G894">
        <v>1030</v>
      </c>
      <c r="H894" t="str">
        <f>_xlfn.XLOOKUP(tblOrders[[#This Row],[ProductID]],tblProducts[ProductID],tblProducts[ProductName],"not found")</f>
        <v>Stock</v>
      </c>
      <c r="I894" t="str">
        <f>_xlfn.XLOOKUP(tblOrders[[#This Row],[ProductID]],tblProducts[ProductID],tblProducts[Category],"not found")</f>
        <v>Apparel</v>
      </c>
      <c r="J894">
        <f>_xlfn.XLOOKUP(tblOrders[[#This Row],[ProductID]],tblProducts[ProductID],tblProducts[UnitPrice],"not found")</f>
        <v>159.69999999999999</v>
      </c>
      <c r="K894" t="str">
        <f>_xlfn.XLOOKUP(tblOrders[[#This Row],[ProductID]],tblProducts[ProductID],tblProducts[Supplier],"not found")</f>
        <v>Alvarez Group</v>
      </c>
      <c r="L894" s="1">
        <v>44993</v>
      </c>
      <c r="M8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44993</v>
      </c>
      <c r="N894">
        <v>6</v>
      </c>
      <c r="O894">
        <v>958.2</v>
      </c>
      <c r="P894">
        <f>tblOrders[[#This Row],[Quantity]]*tblOrders[[#This Row],[Unit Price]]</f>
        <v>958.19999999999993</v>
      </c>
      <c r="Q894">
        <f>tblOrders[[#This Row],[TotalSales]]-tblOrders[[#This Row],[Calculated Sales]]</f>
        <v>0</v>
      </c>
    </row>
    <row r="895" spans="1:17" x14ac:dyDescent="0.25">
      <c r="A895">
        <v>1953</v>
      </c>
      <c r="B895">
        <v>299</v>
      </c>
      <c r="C895" t="str">
        <f>_xlfn.XLOOKUP(tblOrders[[#This Row],[CustomerID]],tblCustomers[CustomerID],tblCustomers[CustomerName],"not found")</f>
        <v>Brian Cantrell</v>
      </c>
      <c r="D895">
        <f>_xlfn.XLOOKUP(tblOrders[[#This Row],[CustomerID]],tblCustomers[CustomerID],tblCustomers[Age],"not found")</f>
        <v>69</v>
      </c>
      <c r="E895" t="str">
        <f>_xlfn.XLOOKUP(tblOrders[[#This Row],[CustomerID]],tblCustomers[CustomerID],tblCustomers[Gender],"not found")</f>
        <v>Male</v>
      </c>
      <c r="F895" t="str">
        <f>_xlfn.XLOOKUP(tblOrders[[#This Row],[CustomerID]],tblCustomers[CustomerID],tblCustomers[Region],"not found")</f>
        <v>East</v>
      </c>
      <c r="G895">
        <v>1030</v>
      </c>
      <c r="H895" t="str">
        <f>_xlfn.XLOOKUP(tblOrders[[#This Row],[ProductID]],tblProducts[ProductID],tblProducts[ProductName],"not found")</f>
        <v>Stock</v>
      </c>
      <c r="I895" t="str">
        <f>_xlfn.XLOOKUP(tblOrders[[#This Row],[ProductID]],tblProducts[ProductID],tblProducts[Category],"not found")</f>
        <v>Apparel</v>
      </c>
      <c r="J895">
        <f>_xlfn.XLOOKUP(tblOrders[[#This Row],[ProductID]],tblProducts[ProductID],tblProducts[UnitPrice],"not found")</f>
        <v>159.69999999999999</v>
      </c>
      <c r="K895" t="str">
        <f>_xlfn.XLOOKUP(tblOrders[[#This Row],[ProductID]],tblProducts[ProductID],tblProducts[Supplier],"not found")</f>
        <v>Alvarez Group</v>
      </c>
      <c r="L895" s="1" t="s">
        <v>2156</v>
      </c>
      <c r="M8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45013</v>
      </c>
      <c r="N895">
        <v>5</v>
      </c>
      <c r="O895">
        <v>798.5</v>
      </c>
      <c r="P895">
        <f>tblOrders[[#This Row],[Quantity]]*tblOrders[[#This Row],[Unit Price]]</f>
        <v>798.5</v>
      </c>
      <c r="Q895">
        <f>tblOrders[[#This Row],[TotalSales]]-tblOrders[[#This Row],[Calculated Sales]]</f>
        <v>0</v>
      </c>
    </row>
    <row r="896" spans="1:17" x14ac:dyDescent="0.25">
      <c r="A896">
        <v>1996</v>
      </c>
      <c r="B896">
        <v>755</v>
      </c>
      <c r="C896" t="str">
        <f>_xlfn.XLOOKUP(tblOrders[[#This Row],[CustomerID]],tblCustomers[CustomerID],tblCustomers[CustomerName],"not found")</f>
        <v>Donna Mendoza</v>
      </c>
      <c r="D896">
        <f>_xlfn.XLOOKUP(tblOrders[[#This Row],[CustomerID]],tblCustomers[CustomerID],tblCustomers[Age],"not found")</f>
        <v>54</v>
      </c>
      <c r="E896" t="str">
        <f>_xlfn.XLOOKUP(tblOrders[[#This Row],[CustomerID]],tblCustomers[CustomerID],tblCustomers[Gender],"not found")</f>
        <v>Female</v>
      </c>
      <c r="F896" t="str">
        <f>_xlfn.XLOOKUP(tblOrders[[#This Row],[CustomerID]],tblCustomers[CustomerID],tblCustomers[Region],"not found")</f>
        <v>Central</v>
      </c>
      <c r="G896">
        <v>1030</v>
      </c>
      <c r="H896" t="str">
        <f>_xlfn.XLOOKUP(tblOrders[[#This Row],[ProductID]],tblProducts[ProductID],tblProducts[ProductName],"not found")</f>
        <v>Stock</v>
      </c>
      <c r="I896" t="str">
        <f>_xlfn.XLOOKUP(tblOrders[[#This Row],[ProductID]],tblProducts[ProductID],tblProducts[Category],"not found")</f>
        <v>Apparel</v>
      </c>
      <c r="J896">
        <f>_xlfn.XLOOKUP(tblOrders[[#This Row],[ProductID]],tblProducts[ProductID],tblProducts[UnitPrice],"not found")</f>
        <v>159.69999999999999</v>
      </c>
      <c r="K896" t="str">
        <f>_xlfn.XLOOKUP(tblOrders[[#This Row],[ProductID]],tblProducts[ProductID],tblProducts[Supplier],"not found")</f>
        <v>Alvarez Group</v>
      </c>
      <c r="L896" s="1" t="s">
        <v>2324</v>
      </c>
      <c r="M8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45220</v>
      </c>
      <c r="N896">
        <v>1</v>
      </c>
      <c r="O896">
        <v>159.69999999999999</v>
      </c>
      <c r="P896">
        <f>tblOrders[[#This Row],[Quantity]]*tblOrders[[#This Row],[Unit Price]]</f>
        <v>159.69999999999999</v>
      </c>
      <c r="Q896">
        <f>tblOrders[[#This Row],[TotalSales]]-tblOrders[[#This Row],[Calculated Sales]]</f>
        <v>0</v>
      </c>
    </row>
    <row r="897" spans="1:17" x14ac:dyDescent="0.25">
      <c r="A897">
        <v>49</v>
      </c>
      <c r="B897">
        <v>368</v>
      </c>
      <c r="C897" t="str">
        <f>_xlfn.XLOOKUP(tblOrders[[#This Row],[CustomerID]],tblCustomers[CustomerID],tblCustomers[CustomerName],"not found")</f>
        <v>Jack Wheeler</v>
      </c>
      <c r="D897">
        <f>_xlfn.XLOOKUP(tblOrders[[#This Row],[CustomerID]],tblCustomers[CustomerID],tblCustomers[Age],"not found")</f>
        <v>58</v>
      </c>
      <c r="E897" t="str">
        <f>_xlfn.XLOOKUP(tblOrders[[#This Row],[CustomerID]],tblCustomers[CustomerID],tblCustomers[Gender],"not found")</f>
        <v>Male</v>
      </c>
      <c r="F897" t="str">
        <f>_xlfn.XLOOKUP(tblOrders[[#This Row],[CustomerID]],tblCustomers[CustomerID],tblCustomers[Region],"not found")</f>
        <v>Central</v>
      </c>
      <c r="G897">
        <v>1092</v>
      </c>
      <c r="H897" t="str">
        <f>_xlfn.XLOOKUP(tblOrders[[#This Row],[ProductID]],tblProducts[ProductID],tblProducts[ProductName],"not found")</f>
        <v>View</v>
      </c>
      <c r="I897" t="str">
        <f>_xlfn.XLOOKUP(tblOrders[[#This Row],[ProductID]],tblProducts[ProductID],tblProducts[Category],"not found")</f>
        <v>Apparel</v>
      </c>
      <c r="J897">
        <f>_xlfn.XLOOKUP(tblOrders[[#This Row],[ProductID]],tblProducts[ProductID],tblProducts[UnitPrice],"not found")</f>
        <v>267</v>
      </c>
      <c r="K897" t="str">
        <f>_xlfn.XLOOKUP(tblOrders[[#This Row],[ProductID]],tblProducts[ProductID],tblProducts[Supplier],"not found")</f>
        <v>Lee-Luna</v>
      </c>
      <c r="L897" s="1" t="s">
        <v>2325</v>
      </c>
      <c r="M8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45529</v>
      </c>
      <c r="N897">
        <v>6</v>
      </c>
      <c r="O897">
        <v>1602</v>
      </c>
      <c r="P897">
        <f>tblOrders[[#This Row],[Quantity]]*tblOrders[[#This Row],[Unit Price]]</f>
        <v>1602</v>
      </c>
      <c r="Q897">
        <f>tblOrders[[#This Row],[TotalSales]]-tblOrders[[#This Row],[Calculated Sales]]</f>
        <v>0</v>
      </c>
    </row>
    <row r="898" spans="1:17" x14ac:dyDescent="0.25">
      <c r="A898">
        <v>141</v>
      </c>
      <c r="B898">
        <v>676</v>
      </c>
      <c r="C898" t="str">
        <f>_xlfn.XLOOKUP(tblOrders[[#This Row],[CustomerID]],tblCustomers[CustomerID],tblCustomers[CustomerName],"not found")</f>
        <v>Jonathan Torres</v>
      </c>
      <c r="D898">
        <f>_xlfn.XLOOKUP(tblOrders[[#This Row],[CustomerID]],tblCustomers[CustomerID],tblCustomers[Age],"not found")</f>
        <v>54</v>
      </c>
      <c r="E898" t="str">
        <f>_xlfn.XLOOKUP(tblOrders[[#This Row],[CustomerID]],tblCustomers[CustomerID],tblCustomers[Gender],"not found")</f>
        <v>Female</v>
      </c>
      <c r="F898" t="str">
        <f>_xlfn.XLOOKUP(tblOrders[[#This Row],[CustomerID]],tblCustomers[CustomerID],tblCustomers[Region],"not found")</f>
        <v>Central</v>
      </c>
      <c r="G898">
        <v>1092</v>
      </c>
      <c r="H898" t="str">
        <f>_xlfn.XLOOKUP(tblOrders[[#This Row],[ProductID]],tblProducts[ProductID],tblProducts[ProductName],"not found")</f>
        <v>View</v>
      </c>
      <c r="I898" t="str">
        <f>_xlfn.XLOOKUP(tblOrders[[#This Row],[ProductID]],tblProducts[ProductID],tblProducts[Category],"not found")</f>
        <v>Apparel</v>
      </c>
      <c r="J898">
        <f>_xlfn.XLOOKUP(tblOrders[[#This Row],[ProductID]],tblProducts[ProductID],tblProducts[UnitPrice],"not found")</f>
        <v>267</v>
      </c>
      <c r="K898" t="str">
        <f>_xlfn.XLOOKUP(tblOrders[[#This Row],[ProductID]],tblProducts[ProductID],tblProducts[Supplier],"not found")</f>
        <v>Lee-Luna</v>
      </c>
      <c r="L898" s="1">
        <v>45266</v>
      </c>
      <c r="M8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45266</v>
      </c>
      <c r="N898">
        <v>4</v>
      </c>
      <c r="O898">
        <v>1068</v>
      </c>
      <c r="P898">
        <f>tblOrders[[#This Row],[Quantity]]*tblOrders[[#This Row],[Unit Price]]</f>
        <v>1068</v>
      </c>
      <c r="Q898">
        <f>tblOrders[[#This Row],[TotalSales]]-tblOrders[[#This Row],[Calculated Sales]]</f>
        <v>0</v>
      </c>
    </row>
    <row r="899" spans="1:17" x14ac:dyDescent="0.25">
      <c r="A899">
        <v>220</v>
      </c>
      <c r="B899">
        <v>57</v>
      </c>
      <c r="C899" t="str">
        <f>_xlfn.XLOOKUP(tblOrders[[#This Row],[CustomerID]],tblCustomers[CustomerID],tblCustomers[CustomerName],"not found")</f>
        <v>Lisa Davis</v>
      </c>
      <c r="D899">
        <f>_xlfn.XLOOKUP(tblOrders[[#This Row],[CustomerID]],tblCustomers[CustomerID],tblCustomers[Age],"not found")</f>
        <v>62</v>
      </c>
      <c r="E899" t="str">
        <f>_xlfn.XLOOKUP(tblOrders[[#This Row],[CustomerID]],tblCustomers[CustomerID],tblCustomers[Gender],"not found")</f>
        <v>Female</v>
      </c>
      <c r="F899" t="str">
        <f>_xlfn.XLOOKUP(tblOrders[[#This Row],[CustomerID]],tblCustomers[CustomerID],tblCustomers[Region],"not found")</f>
        <v>East</v>
      </c>
      <c r="G899">
        <v>1092</v>
      </c>
      <c r="H899" t="str">
        <f>_xlfn.XLOOKUP(tblOrders[[#This Row],[ProductID]],tblProducts[ProductID],tblProducts[ProductName],"not found")</f>
        <v>View</v>
      </c>
      <c r="I899" t="str">
        <f>_xlfn.XLOOKUP(tblOrders[[#This Row],[ProductID]],tblProducts[ProductID],tblProducts[Category],"not found")</f>
        <v>Apparel</v>
      </c>
      <c r="J899">
        <f>_xlfn.XLOOKUP(tblOrders[[#This Row],[ProductID]],tblProducts[ProductID],tblProducts[UnitPrice],"not found")</f>
        <v>267</v>
      </c>
      <c r="K899" t="str">
        <f>_xlfn.XLOOKUP(tblOrders[[#This Row],[ProductID]],tblProducts[ProductID],tblProducts[Supplier],"not found")</f>
        <v>Lee-Luna</v>
      </c>
      <c r="L899" s="1">
        <v>45452</v>
      </c>
      <c r="M8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45452</v>
      </c>
      <c r="N899">
        <v>2</v>
      </c>
      <c r="O899">
        <v>534</v>
      </c>
      <c r="P899">
        <f>tblOrders[[#This Row],[Quantity]]*tblOrders[[#This Row],[Unit Price]]</f>
        <v>534</v>
      </c>
      <c r="Q899">
        <f>tblOrders[[#This Row],[TotalSales]]-tblOrders[[#This Row],[Calculated Sales]]</f>
        <v>0</v>
      </c>
    </row>
    <row r="900" spans="1:17" x14ac:dyDescent="0.25">
      <c r="A900">
        <v>689</v>
      </c>
      <c r="B900">
        <v>283</v>
      </c>
      <c r="C900" t="str">
        <f>_xlfn.XLOOKUP(tblOrders[[#This Row],[CustomerID]],tblCustomers[CustomerID],tblCustomers[CustomerName],"not found")</f>
        <v>Michael Payne</v>
      </c>
      <c r="D900">
        <f>_xlfn.XLOOKUP(tblOrders[[#This Row],[CustomerID]],tblCustomers[CustomerID],tblCustomers[Age],"not found")</f>
        <v>25</v>
      </c>
      <c r="E900" t="str">
        <f>_xlfn.XLOOKUP(tblOrders[[#This Row],[CustomerID]],tblCustomers[CustomerID],tblCustomers[Gender],"not found")</f>
        <v>Female</v>
      </c>
      <c r="F900" t="str">
        <f>_xlfn.XLOOKUP(tblOrders[[#This Row],[CustomerID]],tblCustomers[CustomerID],tblCustomers[Region],"not found")</f>
        <v>East</v>
      </c>
      <c r="G900">
        <v>1092</v>
      </c>
      <c r="H900" t="str">
        <f>_xlfn.XLOOKUP(tblOrders[[#This Row],[ProductID]],tblProducts[ProductID],tblProducts[ProductName],"not found")</f>
        <v>View</v>
      </c>
      <c r="I900" t="str">
        <f>_xlfn.XLOOKUP(tblOrders[[#This Row],[ProductID]],tblProducts[ProductID],tblProducts[Category],"not found")</f>
        <v>Apparel</v>
      </c>
      <c r="J900">
        <f>_xlfn.XLOOKUP(tblOrders[[#This Row],[ProductID]],tblProducts[ProductID],tblProducts[UnitPrice],"not found")</f>
        <v>267</v>
      </c>
      <c r="K900" t="str">
        <f>_xlfn.XLOOKUP(tblOrders[[#This Row],[ProductID]],tblProducts[ProductID],tblProducts[Supplier],"not found")</f>
        <v>Lee-Luna</v>
      </c>
      <c r="L900" s="1" t="s">
        <v>2236</v>
      </c>
      <c r="M9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45137</v>
      </c>
      <c r="N900">
        <v>1</v>
      </c>
      <c r="O900">
        <v>267</v>
      </c>
      <c r="P900">
        <f>tblOrders[[#This Row],[Quantity]]*tblOrders[[#This Row],[Unit Price]]</f>
        <v>267</v>
      </c>
      <c r="Q900">
        <f>tblOrders[[#This Row],[TotalSales]]-tblOrders[[#This Row],[Calculated Sales]]</f>
        <v>0</v>
      </c>
    </row>
    <row r="901" spans="1:17" x14ac:dyDescent="0.25">
      <c r="A901">
        <v>791</v>
      </c>
      <c r="B901">
        <v>157</v>
      </c>
      <c r="C901" t="str">
        <f>_xlfn.XLOOKUP(tblOrders[[#This Row],[CustomerID]],tblCustomers[CustomerID],tblCustomers[CustomerName],"not found")</f>
        <v>Edwin Smith</v>
      </c>
      <c r="D901">
        <f>_xlfn.XLOOKUP(tblOrders[[#This Row],[CustomerID]],tblCustomers[CustomerID],tblCustomers[Age],"not found")</f>
        <v>42</v>
      </c>
      <c r="E901" t="str">
        <f>_xlfn.XLOOKUP(tblOrders[[#This Row],[CustomerID]],tblCustomers[CustomerID],tblCustomers[Gender],"not found")</f>
        <v>Male</v>
      </c>
      <c r="F901" t="str">
        <f>_xlfn.XLOOKUP(tblOrders[[#This Row],[CustomerID]],tblCustomers[CustomerID],tblCustomers[Region],"not found")</f>
        <v>East</v>
      </c>
      <c r="G901">
        <v>1092</v>
      </c>
      <c r="H901" t="str">
        <f>_xlfn.XLOOKUP(tblOrders[[#This Row],[ProductID]],tblProducts[ProductID],tblProducts[ProductName],"not found")</f>
        <v>View</v>
      </c>
      <c r="I901" t="str">
        <f>_xlfn.XLOOKUP(tblOrders[[#This Row],[ProductID]],tblProducts[ProductID],tblProducts[Category],"not found")</f>
        <v>Apparel</v>
      </c>
      <c r="J901">
        <f>_xlfn.XLOOKUP(tblOrders[[#This Row],[ProductID]],tblProducts[ProductID],tblProducts[UnitPrice],"not found")</f>
        <v>267</v>
      </c>
      <c r="K901" t="str">
        <f>_xlfn.XLOOKUP(tblOrders[[#This Row],[ProductID]],tblProducts[ProductID],tblProducts[Supplier],"not found")</f>
        <v>Lee-Luna</v>
      </c>
      <c r="L901" s="1" t="s">
        <v>2275</v>
      </c>
      <c r="M9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45197</v>
      </c>
      <c r="N901">
        <v>5</v>
      </c>
      <c r="O901">
        <v>1335</v>
      </c>
      <c r="P901">
        <f>tblOrders[[#This Row],[Quantity]]*tblOrders[[#This Row],[Unit Price]]</f>
        <v>1335</v>
      </c>
      <c r="Q901">
        <f>tblOrders[[#This Row],[TotalSales]]-tblOrders[[#This Row],[Calculated Sales]]</f>
        <v>0</v>
      </c>
    </row>
    <row r="902" spans="1:17" x14ac:dyDescent="0.25">
      <c r="A902">
        <v>811</v>
      </c>
      <c r="B902">
        <v>337</v>
      </c>
      <c r="C902" t="str">
        <f>_xlfn.XLOOKUP(tblOrders[[#This Row],[CustomerID]],tblCustomers[CustomerID],tblCustomers[CustomerName],"not found")</f>
        <v>Andrew Davies</v>
      </c>
      <c r="D902">
        <f>_xlfn.XLOOKUP(tblOrders[[#This Row],[CustomerID]],tblCustomers[CustomerID],tblCustomers[Age],"not found")</f>
        <v>20</v>
      </c>
      <c r="E902" t="str">
        <f>_xlfn.XLOOKUP(tblOrders[[#This Row],[CustomerID]],tblCustomers[CustomerID],tblCustomers[Gender],"not found")</f>
        <v>Male</v>
      </c>
      <c r="F902" t="str">
        <f>_xlfn.XLOOKUP(tblOrders[[#This Row],[CustomerID]],tblCustomers[CustomerID],tblCustomers[Region],"not found")</f>
        <v>West</v>
      </c>
      <c r="G902">
        <v>1092</v>
      </c>
      <c r="H902" t="str">
        <f>_xlfn.XLOOKUP(tblOrders[[#This Row],[ProductID]],tblProducts[ProductID],tblProducts[ProductName],"not found")</f>
        <v>View</v>
      </c>
      <c r="I902" t="str">
        <f>_xlfn.XLOOKUP(tblOrders[[#This Row],[ProductID]],tblProducts[ProductID],tblProducts[Category],"not found")</f>
        <v>Apparel</v>
      </c>
      <c r="J902">
        <f>_xlfn.XLOOKUP(tblOrders[[#This Row],[ProductID]],tblProducts[ProductID],tblProducts[UnitPrice],"not found")</f>
        <v>267</v>
      </c>
      <c r="K902" t="str">
        <f>_xlfn.XLOOKUP(tblOrders[[#This Row],[ProductID]],tblProducts[ProductID],tblProducts[Supplier],"not found")</f>
        <v>Lee-Luna</v>
      </c>
      <c r="L902" s="1" t="s">
        <v>2030</v>
      </c>
      <c r="M9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45465</v>
      </c>
      <c r="N902">
        <v>2</v>
      </c>
      <c r="O902">
        <v>534</v>
      </c>
      <c r="P902">
        <f>tblOrders[[#This Row],[Quantity]]*tblOrders[[#This Row],[Unit Price]]</f>
        <v>534</v>
      </c>
      <c r="Q902">
        <f>tblOrders[[#This Row],[TotalSales]]-tblOrders[[#This Row],[Calculated Sales]]</f>
        <v>0</v>
      </c>
    </row>
    <row r="903" spans="1:17" x14ac:dyDescent="0.25">
      <c r="A903">
        <v>906</v>
      </c>
      <c r="B903">
        <v>462</v>
      </c>
      <c r="C903" t="str">
        <f>_xlfn.XLOOKUP(tblOrders[[#This Row],[CustomerID]],tblCustomers[CustomerID],tblCustomers[CustomerName],"not found")</f>
        <v>Nicole Alvarez</v>
      </c>
      <c r="D903">
        <f>_xlfn.XLOOKUP(tblOrders[[#This Row],[CustomerID]],tblCustomers[CustomerID],tblCustomers[Age],"not found")</f>
        <v>52</v>
      </c>
      <c r="E903" t="str">
        <f>_xlfn.XLOOKUP(tblOrders[[#This Row],[CustomerID]],tblCustomers[CustomerID],tblCustomers[Gender],"not found")</f>
        <v>Male</v>
      </c>
      <c r="F903" t="str">
        <f>_xlfn.XLOOKUP(tblOrders[[#This Row],[CustomerID]],tblCustomers[CustomerID],tblCustomers[Region],"not found")</f>
        <v>North</v>
      </c>
      <c r="G903">
        <v>1092</v>
      </c>
      <c r="H903" t="str">
        <f>_xlfn.XLOOKUP(tblOrders[[#This Row],[ProductID]],tblProducts[ProductID],tblProducts[ProductName],"not found")</f>
        <v>View</v>
      </c>
      <c r="I903" t="str">
        <f>_xlfn.XLOOKUP(tblOrders[[#This Row],[ProductID]],tblProducts[ProductID],tblProducts[Category],"not found")</f>
        <v>Apparel</v>
      </c>
      <c r="J903">
        <f>_xlfn.XLOOKUP(tblOrders[[#This Row],[ProductID]],tblProducts[ProductID],tblProducts[UnitPrice],"not found")</f>
        <v>267</v>
      </c>
      <c r="K903" t="str">
        <f>_xlfn.XLOOKUP(tblOrders[[#This Row],[ProductID]],tblProducts[ProductID],tblProducts[Supplier],"not found")</f>
        <v>Lee-Luna</v>
      </c>
      <c r="L903" s="1" t="s">
        <v>2188</v>
      </c>
      <c r="M9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903">
        <v>4</v>
      </c>
      <c r="O903">
        <v>1068</v>
      </c>
      <c r="P903">
        <f>tblOrders[[#This Row],[Quantity]]*tblOrders[[#This Row],[Unit Price]]</f>
        <v>1068</v>
      </c>
      <c r="Q903">
        <f>tblOrders[[#This Row],[TotalSales]]-tblOrders[[#This Row],[Calculated Sales]]</f>
        <v>0</v>
      </c>
    </row>
    <row r="904" spans="1:17" x14ac:dyDescent="0.25">
      <c r="A904">
        <v>1117</v>
      </c>
      <c r="B904">
        <v>209</v>
      </c>
      <c r="C904" t="str">
        <f>_xlfn.XLOOKUP(tblOrders[[#This Row],[CustomerID]],tblCustomers[CustomerID],tblCustomers[CustomerName],"not found")</f>
        <v>Charles Schneider</v>
      </c>
      <c r="D904">
        <f>_xlfn.XLOOKUP(tblOrders[[#This Row],[CustomerID]],tblCustomers[CustomerID],tblCustomers[Age],"not found")</f>
        <v>48</v>
      </c>
      <c r="E904" t="str">
        <f>_xlfn.XLOOKUP(tblOrders[[#This Row],[CustomerID]],tblCustomers[CustomerID],tblCustomers[Gender],"not found")</f>
        <v>Male</v>
      </c>
      <c r="F904" t="str">
        <f>_xlfn.XLOOKUP(tblOrders[[#This Row],[CustomerID]],tblCustomers[CustomerID],tblCustomers[Region],"not found")</f>
        <v>West</v>
      </c>
      <c r="G904">
        <v>1092</v>
      </c>
      <c r="H904" t="str">
        <f>_xlfn.XLOOKUP(tblOrders[[#This Row],[ProductID]],tblProducts[ProductID],tblProducts[ProductName],"not found")</f>
        <v>View</v>
      </c>
      <c r="I904" t="str">
        <f>_xlfn.XLOOKUP(tblOrders[[#This Row],[ProductID]],tblProducts[ProductID],tblProducts[Category],"not found")</f>
        <v>Apparel</v>
      </c>
      <c r="J904">
        <f>_xlfn.XLOOKUP(tblOrders[[#This Row],[ProductID]],tblProducts[ProductID],tblProducts[UnitPrice],"not found")</f>
        <v>267</v>
      </c>
      <c r="K904" t="str">
        <f>_xlfn.XLOOKUP(tblOrders[[#This Row],[ProductID]],tblProducts[ProductID],tblProducts[Supplier],"not found")</f>
        <v>Lee-Luna</v>
      </c>
      <c r="L904" s="1">
        <v>45265</v>
      </c>
      <c r="M9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45265</v>
      </c>
      <c r="N904">
        <v>8</v>
      </c>
      <c r="O904">
        <v>2136</v>
      </c>
      <c r="P904">
        <f>tblOrders[[#This Row],[Quantity]]*tblOrders[[#This Row],[Unit Price]]</f>
        <v>2136</v>
      </c>
      <c r="Q904">
        <f>tblOrders[[#This Row],[TotalSales]]-tblOrders[[#This Row],[Calculated Sales]]</f>
        <v>0</v>
      </c>
    </row>
    <row r="905" spans="1:17" x14ac:dyDescent="0.25">
      <c r="A905">
        <v>1208</v>
      </c>
      <c r="B905">
        <v>572</v>
      </c>
      <c r="C905" t="str">
        <f>_xlfn.XLOOKUP(tblOrders[[#This Row],[CustomerID]],tblCustomers[CustomerID],tblCustomers[CustomerName],"not found")</f>
        <v>Christopher Rogers</v>
      </c>
      <c r="D905">
        <f>_xlfn.XLOOKUP(tblOrders[[#This Row],[CustomerID]],tblCustomers[CustomerID],tblCustomers[Age],"not found")</f>
        <v>53</v>
      </c>
      <c r="E905" t="str">
        <f>_xlfn.XLOOKUP(tblOrders[[#This Row],[CustomerID]],tblCustomers[CustomerID],tblCustomers[Gender],"not found")</f>
        <v>Female</v>
      </c>
      <c r="F905" t="str">
        <f>_xlfn.XLOOKUP(tblOrders[[#This Row],[CustomerID]],tblCustomers[CustomerID],tblCustomers[Region],"not found")</f>
        <v>East</v>
      </c>
      <c r="G905">
        <v>1092</v>
      </c>
      <c r="H905" t="str">
        <f>_xlfn.XLOOKUP(tblOrders[[#This Row],[ProductID]],tblProducts[ProductID],tblProducts[ProductName],"not found")</f>
        <v>View</v>
      </c>
      <c r="I905" t="str">
        <f>_xlfn.XLOOKUP(tblOrders[[#This Row],[ProductID]],tblProducts[ProductID],tblProducts[Category],"not found")</f>
        <v>Apparel</v>
      </c>
      <c r="J905">
        <f>_xlfn.XLOOKUP(tblOrders[[#This Row],[ProductID]],tblProducts[ProductID],tblProducts[UnitPrice],"not found")</f>
        <v>267</v>
      </c>
      <c r="K905" t="str">
        <f>_xlfn.XLOOKUP(tblOrders[[#This Row],[ProductID]],tblProducts[ProductID],tblProducts[Supplier],"not found")</f>
        <v>Lee-Luna</v>
      </c>
      <c r="L905" s="1" t="s">
        <v>2196</v>
      </c>
      <c r="M9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45252</v>
      </c>
      <c r="N905">
        <v>3</v>
      </c>
      <c r="O905">
        <v>801</v>
      </c>
      <c r="P905">
        <f>tblOrders[[#This Row],[Quantity]]*tblOrders[[#This Row],[Unit Price]]</f>
        <v>801</v>
      </c>
      <c r="Q905">
        <f>tblOrders[[#This Row],[TotalSales]]-tblOrders[[#This Row],[Calculated Sales]]</f>
        <v>0</v>
      </c>
    </row>
    <row r="906" spans="1:17" x14ac:dyDescent="0.25">
      <c r="A906">
        <v>1522</v>
      </c>
      <c r="B906">
        <v>621</v>
      </c>
      <c r="C906" t="str">
        <f>_xlfn.XLOOKUP(tblOrders[[#This Row],[CustomerID]],tblCustomers[CustomerID],tblCustomers[CustomerName],"not found")</f>
        <v>Maria Gutierrez</v>
      </c>
      <c r="D906">
        <f>_xlfn.XLOOKUP(tblOrders[[#This Row],[CustomerID]],tblCustomers[CustomerID],tblCustomers[Age],"not found")</f>
        <v>37</v>
      </c>
      <c r="E906" t="str">
        <f>_xlfn.XLOOKUP(tblOrders[[#This Row],[CustomerID]],tblCustomers[CustomerID],tblCustomers[Gender],"not found")</f>
        <v>Female</v>
      </c>
      <c r="F906" t="str">
        <f>_xlfn.XLOOKUP(tblOrders[[#This Row],[CustomerID]],tblCustomers[CustomerID],tblCustomers[Region],"not found")</f>
        <v>North</v>
      </c>
      <c r="G906">
        <v>1092</v>
      </c>
      <c r="H906" t="str">
        <f>_xlfn.XLOOKUP(tblOrders[[#This Row],[ProductID]],tblProducts[ProductID],tblProducts[ProductName],"not found")</f>
        <v>View</v>
      </c>
      <c r="I906" t="str">
        <f>_xlfn.XLOOKUP(tblOrders[[#This Row],[ProductID]],tblProducts[ProductID],tblProducts[Category],"not found")</f>
        <v>Apparel</v>
      </c>
      <c r="J906">
        <f>_xlfn.XLOOKUP(tblOrders[[#This Row],[ProductID]],tblProducts[ProductID],tblProducts[UnitPrice],"not found")</f>
        <v>267</v>
      </c>
      <c r="K906" t="str">
        <f>_xlfn.XLOOKUP(tblOrders[[#This Row],[ProductID]],tblProducts[ProductID],tblProducts[Supplier],"not found")</f>
        <v>Lee-Luna</v>
      </c>
      <c r="L906" s="1">
        <v>45146</v>
      </c>
      <c r="M9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45146</v>
      </c>
      <c r="N906">
        <v>2</v>
      </c>
      <c r="O906">
        <v>534</v>
      </c>
      <c r="P906">
        <f>tblOrders[[#This Row],[Quantity]]*tblOrders[[#This Row],[Unit Price]]</f>
        <v>534</v>
      </c>
      <c r="Q906">
        <f>tblOrders[[#This Row],[TotalSales]]-tblOrders[[#This Row],[Calculated Sales]]</f>
        <v>0</v>
      </c>
    </row>
    <row r="907" spans="1:17" x14ac:dyDescent="0.25">
      <c r="A907">
        <v>1692</v>
      </c>
      <c r="B907">
        <v>217</v>
      </c>
      <c r="C907" t="str">
        <f>_xlfn.XLOOKUP(tblOrders[[#This Row],[CustomerID]],tblCustomers[CustomerID],tblCustomers[CustomerName],"not found")</f>
        <v>Sarah Erickson</v>
      </c>
      <c r="D907">
        <f>_xlfn.XLOOKUP(tblOrders[[#This Row],[CustomerID]],tblCustomers[CustomerID],tblCustomers[Age],"not found")</f>
        <v>39</v>
      </c>
      <c r="E907" t="str">
        <f>_xlfn.XLOOKUP(tblOrders[[#This Row],[CustomerID]],tblCustomers[CustomerID],tblCustomers[Gender],"not found")</f>
        <v>Female</v>
      </c>
      <c r="F907" t="str">
        <f>_xlfn.XLOOKUP(tblOrders[[#This Row],[CustomerID]],tblCustomers[CustomerID],tblCustomers[Region],"not found")</f>
        <v>West</v>
      </c>
      <c r="G907">
        <v>1092</v>
      </c>
      <c r="H907" t="str">
        <f>_xlfn.XLOOKUP(tblOrders[[#This Row],[ProductID]],tblProducts[ProductID],tblProducts[ProductName],"not found")</f>
        <v>View</v>
      </c>
      <c r="I907" t="str">
        <f>_xlfn.XLOOKUP(tblOrders[[#This Row],[ProductID]],tblProducts[ProductID],tblProducts[Category],"not found")</f>
        <v>Apparel</v>
      </c>
      <c r="J907">
        <f>_xlfn.XLOOKUP(tblOrders[[#This Row],[ProductID]],tblProducts[ProductID],tblProducts[UnitPrice],"not found")</f>
        <v>267</v>
      </c>
      <c r="K907" t="str">
        <f>_xlfn.XLOOKUP(tblOrders[[#This Row],[ProductID]],tblProducts[ProductID],tblProducts[Supplier],"not found")</f>
        <v>Lee-Luna</v>
      </c>
      <c r="L907" s="1">
        <v>45391</v>
      </c>
      <c r="M9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45391</v>
      </c>
      <c r="N907">
        <v>2</v>
      </c>
      <c r="O907">
        <v>534</v>
      </c>
      <c r="P907">
        <f>tblOrders[[#This Row],[Quantity]]*tblOrders[[#This Row],[Unit Price]]</f>
        <v>534</v>
      </c>
      <c r="Q907">
        <f>tblOrders[[#This Row],[TotalSales]]-tblOrders[[#This Row],[Calculated Sales]]</f>
        <v>0</v>
      </c>
    </row>
    <row r="908" spans="1:17" x14ac:dyDescent="0.25">
      <c r="A908">
        <v>1834</v>
      </c>
      <c r="B908">
        <v>169</v>
      </c>
      <c r="C908" t="str">
        <f>_xlfn.XLOOKUP(tblOrders[[#This Row],[CustomerID]],tblCustomers[CustomerID],tblCustomers[CustomerName],"not found")</f>
        <v>Susan Li</v>
      </c>
      <c r="D908">
        <f>_xlfn.XLOOKUP(tblOrders[[#This Row],[CustomerID]],tblCustomers[CustomerID],tblCustomers[Age],"not found")</f>
        <v>40</v>
      </c>
      <c r="E908" t="str">
        <f>_xlfn.XLOOKUP(tblOrders[[#This Row],[CustomerID]],tblCustomers[CustomerID],tblCustomers[Gender],"not found")</f>
        <v>Female</v>
      </c>
      <c r="F908" t="str">
        <f>_xlfn.XLOOKUP(tblOrders[[#This Row],[CustomerID]],tblCustomers[CustomerID],tblCustomers[Region],"not found")</f>
        <v>East</v>
      </c>
      <c r="G908">
        <v>1092</v>
      </c>
      <c r="H908" t="str">
        <f>_xlfn.XLOOKUP(tblOrders[[#This Row],[ProductID]],tblProducts[ProductID],tblProducts[ProductName],"not found")</f>
        <v>View</v>
      </c>
      <c r="I908" t="str">
        <f>_xlfn.XLOOKUP(tblOrders[[#This Row],[ProductID]],tblProducts[ProductID],tblProducts[Category],"not found")</f>
        <v>Apparel</v>
      </c>
      <c r="J908">
        <f>_xlfn.XLOOKUP(tblOrders[[#This Row],[ProductID]],tblProducts[ProductID],tblProducts[UnitPrice],"not found")</f>
        <v>267</v>
      </c>
      <c r="K908" t="str">
        <f>_xlfn.XLOOKUP(tblOrders[[#This Row],[ProductID]],tblProducts[ProductID],tblProducts[Supplier],"not found")</f>
        <v>Lee-Luna</v>
      </c>
      <c r="L908" s="1" t="s">
        <v>2192</v>
      </c>
      <c r="M9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45193</v>
      </c>
      <c r="N908">
        <v>7</v>
      </c>
      <c r="O908">
        <v>1869</v>
      </c>
      <c r="P908">
        <f>tblOrders[[#This Row],[Quantity]]*tblOrders[[#This Row],[Unit Price]]</f>
        <v>1869</v>
      </c>
      <c r="Q908">
        <f>tblOrders[[#This Row],[TotalSales]]-tblOrders[[#This Row],[Calculated Sales]]</f>
        <v>0</v>
      </c>
    </row>
    <row r="909" spans="1:17" x14ac:dyDescent="0.25">
      <c r="A909">
        <v>1845</v>
      </c>
      <c r="B909">
        <v>686</v>
      </c>
      <c r="C909" t="str">
        <f>_xlfn.XLOOKUP(tblOrders[[#This Row],[CustomerID]],tblCustomers[CustomerID],tblCustomers[CustomerName],"not found")</f>
        <v>Albert Gutierrez</v>
      </c>
      <c r="D909">
        <f>_xlfn.XLOOKUP(tblOrders[[#This Row],[CustomerID]],tblCustomers[CustomerID],tblCustomers[Age],"not found")</f>
        <v>50</v>
      </c>
      <c r="E909" t="str">
        <f>_xlfn.XLOOKUP(tblOrders[[#This Row],[CustomerID]],tblCustomers[CustomerID],tblCustomers[Gender],"not found")</f>
        <v>Female</v>
      </c>
      <c r="F909" t="str">
        <f>_xlfn.XLOOKUP(tblOrders[[#This Row],[CustomerID]],tblCustomers[CustomerID],tblCustomers[Region],"not found")</f>
        <v>Central</v>
      </c>
      <c r="G909">
        <v>1092</v>
      </c>
      <c r="H909" t="str">
        <f>_xlfn.XLOOKUP(tblOrders[[#This Row],[ProductID]],tblProducts[ProductID],tblProducts[ProductName],"not found")</f>
        <v>View</v>
      </c>
      <c r="I909" t="str">
        <f>_xlfn.XLOOKUP(tblOrders[[#This Row],[ProductID]],tblProducts[ProductID],tblProducts[Category],"not found")</f>
        <v>Apparel</v>
      </c>
      <c r="J909">
        <f>_xlfn.XLOOKUP(tblOrders[[#This Row],[ProductID]],tblProducts[ProductID],tblProducts[UnitPrice],"not found")</f>
        <v>267</v>
      </c>
      <c r="K909" t="str">
        <f>_xlfn.XLOOKUP(tblOrders[[#This Row],[ProductID]],tblProducts[ProductID],tblProducts[Supplier],"not found")</f>
        <v>Lee-Luna</v>
      </c>
      <c r="L909" s="1">
        <v>44936</v>
      </c>
      <c r="M9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909">
        <v>6</v>
      </c>
      <c r="O909">
        <v>1602</v>
      </c>
      <c r="P909">
        <f>tblOrders[[#This Row],[Quantity]]*tblOrders[[#This Row],[Unit Price]]</f>
        <v>1602</v>
      </c>
      <c r="Q909">
        <f>tblOrders[[#This Row],[TotalSales]]-tblOrders[[#This Row],[Calculated Sales]]</f>
        <v>0</v>
      </c>
    </row>
    <row r="910" spans="1:17" x14ac:dyDescent="0.25">
      <c r="A910">
        <v>1929</v>
      </c>
      <c r="B910">
        <v>484</v>
      </c>
      <c r="C910" t="str">
        <f>_xlfn.XLOOKUP(tblOrders[[#This Row],[CustomerID]],tblCustomers[CustomerID],tblCustomers[CustomerName],"not found")</f>
        <v>Joel Richardson</v>
      </c>
      <c r="D910">
        <f>_xlfn.XLOOKUP(tblOrders[[#This Row],[CustomerID]],tblCustomers[CustomerID],tblCustomers[Age],"not found")</f>
        <v>52</v>
      </c>
      <c r="E910" t="str">
        <f>_xlfn.XLOOKUP(tblOrders[[#This Row],[CustomerID]],tblCustomers[CustomerID],tblCustomers[Gender],"not found")</f>
        <v>Female</v>
      </c>
      <c r="F910" t="str">
        <f>_xlfn.XLOOKUP(tblOrders[[#This Row],[CustomerID]],tblCustomers[CustomerID],tblCustomers[Region],"not found")</f>
        <v>East</v>
      </c>
      <c r="G910">
        <v>1092</v>
      </c>
      <c r="H910" t="str">
        <f>_xlfn.XLOOKUP(tblOrders[[#This Row],[ProductID]],tblProducts[ProductID],tblProducts[ProductName],"not found")</f>
        <v>View</v>
      </c>
      <c r="I910" t="str">
        <f>_xlfn.XLOOKUP(tblOrders[[#This Row],[ProductID]],tblProducts[ProductID],tblProducts[Category],"not found")</f>
        <v>Apparel</v>
      </c>
      <c r="J910">
        <f>_xlfn.XLOOKUP(tblOrders[[#This Row],[ProductID]],tblProducts[ProductID],tblProducts[UnitPrice],"not found")</f>
        <v>267</v>
      </c>
      <c r="K910" t="str">
        <f>_xlfn.XLOOKUP(tblOrders[[#This Row],[ProductID]],tblProducts[ProductID],tblProducts[Supplier],"not found")</f>
        <v>Lee-Luna</v>
      </c>
      <c r="L910" s="1" t="s">
        <v>2326</v>
      </c>
      <c r="M9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45517</v>
      </c>
      <c r="N910">
        <v>1</v>
      </c>
      <c r="O910">
        <v>267</v>
      </c>
      <c r="P910">
        <f>tblOrders[[#This Row],[Quantity]]*tblOrders[[#This Row],[Unit Price]]</f>
        <v>267</v>
      </c>
      <c r="Q910">
        <f>tblOrders[[#This Row],[TotalSales]]-tblOrders[[#This Row],[Calculated Sales]]</f>
        <v>0</v>
      </c>
    </row>
    <row r="911" spans="1:17" x14ac:dyDescent="0.25">
      <c r="A911">
        <v>51</v>
      </c>
      <c r="B911">
        <v>278</v>
      </c>
      <c r="C911" t="str">
        <f>_xlfn.XLOOKUP(tblOrders[[#This Row],[CustomerID]],tblCustomers[CustomerID],tblCustomers[CustomerName],"not found")</f>
        <v>Lindsay Foster</v>
      </c>
      <c r="D911">
        <f>_xlfn.XLOOKUP(tblOrders[[#This Row],[CustomerID]],tblCustomers[CustomerID],tblCustomers[Age],"not found")</f>
        <v>43</v>
      </c>
      <c r="E911" t="str">
        <f>_xlfn.XLOOKUP(tblOrders[[#This Row],[CustomerID]],tblCustomers[CustomerID],tblCustomers[Gender],"not found")</f>
        <v>Female</v>
      </c>
      <c r="F911" t="str">
        <f>_xlfn.XLOOKUP(tblOrders[[#This Row],[CustomerID]],tblCustomers[CustomerID],tblCustomers[Region],"not found")</f>
        <v>East</v>
      </c>
      <c r="G911">
        <v>1017</v>
      </c>
      <c r="H911" t="str">
        <f>_xlfn.XLOOKUP(tblOrders[[#This Row],[ProductID]],tblProducts[ProductID],tblProducts[ProductName],"not found")</f>
        <v>Nation</v>
      </c>
      <c r="I911" t="str">
        <f>_xlfn.XLOOKUP(tblOrders[[#This Row],[ProductID]],tblProducts[ProductID],tblProducts[Category],"not found")</f>
        <v>Furniture</v>
      </c>
      <c r="J911">
        <f>_xlfn.XLOOKUP(tblOrders[[#This Row],[ProductID]],tblProducts[ProductID],tblProducts[UnitPrice],"not found")</f>
        <v>25.7</v>
      </c>
      <c r="K911" t="str">
        <f>_xlfn.XLOOKUP(tblOrders[[#This Row],[ProductID]],tblProducts[ProductID],tblProducts[Supplier],"not found")</f>
        <v>Browning, Cain and Smith</v>
      </c>
      <c r="L911" s="1" t="s">
        <v>2184</v>
      </c>
      <c r="M9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45469</v>
      </c>
      <c r="N911">
        <v>2</v>
      </c>
      <c r="O911">
        <v>51.4</v>
      </c>
      <c r="P911">
        <f>tblOrders[[#This Row],[Quantity]]*tblOrders[[#This Row],[Unit Price]]</f>
        <v>51.4</v>
      </c>
      <c r="Q911">
        <f>tblOrders[[#This Row],[TotalSales]]-tblOrders[[#This Row],[Calculated Sales]]</f>
        <v>0</v>
      </c>
    </row>
    <row r="912" spans="1:17" x14ac:dyDescent="0.25">
      <c r="A912">
        <v>124</v>
      </c>
      <c r="B912">
        <v>806</v>
      </c>
      <c r="C912" t="str">
        <f>_xlfn.XLOOKUP(tblOrders[[#This Row],[CustomerID]],tblCustomers[CustomerID],tblCustomers[CustomerName],"not found")</f>
        <v>Jennifer Arellano</v>
      </c>
      <c r="D912">
        <f>_xlfn.XLOOKUP(tblOrders[[#This Row],[CustomerID]],tblCustomers[CustomerID],tblCustomers[Age],"not found")</f>
        <v>55</v>
      </c>
      <c r="E912" t="str">
        <f>_xlfn.XLOOKUP(tblOrders[[#This Row],[CustomerID]],tblCustomers[CustomerID],tblCustomers[Gender],"not found")</f>
        <v>Female</v>
      </c>
      <c r="F912" t="str">
        <f>_xlfn.XLOOKUP(tblOrders[[#This Row],[CustomerID]],tblCustomers[CustomerID],tblCustomers[Region],"not found")</f>
        <v>East</v>
      </c>
      <c r="G912">
        <v>1017</v>
      </c>
      <c r="H912" t="str">
        <f>_xlfn.XLOOKUP(tblOrders[[#This Row],[ProductID]],tblProducts[ProductID],tblProducts[ProductName],"not found")</f>
        <v>Nation</v>
      </c>
      <c r="I912" t="str">
        <f>_xlfn.XLOOKUP(tblOrders[[#This Row],[ProductID]],tblProducts[ProductID],tblProducts[Category],"not found")</f>
        <v>Furniture</v>
      </c>
      <c r="J912">
        <f>_xlfn.XLOOKUP(tblOrders[[#This Row],[ProductID]],tblProducts[ProductID],tblProducts[UnitPrice],"not found")</f>
        <v>25.7</v>
      </c>
      <c r="K912" t="str">
        <f>_xlfn.XLOOKUP(tblOrders[[#This Row],[ProductID]],tblProducts[ProductID],tblProducts[Supplier],"not found")</f>
        <v>Browning, Cain and Smith</v>
      </c>
      <c r="L912" s="1" t="s">
        <v>2080</v>
      </c>
      <c r="M9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44895</v>
      </c>
      <c r="N912">
        <v>7</v>
      </c>
      <c r="O912">
        <v>179.9</v>
      </c>
      <c r="P912">
        <f>tblOrders[[#This Row],[Quantity]]*tblOrders[[#This Row],[Unit Price]]</f>
        <v>179.9</v>
      </c>
      <c r="Q912">
        <f>tblOrders[[#This Row],[TotalSales]]-tblOrders[[#This Row],[Calculated Sales]]</f>
        <v>0</v>
      </c>
    </row>
    <row r="913" spans="1:17" x14ac:dyDescent="0.25">
      <c r="A913">
        <v>208</v>
      </c>
      <c r="B913">
        <v>550</v>
      </c>
      <c r="C913" t="str">
        <f>_xlfn.XLOOKUP(tblOrders[[#This Row],[CustomerID]],tblCustomers[CustomerID],tblCustomers[CustomerName],"not found")</f>
        <v>Tammy Hicks</v>
      </c>
      <c r="D913">
        <f>_xlfn.XLOOKUP(tblOrders[[#This Row],[CustomerID]],tblCustomers[CustomerID],tblCustomers[Age],"not found")</f>
        <v>28</v>
      </c>
      <c r="E913" t="str">
        <f>_xlfn.XLOOKUP(tblOrders[[#This Row],[CustomerID]],tblCustomers[CustomerID],tblCustomers[Gender],"not found")</f>
        <v>Male</v>
      </c>
      <c r="F913" t="str">
        <f>_xlfn.XLOOKUP(tblOrders[[#This Row],[CustomerID]],tblCustomers[CustomerID],tblCustomers[Region],"not found")</f>
        <v>Central</v>
      </c>
      <c r="G913">
        <v>1017</v>
      </c>
      <c r="H913" t="str">
        <f>_xlfn.XLOOKUP(tblOrders[[#This Row],[ProductID]],tblProducts[ProductID],tblProducts[ProductName],"not found")</f>
        <v>Nation</v>
      </c>
      <c r="I913" t="str">
        <f>_xlfn.XLOOKUP(tblOrders[[#This Row],[ProductID]],tblProducts[ProductID],tblProducts[Category],"not found")</f>
        <v>Furniture</v>
      </c>
      <c r="J913">
        <f>_xlfn.XLOOKUP(tblOrders[[#This Row],[ProductID]],tblProducts[ProductID],tblProducts[UnitPrice],"not found")</f>
        <v>25.7</v>
      </c>
      <c r="K913" t="str">
        <f>_xlfn.XLOOKUP(tblOrders[[#This Row],[ProductID]],tblProducts[ProductID],tblProducts[Supplier],"not found")</f>
        <v>Browning, Cain and Smith</v>
      </c>
      <c r="L913" s="1" t="s">
        <v>2273</v>
      </c>
      <c r="M9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45278</v>
      </c>
      <c r="N913">
        <v>5</v>
      </c>
      <c r="O913">
        <v>128.5</v>
      </c>
      <c r="P913">
        <f>tblOrders[[#This Row],[Quantity]]*tblOrders[[#This Row],[Unit Price]]</f>
        <v>128.5</v>
      </c>
      <c r="Q913">
        <f>tblOrders[[#This Row],[TotalSales]]-tblOrders[[#This Row],[Calculated Sales]]</f>
        <v>0</v>
      </c>
    </row>
    <row r="914" spans="1:17" x14ac:dyDescent="0.25">
      <c r="A914">
        <v>416</v>
      </c>
      <c r="B914">
        <v>402</v>
      </c>
      <c r="C914" t="str">
        <f>_xlfn.XLOOKUP(tblOrders[[#This Row],[CustomerID]],tblCustomers[CustomerID],tblCustomers[CustomerName],"not found")</f>
        <v>Eric Ford</v>
      </c>
      <c r="D914">
        <f>_xlfn.XLOOKUP(tblOrders[[#This Row],[CustomerID]],tblCustomers[CustomerID],tblCustomers[Age],"not found")</f>
        <v>46</v>
      </c>
      <c r="E914" t="str">
        <f>_xlfn.XLOOKUP(tblOrders[[#This Row],[CustomerID]],tblCustomers[CustomerID],tblCustomers[Gender],"not found")</f>
        <v>Male</v>
      </c>
      <c r="F914" t="str">
        <f>_xlfn.XLOOKUP(tblOrders[[#This Row],[CustomerID]],tblCustomers[CustomerID],tblCustomers[Region],"not found")</f>
        <v>North</v>
      </c>
      <c r="G914">
        <v>1017</v>
      </c>
      <c r="H914" t="str">
        <f>_xlfn.XLOOKUP(tblOrders[[#This Row],[ProductID]],tblProducts[ProductID],tblProducts[ProductName],"not found")</f>
        <v>Nation</v>
      </c>
      <c r="I914" t="str">
        <f>_xlfn.XLOOKUP(tblOrders[[#This Row],[ProductID]],tblProducts[ProductID],tblProducts[Category],"not found")</f>
        <v>Furniture</v>
      </c>
      <c r="J914">
        <f>_xlfn.XLOOKUP(tblOrders[[#This Row],[ProductID]],tblProducts[ProductID],tblProducts[UnitPrice],"not found")</f>
        <v>25.7</v>
      </c>
      <c r="K914" t="str">
        <f>_xlfn.XLOOKUP(tblOrders[[#This Row],[ProductID]],tblProducts[ProductID],tblProducts[Supplier],"not found")</f>
        <v>Browning, Cain and Smith</v>
      </c>
      <c r="L914" s="1">
        <v>45018</v>
      </c>
      <c r="M9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914">
        <v>2</v>
      </c>
      <c r="O914">
        <v>51.4</v>
      </c>
      <c r="P914">
        <f>tblOrders[[#This Row],[Quantity]]*tblOrders[[#This Row],[Unit Price]]</f>
        <v>51.4</v>
      </c>
      <c r="Q914">
        <f>tblOrders[[#This Row],[TotalSales]]-tblOrders[[#This Row],[Calculated Sales]]</f>
        <v>0</v>
      </c>
    </row>
    <row r="915" spans="1:17" x14ac:dyDescent="0.25">
      <c r="A915">
        <v>527</v>
      </c>
      <c r="B915">
        <v>351</v>
      </c>
      <c r="C915" t="str">
        <f>_xlfn.XLOOKUP(tblOrders[[#This Row],[CustomerID]],tblCustomers[CustomerID],tblCustomers[CustomerName],"not found")</f>
        <v>David Zamora V</v>
      </c>
      <c r="D915">
        <f>_xlfn.XLOOKUP(tblOrders[[#This Row],[CustomerID]],tblCustomers[CustomerID],tblCustomers[Age],"not found")</f>
        <v>64</v>
      </c>
      <c r="E915" t="str">
        <f>_xlfn.XLOOKUP(tblOrders[[#This Row],[CustomerID]],tblCustomers[CustomerID],tblCustomers[Gender],"not found")</f>
        <v>Female</v>
      </c>
      <c r="F915" t="str">
        <f>_xlfn.XLOOKUP(tblOrders[[#This Row],[CustomerID]],tblCustomers[CustomerID],tblCustomers[Region],"not found")</f>
        <v>East</v>
      </c>
      <c r="G915">
        <v>1017</v>
      </c>
      <c r="H915" t="str">
        <f>_xlfn.XLOOKUP(tblOrders[[#This Row],[ProductID]],tblProducts[ProductID],tblProducts[ProductName],"not found")</f>
        <v>Nation</v>
      </c>
      <c r="I915" t="str">
        <f>_xlfn.XLOOKUP(tblOrders[[#This Row],[ProductID]],tblProducts[ProductID],tblProducts[Category],"not found")</f>
        <v>Furniture</v>
      </c>
      <c r="J915">
        <f>_xlfn.XLOOKUP(tblOrders[[#This Row],[ProductID]],tblProducts[ProductID],tblProducts[UnitPrice],"not found")</f>
        <v>25.7</v>
      </c>
      <c r="K915" t="str">
        <f>_xlfn.XLOOKUP(tblOrders[[#This Row],[ProductID]],tblProducts[ProductID],tblProducts[Supplier],"not found")</f>
        <v>Browning, Cain and Smith</v>
      </c>
      <c r="L915" s="1">
        <v>44907</v>
      </c>
      <c r="M9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44907</v>
      </c>
      <c r="N915">
        <v>2</v>
      </c>
      <c r="O915">
        <v>51.4</v>
      </c>
      <c r="P915">
        <f>tblOrders[[#This Row],[Quantity]]*tblOrders[[#This Row],[Unit Price]]</f>
        <v>51.4</v>
      </c>
      <c r="Q915">
        <f>tblOrders[[#This Row],[TotalSales]]-tblOrders[[#This Row],[Calculated Sales]]</f>
        <v>0</v>
      </c>
    </row>
    <row r="916" spans="1:17" x14ac:dyDescent="0.25">
      <c r="A916">
        <v>568</v>
      </c>
      <c r="B916">
        <v>574</v>
      </c>
      <c r="C916" t="str">
        <f>_xlfn.XLOOKUP(tblOrders[[#This Row],[CustomerID]],tblCustomers[CustomerID],tblCustomers[CustomerName],"not found")</f>
        <v>Emily Frazier</v>
      </c>
      <c r="D916">
        <f>_xlfn.XLOOKUP(tblOrders[[#This Row],[CustomerID]],tblCustomers[CustomerID],tblCustomers[Age],"not found")</f>
        <v>59</v>
      </c>
      <c r="E916" t="str">
        <f>_xlfn.XLOOKUP(tblOrders[[#This Row],[CustomerID]],tblCustomers[CustomerID],tblCustomers[Gender],"not found")</f>
        <v>Male</v>
      </c>
      <c r="F916" t="str">
        <f>_xlfn.XLOOKUP(tblOrders[[#This Row],[CustomerID]],tblCustomers[CustomerID],tblCustomers[Region],"not found")</f>
        <v>East</v>
      </c>
      <c r="G916">
        <v>1017</v>
      </c>
      <c r="H916" t="str">
        <f>_xlfn.XLOOKUP(tblOrders[[#This Row],[ProductID]],tblProducts[ProductID],tblProducts[ProductName],"not found")</f>
        <v>Nation</v>
      </c>
      <c r="I916" t="str">
        <f>_xlfn.XLOOKUP(tblOrders[[#This Row],[ProductID]],tblProducts[ProductID],tblProducts[Category],"not found")</f>
        <v>Furniture</v>
      </c>
      <c r="J916">
        <f>_xlfn.XLOOKUP(tblOrders[[#This Row],[ProductID]],tblProducts[ProductID],tblProducts[UnitPrice],"not found")</f>
        <v>25.7</v>
      </c>
      <c r="K916" t="str">
        <f>_xlfn.XLOOKUP(tblOrders[[#This Row],[ProductID]],tblProducts[ProductID],tblProducts[Supplier],"not found")</f>
        <v>Browning, Cain and Smith</v>
      </c>
      <c r="L916" s="1" t="s">
        <v>2327</v>
      </c>
      <c r="M9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45495</v>
      </c>
      <c r="N916">
        <v>6</v>
      </c>
      <c r="O916">
        <v>154.19999999999999</v>
      </c>
      <c r="P916">
        <f>tblOrders[[#This Row],[Quantity]]*tblOrders[[#This Row],[Unit Price]]</f>
        <v>154.19999999999999</v>
      </c>
      <c r="Q916">
        <f>tblOrders[[#This Row],[TotalSales]]-tblOrders[[#This Row],[Calculated Sales]]</f>
        <v>0</v>
      </c>
    </row>
    <row r="917" spans="1:17" x14ac:dyDescent="0.25">
      <c r="A917">
        <v>575</v>
      </c>
      <c r="B917">
        <v>938</v>
      </c>
      <c r="C917" t="str">
        <f>_xlfn.XLOOKUP(tblOrders[[#This Row],[CustomerID]],tblCustomers[CustomerID],tblCustomers[CustomerName],"not found")</f>
        <v>Tracey Taylor</v>
      </c>
      <c r="D917">
        <f>_xlfn.XLOOKUP(tblOrders[[#This Row],[CustomerID]],tblCustomers[CustomerID],tblCustomers[Age],"not found")</f>
        <v>25</v>
      </c>
      <c r="E917" t="str">
        <f>_xlfn.XLOOKUP(tblOrders[[#This Row],[CustomerID]],tblCustomers[CustomerID],tblCustomers[Gender],"not found")</f>
        <v>Male</v>
      </c>
      <c r="F917" t="str">
        <f>_xlfn.XLOOKUP(tblOrders[[#This Row],[CustomerID]],tblCustomers[CustomerID],tblCustomers[Region],"not found")</f>
        <v>South</v>
      </c>
      <c r="G917">
        <v>1017</v>
      </c>
      <c r="H917" t="str">
        <f>_xlfn.XLOOKUP(tblOrders[[#This Row],[ProductID]],tblProducts[ProductID],tblProducts[ProductName],"not found")</f>
        <v>Nation</v>
      </c>
      <c r="I917" t="str">
        <f>_xlfn.XLOOKUP(tblOrders[[#This Row],[ProductID]],tblProducts[ProductID],tblProducts[Category],"not found")</f>
        <v>Furniture</v>
      </c>
      <c r="J917">
        <f>_xlfn.XLOOKUP(tblOrders[[#This Row],[ProductID]],tblProducts[ProductID],tblProducts[UnitPrice],"not found")</f>
        <v>25.7</v>
      </c>
      <c r="K917" t="str">
        <f>_xlfn.XLOOKUP(tblOrders[[#This Row],[ProductID]],tblProducts[ProductID],tblProducts[Supplier],"not found")</f>
        <v>Browning, Cain and Smith</v>
      </c>
      <c r="L917" s="1" t="s">
        <v>2217</v>
      </c>
      <c r="M9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45097</v>
      </c>
      <c r="N917">
        <v>7</v>
      </c>
      <c r="O917">
        <v>179.9</v>
      </c>
      <c r="P917">
        <f>tblOrders[[#This Row],[Quantity]]*tblOrders[[#This Row],[Unit Price]]</f>
        <v>179.9</v>
      </c>
      <c r="Q917">
        <f>tblOrders[[#This Row],[TotalSales]]-tblOrders[[#This Row],[Calculated Sales]]</f>
        <v>0</v>
      </c>
    </row>
    <row r="918" spans="1:17" x14ac:dyDescent="0.25">
      <c r="A918">
        <v>582</v>
      </c>
      <c r="B918">
        <v>671</v>
      </c>
      <c r="C918" t="str">
        <f>_xlfn.XLOOKUP(tblOrders[[#This Row],[CustomerID]],tblCustomers[CustomerID],tblCustomers[CustomerName],"not found")</f>
        <v>Joseph Reeves</v>
      </c>
      <c r="D918">
        <f>_xlfn.XLOOKUP(tblOrders[[#This Row],[CustomerID]],tblCustomers[CustomerID],tblCustomers[Age],"not found")</f>
        <v>69</v>
      </c>
      <c r="E918" t="str">
        <f>_xlfn.XLOOKUP(tblOrders[[#This Row],[CustomerID]],tblCustomers[CustomerID],tblCustomers[Gender],"not found")</f>
        <v>Male</v>
      </c>
      <c r="F918" t="str">
        <f>_xlfn.XLOOKUP(tblOrders[[#This Row],[CustomerID]],tblCustomers[CustomerID],tblCustomers[Region],"not found")</f>
        <v>North</v>
      </c>
      <c r="G918">
        <v>1017</v>
      </c>
      <c r="H918" t="str">
        <f>_xlfn.XLOOKUP(tblOrders[[#This Row],[ProductID]],tblProducts[ProductID],tblProducts[ProductName],"not found")</f>
        <v>Nation</v>
      </c>
      <c r="I918" t="str">
        <f>_xlfn.XLOOKUP(tblOrders[[#This Row],[ProductID]],tblProducts[ProductID],tblProducts[Category],"not found")</f>
        <v>Furniture</v>
      </c>
      <c r="J918">
        <f>_xlfn.XLOOKUP(tblOrders[[#This Row],[ProductID]],tblProducts[ProductID],tblProducts[UnitPrice],"not found")</f>
        <v>25.7</v>
      </c>
      <c r="K918" t="str">
        <f>_xlfn.XLOOKUP(tblOrders[[#This Row],[ProductID]],tblProducts[ProductID],tblProducts[Supplier],"not found")</f>
        <v>Browning, Cain and Smith</v>
      </c>
      <c r="L918" s="1">
        <v>44936</v>
      </c>
      <c r="M9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918">
        <v>6</v>
      </c>
      <c r="O918">
        <v>154.19999999999999</v>
      </c>
      <c r="P918">
        <f>tblOrders[[#This Row],[Quantity]]*tblOrders[[#This Row],[Unit Price]]</f>
        <v>154.19999999999999</v>
      </c>
      <c r="Q918">
        <f>tblOrders[[#This Row],[TotalSales]]-tblOrders[[#This Row],[Calculated Sales]]</f>
        <v>0</v>
      </c>
    </row>
    <row r="919" spans="1:17" x14ac:dyDescent="0.25">
      <c r="A919">
        <v>588</v>
      </c>
      <c r="B919">
        <v>836</v>
      </c>
      <c r="C919" t="str">
        <f>_xlfn.XLOOKUP(tblOrders[[#This Row],[CustomerID]],tblCustomers[CustomerID],tblCustomers[CustomerName],"not found")</f>
        <v>Kristy Mclaughlin</v>
      </c>
      <c r="D919">
        <f>_xlfn.XLOOKUP(tblOrders[[#This Row],[CustomerID]],tblCustomers[CustomerID],tblCustomers[Age],"not found")</f>
        <v>45</v>
      </c>
      <c r="E919" t="str">
        <f>_xlfn.XLOOKUP(tblOrders[[#This Row],[CustomerID]],tblCustomers[CustomerID],tblCustomers[Gender],"not found")</f>
        <v>Female</v>
      </c>
      <c r="F919" t="str">
        <f>_xlfn.XLOOKUP(tblOrders[[#This Row],[CustomerID]],tblCustomers[CustomerID],tblCustomers[Region],"not found")</f>
        <v>North</v>
      </c>
      <c r="G919">
        <v>1017</v>
      </c>
      <c r="H919" t="str">
        <f>_xlfn.XLOOKUP(tblOrders[[#This Row],[ProductID]],tblProducts[ProductID],tblProducts[ProductName],"not found")</f>
        <v>Nation</v>
      </c>
      <c r="I919" t="str">
        <f>_xlfn.XLOOKUP(tblOrders[[#This Row],[ProductID]],tblProducts[ProductID],tblProducts[Category],"not found")</f>
        <v>Furniture</v>
      </c>
      <c r="J919">
        <f>_xlfn.XLOOKUP(tblOrders[[#This Row],[ProductID]],tblProducts[ProductID],tblProducts[UnitPrice],"not found")</f>
        <v>25.7</v>
      </c>
      <c r="K919" t="str">
        <f>_xlfn.XLOOKUP(tblOrders[[#This Row],[ProductID]],tblProducts[ProductID],tblProducts[Supplier],"not found")</f>
        <v>Browning, Cain and Smith</v>
      </c>
      <c r="L919" s="1" t="s">
        <v>2021</v>
      </c>
      <c r="M9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44984</v>
      </c>
      <c r="N919">
        <v>3</v>
      </c>
      <c r="O919">
        <v>77.099999999999994</v>
      </c>
      <c r="P919">
        <f>tblOrders[[#This Row],[Quantity]]*tblOrders[[#This Row],[Unit Price]]</f>
        <v>77.099999999999994</v>
      </c>
      <c r="Q919">
        <f>tblOrders[[#This Row],[TotalSales]]-tblOrders[[#This Row],[Calculated Sales]]</f>
        <v>0</v>
      </c>
    </row>
    <row r="920" spans="1:17" x14ac:dyDescent="0.25">
      <c r="A920">
        <v>674</v>
      </c>
      <c r="B920">
        <v>908</v>
      </c>
      <c r="C920" t="str">
        <f>_xlfn.XLOOKUP(tblOrders[[#This Row],[CustomerID]],tblCustomers[CustomerID],tblCustomers[CustomerName],"not found")</f>
        <v>Jennifer Joseph MD</v>
      </c>
      <c r="D920">
        <f>_xlfn.XLOOKUP(tblOrders[[#This Row],[CustomerID]],tblCustomers[CustomerID],tblCustomers[Age],"not found")</f>
        <v>32</v>
      </c>
      <c r="E920" t="str">
        <f>_xlfn.XLOOKUP(tblOrders[[#This Row],[CustomerID]],tblCustomers[CustomerID],tblCustomers[Gender],"not found")</f>
        <v>Female</v>
      </c>
      <c r="F920" t="str">
        <f>_xlfn.XLOOKUP(tblOrders[[#This Row],[CustomerID]],tblCustomers[CustomerID],tblCustomers[Region],"not found")</f>
        <v>West</v>
      </c>
      <c r="G920">
        <v>1017</v>
      </c>
      <c r="H920" t="str">
        <f>_xlfn.XLOOKUP(tblOrders[[#This Row],[ProductID]],tblProducts[ProductID],tblProducts[ProductName],"not found")</f>
        <v>Nation</v>
      </c>
      <c r="I920" t="str">
        <f>_xlfn.XLOOKUP(tblOrders[[#This Row],[ProductID]],tblProducts[ProductID],tblProducts[Category],"not found")</f>
        <v>Furniture</v>
      </c>
      <c r="J920">
        <f>_xlfn.XLOOKUP(tblOrders[[#This Row],[ProductID]],tblProducts[ProductID],tblProducts[UnitPrice],"not found")</f>
        <v>25.7</v>
      </c>
      <c r="K920" t="str">
        <f>_xlfn.XLOOKUP(tblOrders[[#This Row],[ProductID]],tblProducts[ProductID],tblProducts[Supplier],"not found")</f>
        <v>Browning, Cain and Smith</v>
      </c>
      <c r="L920" s="1">
        <v>45479</v>
      </c>
      <c r="M9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45479</v>
      </c>
      <c r="N920">
        <v>4</v>
      </c>
      <c r="O920">
        <v>102.8</v>
      </c>
      <c r="P920">
        <f>tblOrders[[#This Row],[Quantity]]*tblOrders[[#This Row],[Unit Price]]</f>
        <v>102.8</v>
      </c>
      <c r="Q920">
        <f>tblOrders[[#This Row],[TotalSales]]-tblOrders[[#This Row],[Calculated Sales]]</f>
        <v>0</v>
      </c>
    </row>
    <row r="921" spans="1:17" x14ac:dyDescent="0.25">
      <c r="A921">
        <v>759</v>
      </c>
      <c r="B921">
        <v>517</v>
      </c>
      <c r="C921" t="str">
        <f>_xlfn.XLOOKUP(tblOrders[[#This Row],[CustomerID]],tblCustomers[CustomerID],tblCustomers[CustomerName],"not found")</f>
        <v>Gina Brown</v>
      </c>
      <c r="D921">
        <f>_xlfn.XLOOKUP(tblOrders[[#This Row],[CustomerID]],tblCustomers[CustomerID],tblCustomers[Age],"not found")</f>
        <v>26</v>
      </c>
      <c r="E921" t="str">
        <f>_xlfn.XLOOKUP(tblOrders[[#This Row],[CustomerID]],tblCustomers[CustomerID],tblCustomers[Gender],"not found")</f>
        <v>Male</v>
      </c>
      <c r="F921" t="str">
        <f>_xlfn.XLOOKUP(tblOrders[[#This Row],[CustomerID]],tblCustomers[CustomerID],tblCustomers[Region],"not found")</f>
        <v>Central</v>
      </c>
      <c r="G921">
        <v>1017</v>
      </c>
      <c r="H921" t="str">
        <f>_xlfn.XLOOKUP(tblOrders[[#This Row],[ProductID]],tblProducts[ProductID],tblProducts[ProductName],"not found")</f>
        <v>Nation</v>
      </c>
      <c r="I921" t="str">
        <f>_xlfn.XLOOKUP(tblOrders[[#This Row],[ProductID]],tblProducts[ProductID],tblProducts[Category],"not found")</f>
        <v>Furniture</v>
      </c>
      <c r="J921">
        <f>_xlfn.XLOOKUP(tblOrders[[#This Row],[ProductID]],tblProducts[ProductID],tblProducts[UnitPrice],"not found")</f>
        <v>25.7</v>
      </c>
      <c r="K921" t="str">
        <f>_xlfn.XLOOKUP(tblOrders[[#This Row],[ProductID]],tblProducts[ProductID],tblProducts[Supplier],"not found")</f>
        <v>Browning, Cain and Smith</v>
      </c>
      <c r="L921" s="1">
        <v>44929</v>
      </c>
      <c r="M9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44929</v>
      </c>
      <c r="N921">
        <v>7</v>
      </c>
      <c r="O921">
        <v>179.9</v>
      </c>
      <c r="P921">
        <f>tblOrders[[#This Row],[Quantity]]*tblOrders[[#This Row],[Unit Price]]</f>
        <v>179.9</v>
      </c>
      <c r="Q921">
        <f>tblOrders[[#This Row],[TotalSales]]-tblOrders[[#This Row],[Calculated Sales]]</f>
        <v>0</v>
      </c>
    </row>
    <row r="922" spans="1:17" x14ac:dyDescent="0.25">
      <c r="A922">
        <v>807</v>
      </c>
      <c r="B922">
        <v>213</v>
      </c>
      <c r="C922" t="str">
        <f>_xlfn.XLOOKUP(tblOrders[[#This Row],[CustomerID]],tblCustomers[CustomerID],tblCustomers[CustomerName],"not found")</f>
        <v>Joseph Sosa</v>
      </c>
      <c r="D922">
        <f>_xlfn.XLOOKUP(tblOrders[[#This Row],[CustomerID]],tblCustomers[CustomerID],tblCustomers[Age],"not found")</f>
        <v>38</v>
      </c>
      <c r="E922" t="str">
        <f>_xlfn.XLOOKUP(tblOrders[[#This Row],[CustomerID]],tblCustomers[CustomerID],tblCustomers[Gender],"not found")</f>
        <v>Female</v>
      </c>
      <c r="F922" t="str">
        <f>_xlfn.XLOOKUP(tblOrders[[#This Row],[CustomerID]],tblCustomers[CustomerID],tblCustomers[Region],"not found")</f>
        <v>East</v>
      </c>
      <c r="G922">
        <v>1017</v>
      </c>
      <c r="H922" t="str">
        <f>_xlfn.XLOOKUP(tblOrders[[#This Row],[ProductID]],tblProducts[ProductID],tblProducts[ProductName],"not found")</f>
        <v>Nation</v>
      </c>
      <c r="I922" t="str">
        <f>_xlfn.XLOOKUP(tblOrders[[#This Row],[ProductID]],tblProducts[ProductID],tblProducts[Category],"not found")</f>
        <v>Furniture</v>
      </c>
      <c r="J922">
        <f>_xlfn.XLOOKUP(tblOrders[[#This Row],[ProductID]],tblProducts[ProductID],tblProducts[UnitPrice],"not found")</f>
        <v>25.7</v>
      </c>
      <c r="K922" t="str">
        <f>_xlfn.XLOOKUP(tblOrders[[#This Row],[ProductID]],tblProducts[ProductID],tblProducts[Supplier],"not found")</f>
        <v>Browning, Cain and Smith</v>
      </c>
      <c r="L922" s="1" t="s">
        <v>2328</v>
      </c>
      <c r="M9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45251</v>
      </c>
      <c r="N922">
        <v>2</v>
      </c>
      <c r="O922">
        <v>51.4</v>
      </c>
      <c r="P922">
        <f>tblOrders[[#This Row],[Quantity]]*tblOrders[[#This Row],[Unit Price]]</f>
        <v>51.4</v>
      </c>
      <c r="Q922">
        <f>tblOrders[[#This Row],[TotalSales]]-tblOrders[[#This Row],[Calculated Sales]]</f>
        <v>0</v>
      </c>
    </row>
    <row r="923" spans="1:17" x14ac:dyDescent="0.25">
      <c r="A923">
        <v>842</v>
      </c>
      <c r="B923">
        <v>398</v>
      </c>
      <c r="C923" t="str">
        <f>_xlfn.XLOOKUP(tblOrders[[#This Row],[CustomerID]],tblCustomers[CustomerID],tblCustomers[CustomerName],"not found")</f>
        <v>Katie Hawkins</v>
      </c>
      <c r="D923">
        <f>_xlfn.XLOOKUP(tblOrders[[#This Row],[CustomerID]],tblCustomers[CustomerID],tblCustomers[Age],"not found")</f>
        <v>36</v>
      </c>
      <c r="E923" t="str">
        <f>_xlfn.XLOOKUP(tblOrders[[#This Row],[CustomerID]],tblCustomers[CustomerID],tblCustomers[Gender],"not found")</f>
        <v>Female</v>
      </c>
      <c r="F923" t="str">
        <f>_xlfn.XLOOKUP(tblOrders[[#This Row],[CustomerID]],tblCustomers[CustomerID],tblCustomers[Region],"not found")</f>
        <v>West</v>
      </c>
      <c r="G923">
        <v>1017</v>
      </c>
      <c r="H923" t="str">
        <f>_xlfn.XLOOKUP(tblOrders[[#This Row],[ProductID]],tblProducts[ProductID],tblProducts[ProductName],"not found")</f>
        <v>Nation</v>
      </c>
      <c r="I923" t="str">
        <f>_xlfn.XLOOKUP(tblOrders[[#This Row],[ProductID]],tblProducts[ProductID],tblProducts[Category],"not found")</f>
        <v>Furniture</v>
      </c>
      <c r="J923">
        <f>_xlfn.XLOOKUP(tblOrders[[#This Row],[ProductID]],tblProducts[ProductID],tblProducts[UnitPrice],"not found")</f>
        <v>25.7</v>
      </c>
      <c r="K923" t="str">
        <f>_xlfn.XLOOKUP(tblOrders[[#This Row],[ProductID]],tblProducts[ProductID],tblProducts[Supplier],"not found")</f>
        <v>Browning, Cain and Smith</v>
      </c>
      <c r="L923" s="1">
        <v>45052</v>
      </c>
      <c r="M9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45052</v>
      </c>
      <c r="N923">
        <v>4</v>
      </c>
      <c r="O923">
        <v>102.8</v>
      </c>
      <c r="P923">
        <f>tblOrders[[#This Row],[Quantity]]*tblOrders[[#This Row],[Unit Price]]</f>
        <v>102.8</v>
      </c>
      <c r="Q923">
        <f>tblOrders[[#This Row],[TotalSales]]-tblOrders[[#This Row],[Calculated Sales]]</f>
        <v>0</v>
      </c>
    </row>
    <row r="924" spans="1:17" x14ac:dyDescent="0.25">
      <c r="A924">
        <v>889</v>
      </c>
      <c r="B924">
        <v>525</v>
      </c>
      <c r="C924" t="str">
        <f>_xlfn.XLOOKUP(tblOrders[[#This Row],[CustomerID]],tblCustomers[CustomerID],tblCustomers[CustomerName],"not found")</f>
        <v>Jacob Robertson Jr.</v>
      </c>
      <c r="D924">
        <f>_xlfn.XLOOKUP(tblOrders[[#This Row],[CustomerID]],tblCustomers[CustomerID],tblCustomers[Age],"not found")</f>
        <v>61</v>
      </c>
      <c r="E924" t="str">
        <f>_xlfn.XLOOKUP(tblOrders[[#This Row],[CustomerID]],tblCustomers[CustomerID],tblCustomers[Gender],"not found")</f>
        <v>Male</v>
      </c>
      <c r="F924" t="str">
        <f>_xlfn.XLOOKUP(tblOrders[[#This Row],[CustomerID]],tblCustomers[CustomerID],tblCustomers[Region],"not found")</f>
        <v>Central</v>
      </c>
      <c r="G924">
        <v>1017</v>
      </c>
      <c r="H924" t="str">
        <f>_xlfn.XLOOKUP(tblOrders[[#This Row],[ProductID]],tblProducts[ProductID],tblProducts[ProductName],"not found")</f>
        <v>Nation</v>
      </c>
      <c r="I924" t="str">
        <f>_xlfn.XLOOKUP(tblOrders[[#This Row],[ProductID]],tblProducts[ProductID],tblProducts[Category],"not found")</f>
        <v>Furniture</v>
      </c>
      <c r="J924">
        <f>_xlfn.XLOOKUP(tblOrders[[#This Row],[ProductID]],tblProducts[ProductID],tblProducts[UnitPrice],"not found")</f>
        <v>25.7</v>
      </c>
      <c r="K924" t="str">
        <f>_xlfn.XLOOKUP(tblOrders[[#This Row],[ProductID]],tblProducts[ProductID],tblProducts[Supplier],"not found")</f>
        <v>Browning, Cain and Smith</v>
      </c>
      <c r="L924" s="1">
        <v>44906</v>
      </c>
      <c r="M9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44906</v>
      </c>
      <c r="N924">
        <v>7</v>
      </c>
      <c r="O924">
        <v>179.9</v>
      </c>
      <c r="P924">
        <f>tblOrders[[#This Row],[Quantity]]*tblOrders[[#This Row],[Unit Price]]</f>
        <v>179.9</v>
      </c>
      <c r="Q924">
        <f>tblOrders[[#This Row],[TotalSales]]-tblOrders[[#This Row],[Calculated Sales]]</f>
        <v>0</v>
      </c>
    </row>
    <row r="925" spans="1:17" x14ac:dyDescent="0.25">
      <c r="A925">
        <v>925</v>
      </c>
      <c r="B925">
        <v>329</v>
      </c>
      <c r="C925" t="str">
        <f>_xlfn.XLOOKUP(tblOrders[[#This Row],[CustomerID]],tblCustomers[CustomerID],tblCustomers[CustomerName],"not found")</f>
        <v>Mark Christian</v>
      </c>
      <c r="D925">
        <f>_xlfn.XLOOKUP(tblOrders[[#This Row],[CustomerID]],tblCustomers[CustomerID],tblCustomers[Age],"not found")</f>
        <v>59</v>
      </c>
      <c r="E925" t="str">
        <f>_xlfn.XLOOKUP(tblOrders[[#This Row],[CustomerID]],tblCustomers[CustomerID],tblCustomers[Gender],"not found")</f>
        <v>Female</v>
      </c>
      <c r="F925" t="str">
        <f>_xlfn.XLOOKUP(tblOrders[[#This Row],[CustomerID]],tblCustomers[CustomerID],tblCustomers[Region],"not found")</f>
        <v>East</v>
      </c>
      <c r="G925">
        <v>1017</v>
      </c>
      <c r="H925" t="str">
        <f>_xlfn.XLOOKUP(tblOrders[[#This Row],[ProductID]],tblProducts[ProductID],tblProducts[ProductName],"not found")</f>
        <v>Nation</v>
      </c>
      <c r="I925" t="str">
        <f>_xlfn.XLOOKUP(tblOrders[[#This Row],[ProductID]],tblProducts[ProductID],tblProducts[Category],"not found")</f>
        <v>Furniture</v>
      </c>
      <c r="J925">
        <f>_xlfn.XLOOKUP(tblOrders[[#This Row],[ProductID]],tblProducts[ProductID],tblProducts[UnitPrice],"not found")</f>
        <v>25.7</v>
      </c>
      <c r="K925" t="str">
        <f>_xlfn.XLOOKUP(tblOrders[[#This Row],[ProductID]],tblProducts[ProductID],tblProducts[Supplier],"not found")</f>
        <v>Browning, Cain and Smith</v>
      </c>
      <c r="L925" s="1" t="s">
        <v>2170</v>
      </c>
      <c r="M9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45283</v>
      </c>
      <c r="N925">
        <v>9</v>
      </c>
      <c r="O925">
        <v>231.3</v>
      </c>
      <c r="P925">
        <f>tblOrders[[#This Row],[Quantity]]*tblOrders[[#This Row],[Unit Price]]</f>
        <v>231.29999999999998</v>
      </c>
      <c r="Q925">
        <f>tblOrders[[#This Row],[TotalSales]]-tblOrders[[#This Row],[Calculated Sales]]</f>
        <v>0</v>
      </c>
    </row>
    <row r="926" spans="1:17" x14ac:dyDescent="0.25">
      <c r="A926">
        <v>953</v>
      </c>
      <c r="B926">
        <v>972</v>
      </c>
      <c r="C926" t="str">
        <f>_xlfn.XLOOKUP(tblOrders[[#This Row],[CustomerID]],tblCustomers[CustomerID],tblCustomers[CustomerName],"not found")</f>
        <v>Steven Francis</v>
      </c>
      <c r="D926">
        <f>_xlfn.XLOOKUP(tblOrders[[#This Row],[CustomerID]],tblCustomers[CustomerID],tblCustomers[Age],"not found")</f>
        <v>35</v>
      </c>
      <c r="E926" t="str">
        <f>_xlfn.XLOOKUP(tblOrders[[#This Row],[CustomerID]],tblCustomers[CustomerID],tblCustomers[Gender],"not found")</f>
        <v>Female</v>
      </c>
      <c r="F926" t="str">
        <f>_xlfn.XLOOKUP(tblOrders[[#This Row],[CustomerID]],tblCustomers[CustomerID],tblCustomers[Region],"not found")</f>
        <v>East</v>
      </c>
      <c r="G926">
        <v>1017</v>
      </c>
      <c r="H926" t="str">
        <f>_xlfn.XLOOKUP(tblOrders[[#This Row],[ProductID]],tblProducts[ProductID],tblProducts[ProductName],"not found")</f>
        <v>Nation</v>
      </c>
      <c r="I926" t="str">
        <f>_xlfn.XLOOKUP(tblOrders[[#This Row],[ProductID]],tblProducts[ProductID],tblProducts[Category],"not found")</f>
        <v>Furniture</v>
      </c>
      <c r="J926">
        <f>_xlfn.XLOOKUP(tblOrders[[#This Row],[ProductID]],tblProducts[ProductID],tblProducts[UnitPrice],"not found")</f>
        <v>25.7</v>
      </c>
      <c r="K926" t="str">
        <f>_xlfn.XLOOKUP(tblOrders[[#This Row],[ProductID]],tblProducts[ProductID],tblProducts[Supplier],"not found")</f>
        <v>Browning, Cain and Smith</v>
      </c>
      <c r="L926" s="1">
        <v>45632</v>
      </c>
      <c r="M9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926">
        <v>6</v>
      </c>
      <c r="O926">
        <v>154.19999999999999</v>
      </c>
      <c r="P926">
        <f>tblOrders[[#This Row],[Quantity]]*tblOrders[[#This Row],[Unit Price]]</f>
        <v>154.19999999999999</v>
      </c>
      <c r="Q926">
        <f>tblOrders[[#This Row],[TotalSales]]-tblOrders[[#This Row],[Calculated Sales]]</f>
        <v>0</v>
      </c>
    </row>
    <row r="927" spans="1:17" x14ac:dyDescent="0.25">
      <c r="A927">
        <v>1011</v>
      </c>
      <c r="B927">
        <v>812</v>
      </c>
      <c r="C927" t="str">
        <f>_xlfn.XLOOKUP(tblOrders[[#This Row],[CustomerID]],tblCustomers[CustomerID],tblCustomers[CustomerName],"not found")</f>
        <v>Kendra Burke</v>
      </c>
      <c r="D927">
        <f>_xlfn.XLOOKUP(tblOrders[[#This Row],[CustomerID]],tblCustomers[CustomerID],tblCustomers[Age],"not found")</f>
        <v>26</v>
      </c>
      <c r="E927" t="str">
        <f>_xlfn.XLOOKUP(tblOrders[[#This Row],[CustomerID]],tblCustomers[CustomerID],tblCustomers[Gender],"not found")</f>
        <v>Male</v>
      </c>
      <c r="F927" t="str">
        <f>_xlfn.XLOOKUP(tblOrders[[#This Row],[CustomerID]],tblCustomers[CustomerID],tblCustomers[Region],"not found")</f>
        <v>East</v>
      </c>
      <c r="G927">
        <v>1017</v>
      </c>
      <c r="H927" t="str">
        <f>_xlfn.XLOOKUP(tblOrders[[#This Row],[ProductID]],tblProducts[ProductID],tblProducts[ProductName],"not found")</f>
        <v>Nation</v>
      </c>
      <c r="I927" t="str">
        <f>_xlfn.XLOOKUP(tblOrders[[#This Row],[ProductID]],tblProducts[ProductID],tblProducts[Category],"not found")</f>
        <v>Furniture</v>
      </c>
      <c r="J927">
        <f>_xlfn.XLOOKUP(tblOrders[[#This Row],[ProductID]],tblProducts[ProductID],tblProducts[UnitPrice],"not found")</f>
        <v>25.7</v>
      </c>
      <c r="K927" t="str">
        <f>_xlfn.XLOOKUP(tblOrders[[#This Row],[ProductID]],tblProducts[ProductID],tblProducts[Supplier],"not found")</f>
        <v>Browning, Cain and Smith</v>
      </c>
      <c r="L927" s="1" t="s">
        <v>2101</v>
      </c>
      <c r="M9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45456</v>
      </c>
      <c r="N927">
        <v>9</v>
      </c>
      <c r="O927">
        <v>231.3</v>
      </c>
      <c r="P927">
        <f>tblOrders[[#This Row],[Quantity]]*tblOrders[[#This Row],[Unit Price]]</f>
        <v>231.29999999999998</v>
      </c>
      <c r="Q927">
        <f>tblOrders[[#This Row],[TotalSales]]-tblOrders[[#This Row],[Calculated Sales]]</f>
        <v>0</v>
      </c>
    </row>
    <row r="928" spans="1:17" x14ac:dyDescent="0.25">
      <c r="A928">
        <v>1045</v>
      </c>
      <c r="B928">
        <v>141</v>
      </c>
      <c r="C928" t="str">
        <f>_xlfn.XLOOKUP(tblOrders[[#This Row],[CustomerID]],tblCustomers[CustomerID],tblCustomers[CustomerName],"not found")</f>
        <v>Ashley Perry</v>
      </c>
      <c r="D928">
        <f>_xlfn.XLOOKUP(tblOrders[[#This Row],[CustomerID]],tblCustomers[CustomerID],tblCustomers[Age],"not found")</f>
        <v>49</v>
      </c>
      <c r="E928" t="str">
        <f>_xlfn.XLOOKUP(tblOrders[[#This Row],[CustomerID]],tblCustomers[CustomerID],tblCustomers[Gender],"not found")</f>
        <v>Female</v>
      </c>
      <c r="F928" t="str">
        <f>_xlfn.XLOOKUP(tblOrders[[#This Row],[CustomerID]],tblCustomers[CustomerID],tblCustomers[Region],"not found")</f>
        <v>Central</v>
      </c>
      <c r="G928">
        <v>1017</v>
      </c>
      <c r="H928" t="str">
        <f>_xlfn.XLOOKUP(tblOrders[[#This Row],[ProductID]],tblProducts[ProductID],tblProducts[ProductName],"not found")</f>
        <v>Nation</v>
      </c>
      <c r="I928" t="str">
        <f>_xlfn.XLOOKUP(tblOrders[[#This Row],[ProductID]],tblProducts[ProductID],tblProducts[Category],"not found")</f>
        <v>Furniture</v>
      </c>
      <c r="J928">
        <f>_xlfn.XLOOKUP(tblOrders[[#This Row],[ProductID]],tblProducts[ProductID],tblProducts[UnitPrice],"not found")</f>
        <v>25.7</v>
      </c>
      <c r="K928" t="str">
        <f>_xlfn.XLOOKUP(tblOrders[[#This Row],[ProductID]],tblProducts[ProductID],tblProducts[Supplier],"not found")</f>
        <v>Browning, Cain and Smith</v>
      </c>
      <c r="L928" s="1" t="s">
        <v>2253</v>
      </c>
      <c r="M9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45007</v>
      </c>
      <c r="N928">
        <v>8</v>
      </c>
      <c r="O928">
        <v>205.6</v>
      </c>
      <c r="P928">
        <f>tblOrders[[#This Row],[Quantity]]*tblOrders[[#This Row],[Unit Price]]</f>
        <v>205.6</v>
      </c>
      <c r="Q928">
        <f>tblOrders[[#This Row],[TotalSales]]-tblOrders[[#This Row],[Calculated Sales]]</f>
        <v>0</v>
      </c>
    </row>
    <row r="929" spans="1:17" x14ac:dyDescent="0.25">
      <c r="A929">
        <v>1080</v>
      </c>
      <c r="B929">
        <v>25</v>
      </c>
      <c r="C929" t="str">
        <f>_xlfn.XLOOKUP(tblOrders[[#This Row],[CustomerID]],tblCustomers[CustomerID],tblCustomers[CustomerName],"not found")</f>
        <v>Ashley Collins</v>
      </c>
      <c r="D929">
        <f>_xlfn.XLOOKUP(tblOrders[[#This Row],[CustomerID]],tblCustomers[CustomerID],tblCustomers[Age],"not found")</f>
        <v>41</v>
      </c>
      <c r="E929" t="str">
        <f>_xlfn.XLOOKUP(tblOrders[[#This Row],[CustomerID]],tblCustomers[CustomerID],tblCustomers[Gender],"not found")</f>
        <v>Female</v>
      </c>
      <c r="F929" t="str">
        <f>_xlfn.XLOOKUP(tblOrders[[#This Row],[CustomerID]],tblCustomers[CustomerID],tblCustomers[Region],"not found")</f>
        <v>Central</v>
      </c>
      <c r="G929">
        <v>1017</v>
      </c>
      <c r="H929" t="str">
        <f>_xlfn.XLOOKUP(tblOrders[[#This Row],[ProductID]],tblProducts[ProductID],tblProducts[ProductName],"not found")</f>
        <v>Nation</v>
      </c>
      <c r="I929" t="str">
        <f>_xlfn.XLOOKUP(tblOrders[[#This Row],[ProductID]],tblProducts[ProductID],tblProducts[Category],"not found")</f>
        <v>Furniture</v>
      </c>
      <c r="J929">
        <f>_xlfn.XLOOKUP(tblOrders[[#This Row],[ProductID]],tblProducts[ProductID],tblProducts[UnitPrice],"not found")</f>
        <v>25.7</v>
      </c>
      <c r="K929" t="str">
        <f>_xlfn.XLOOKUP(tblOrders[[#This Row],[ProductID]],tblProducts[ProductID],tblProducts[Supplier],"not found")</f>
        <v>Browning, Cain and Smith</v>
      </c>
      <c r="L929" s="1">
        <v>45141</v>
      </c>
      <c r="M9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45141</v>
      </c>
      <c r="N929">
        <v>8</v>
      </c>
      <c r="O929">
        <v>205.6</v>
      </c>
      <c r="P929">
        <f>tblOrders[[#This Row],[Quantity]]*tblOrders[[#This Row],[Unit Price]]</f>
        <v>205.6</v>
      </c>
      <c r="Q929">
        <f>tblOrders[[#This Row],[TotalSales]]-tblOrders[[#This Row],[Calculated Sales]]</f>
        <v>0</v>
      </c>
    </row>
    <row r="930" spans="1:17" x14ac:dyDescent="0.25">
      <c r="A930">
        <v>1155</v>
      </c>
      <c r="B930">
        <v>64</v>
      </c>
      <c r="C930" t="str">
        <f>_xlfn.XLOOKUP(tblOrders[[#This Row],[CustomerID]],tblCustomers[CustomerID],tblCustomers[CustomerName],"not found")</f>
        <v>Edward Hill</v>
      </c>
      <c r="D930">
        <f>_xlfn.XLOOKUP(tblOrders[[#This Row],[CustomerID]],tblCustomers[CustomerID],tblCustomers[Age],"not found")</f>
        <v>49</v>
      </c>
      <c r="E930" t="str">
        <f>_xlfn.XLOOKUP(tblOrders[[#This Row],[CustomerID]],tblCustomers[CustomerID],tblCustomers[Gender],"not found")</f>
        <v>Male</v>
      </c>
      <c r="F930" t="str">
        <f>_xlfn.XLOOKUP(tblOrders[[#This Row],[CustomerID]],tblCustomers[CustomerID],tblCustomers[Region],"not found")</f>
        <v>West</v>
      </c>
      <c r="G930">
        <v>1017</v>
      </c>
      <c r="H930" t="str">
        <f>_xlfn.XLOOKUP(tblOrders[[#This Row],[ProductID]],tblProducts[ProductID],tblProducts[ProductName],"not found")</f>
        <v>Nation</v>
      </c>
      <c r="I930" t="str">
        <f>_xlfn.XLOOKUP(tblOrders[[#This Row],[ProductID]],tblProducts[ProductID],tblProducts[Category],"not found")</f>
        <v>Furniture</v>
      </c>
      <c r="J930">
        <f>_xlfn.XLOOKUP(tblOrders[[#This Row],[ProductID]],tblProducts[ProductID],tblProducts[UnitPrice],"not found")</f>
        <v>25.7</v>
      </c>
      <c r="K930" t="str">
        <f>_xlfn.XLOOKUP(tblOrders[[#This Row],[ProductID]],tblProducts[ProductID],tblProducts[Supplier],"not found")</f>
        <v>Browning, Cain and Smith</v>
      </c>
      <c r="L930" s="1" t="s">
        <v>2329</v>
      </c>
      <c r="M9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44885</v>
      </c>
      <c r="N930">
        <v>9</v>
      </c>
      <c r="O930">
        <v>231.3</v>
      </c>
      <c r="P930">
        <f>tblOrders[[#This Row],[Quantity]]*tblOrders[[#This Row],[Unit Price]]</f>
        <v>231.29999999999998</v>
      </c>
      <c r="Q930">
        <f>tblOrders[[#This Row],[TotalSales]]-tblOrders[[#This Row],[Calculated Sales]]</f>
        <v>0</v>
      </c>
    </row>
    <row r="931" spans="1:17" x14ac:dyDescent="0.25">
      <c r="A931">
        <v>1174</v>
      </c>
      <c r="B931">
        <v>796</v>
      </c>
      <c r="C931" t="str">
        <f>_xlfn.XLOOKUP(tblOrders[[#This Row],[CustomerID]],tblCustomers[CustomerID],tblCustomers[CustomerName],"not found")</f>
        <v>Jason Jenkins</v>
      </c>
      <c r="D931">
        <f>_xlfn.XLOOKUP(tblOrders[[#This Row],[CustomerID]],tblCustomers[CustomerID],tblCustomers[Age],"not found")</f>
        <v>44</v>
      </c>
      <c r="E931" t="str">
        <f>_xlfn.XLOOKUP(tblOrders[[#This Row],[CustomerID]],tblCustomers[CustomerID],tblCustomers[Gender],"not found")</f>
        <v>Female</v>
      </c>
      <c r="F931" t="str">
        <f>_xlfn.XLOOKUP(tblOrders[[#This Row],[CustomerID]],tblCustomers[CustomerID],tblCustomers[Region],"not found")</f>
        <v>West</v>
      </c>
      <c r="G931">
        <v>1017</v>
      </c>
      <c r="H931" t="str">
        <f>_xlfn.XLOOKUP(tblOrders[[#This Row],[ProductID]],tblProducts[ProductID],tblProducts[ProductName],"not found")</f>
        <v>Nation</v>
      </c>
      <c r="I931" t="str">
        <f>_xlfn.XLOOKUP(tblOrders[[#This Row],[ProductID]],tblProducts[ProductID],tblProducts[Category],"not found")</f>
        <v>Furniture</v>
      </c>
      <c r="J931">
        <f>_xlfn.XLOOKUP(tblOrders[[#This Row],[ProductID]],tblProducts[ProductID],tblProducts[UnitPrice],"not found")</f>
        <v>25.7</v>
      </c>
      <c r="K931" t="str">
        <f>_xlfn.XLOOKUP(tblOrders[[#This Row],[ProductID]],tblProducts[ProductID],tblProducts[Supplier],"not found")</f>
        <v>Browning, Cain and Smith</v>
      </c>
      <c r="L931" s="1" t="s">
        <v>2044</v>
      </c>
      <c r="M9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45160</v>
      </c>
      <c r="N931">
        <v>3</v>
      </c>
      <c r="O931">
        <v>77.099999999999994</v>
      </c>
      <c r="P931">
        <f>tblOrders[[#This Row],[Quantity]]*tblOrders[[#This Row],[Unit Price]]</f>
        <v>77.099999999999994</v>
      </c>
      <c r="Q931">
        <f>tblOrders[[#This Row],[TotalSales]]-tblOrders[[#This Row],[Calculated Sales]]</f>
        <v>0</v>
      </c>
    </row>
    <row r="932" spans="1:17" x14ac:dyDescent="0.25">
      <c r="A932">
        <v>1211</v>
      </c>
      <c r="B932">
        <v>241</v>
      </c>
      <c r="C932" t="str">
        <f>_xlfn.XLOOKUP(tblOrders[[#This Row],[CustomerID]],tblCustomers[CustomerID],tblCustomers[CustomerName],"not found")</f>
        <v>Zoe Munoz</v>
      </c>
      <c r="D932">
        <f>_xlfn.XLOOKUP(tblOrders[[#This Row],[CustomerID]],tblCustomers[CustomerID],tblCustomers[Age],"not found")</f>
        <v>21</v>
      </c>
      <c r="E932" t="str">
        <f>_xlfn.XLOOKUP(tblOrders[[#This Row],[CustomerID]],tblCustomers[CustomerID],tblCustomers[Gender],"not found")</f>
        <v>Male</v>
      </c>
      <c r="F932" t="str">
        <f>_xlfn.XLOOKUP(tblOrders[[#This Row],[CustomerID]],tblCustomers[CustomerID],tblCustomers[Region],"not found")</f>
        <v>South</v>
      </c>
      <c r="G932">
        <v>1017</v>
      </c>
      <c r="H932" t="str">
        <f>_xlfn.XLOOKUP(tblOrders[[#This Row],[ProductID]],tblProducts[ProductID],tblProducts[ProductName],"not found")</f>
        <v>Nation</v>
      </c>
      <c r="I932" t="str">
        <f>_xlfn.XLOOKUP(tblOrders[[#This Row],[ProductID]],tblProducts[ProductID],tblProducts[Category],"not found")</f>
        <v>Furniture</v>
      </c>
      <c r="J932">
        <f>_xlfn.XLOOKUP(tblOrders[[#This Row],[ProductID]],tblProducts[ProductID],tblProducts[UnitPrice],"not found")</f>
        <v>25.7</v>
      </c>
      <c r="K932" t="str">
        <f>_xlfn.XLOOKUP(tblOrders[[#This Row],[ProductID]],tblProducts[ProductID],tblProducts[Supplier],"not found")</f>
        <v>Browning, Cain and Smith</v>
      </c>
      <c r="L932" s="1">
        <v>45210</v>
      </c>
      <c r="M9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45210</v>
      </c>
      <c r="N932">
        <v>1</v>
      </c>
      <c r="O932">
        <v>25.7</v>
      </c>
      <c r="P932">
        <f>tblOrders[[#This Row],[Quantity]]*tblOrders[[#This Row],[Unit Price]]</f>
        <v>25.7</v>
      </c>
      <c r="Q932">
        <f>tblOrders[[#This Row],[TotalSales]]-tblOrders[[#This Row],[Calculated Sales]]</f>
        <v>0</v>
      </c>
    </row>
    <row r="933" spans="1:17" x14ac:dyDescent="0.25">
      <c r="A933">
        <v>1381</v>
      </c>
      <c r="B933">
        <v>671</v>
      </c>
      <c r="C933" t="str">
        <f>_xlfn.XLOOKUP(tblOrders[[#This Row],[CustomerID]],tblCustomers[CustomerID],tblCustomers[CustomerName],"not found")</f>
        <v>Joseph Reeves</v>
      </c>
      <c r="D933">
        <f>_xlfn.XLOOKUP(tblOrders[[#This Row],[CustomerID]],tblCustomers[CustomerID],tblCustomers[Age],"not found")</f>
        <v>69</v>
      </c>
      <c r="E933" t="str">
        <f>_xlfn.XLOOKUP(tblOrders[[#This Row],[CustomerID]],tblCustomers[CustomerID],tblCustomers[Gender],"not found")</f>
        <v>Male</v>
      </c>
      <c r="F933" t="str">
        <f>_xlfn.XLOOKUP(tblOrders[[#This Row],[CustomerID]],tblCustomers[CustomerID],tblCustomers[Region],"not found")</f>
        <v>North</v>
      </c>
      <c r="G933">
        <v>1017</v>
      </c>
      <c r="H933" t="str">
        <f>_xlfn.XLOOKUP(tblOrders[[#This Row],[ProductID]],tblProducts[ProductID],tblProducts[ProductName],"not found")</f>
        <v>Nation</v>
      </c>
      <c r="I933" t="str">
        <f>_xlfn.XLOOKUP(tblOrders[[#This Row],[ProductID]],tblProducts[ProductID],tblProducts[Category],"not found")</f>
        <v>Furniture</v>
      </c>
      <c r="J933">
        <f>_xlfn.XLOOKUP(tblOrders[[#This Row],[ProductID]],tblProducts[ProductID],tblProducts[UnitPrice],"not found")</f>
        <v>25.7</v>
      </c>
      <c r="K933" t="str">
        <f>_xlfn.XLOOKUP(tblOrders[[#This Row],[ProductID]],tblProducts[ProductID],tblProducts[Supplier],"not found")</f>
        <v>Browning, Cain and Smith</v>
      </c>
      <c r="L933" s="1">
        <v>45271</v>
      </c>
      <c r="M9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45271</v>
      </c>
      <c r="N933">
        <v>6</v>
      </c>
      <c r="O933">
        <v>154.19999999999999</v>
      </c>
      <c r="P933">
        <f>tblOrders[[#This Row],[Quantity]]*tblOrders[[#This Row],[Unit Price]]</f>
        <v>154.19999999999999</v>
      </c>
      <c r="Q933">
        <f>tblOrders[[#This Row],[TotalSales]]-tblOrders[[#This Row],[Calculated Sales]]</f>
        <v>0</v>
      </c>
    </row>
    <row r="934" spans="1:17" x14ac:dyDescent="0.25">
      <c r="A934">
        <v>1412</v>
      </c>
      <c r="B934">
        <v>184</v>
      </c>
      <c r="C934" t="str">
        <f>_xlfn.XLOOKUP(tblOrders[[#This Row],[CustomerID]],tblCustomers[CustomerID],tblCustomers[CustomerName],"not found")</f>
        <v>Jonathan Sanford</v>
      </c>
      <c r="D934">
        <f>_xlfn.XLOOKUP(tblOrders[[#This Row],[CustomerID]],tblCustomers[CustomerID],tblCustomers[Age],"not found")</f>
        <v>60</v>
      </c>
      <c r="E934" t="str">
        <f>_xlfn.XLOOKUP(tblOrders[[#This Row],[CustomerID]],tblCustomers[CustomerID],tblCustomers[Gender],"not found")</f>
        <v>Female</v>
      </c>
      <c r="F934" t="str">
        <f>_xlfn.XLOOKUP(tblOrders[[#This Row],[CustomerID]],tblCustomers[CustomerID],tblCustomers[Region],"not found")</f>
        <v>East</v>
      </c>
      <c r="G934">
        <v>1017</v>
      </c>
      <c r="H934" t="str">
        <f>_xlfn.XLOOKUP(tblOrders[[#This Row],[ProductID]],tblProducts[ProductID],tblProducts[ProductName],"not found")</f>
        <v>Nation</v>
      </c>
      <c r="I934" t="str">
        <f>_xlfn.XLOOKUP(tblOrders[[#This Row],[ProductID]],tblProducts[ProductID],tblProducts[Category],"not found")</f>
        <v>Furniture</v>
      </c>
      <c r="J934">
        <f>_xlfn.XLOOKUP(tblOrders[[#This Row],[ProductID]],tblProducts[ProductID],tblProducts[UnitPrice],"not found")</f>
        <v>25.7</v>
      </c>
      <c r="K934" t="str">
        <f>_xlfn.XLOOKUP(tblOrders[[#This Row],[ProductID]],tblProducts[ProductID],tblProducts[Supplier],"not found")</f>
        <v>Browning, Cain and Smith</v>
      </c>
      <c r="L934" s="1">
        <v>44990</v>
      </c>
      <c r="M9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44990</v>
      </c>
      <c r="N934">
        <v>5</v>
      </c>
      <c r="O934">
        <v>128.5</v>
      </c>
      <c r="P934">
        <f>tblOrders[[#This Row],[Quantity]]*tblOrders[[#This Row],[Unit Price]]</f>
        <v>128.5</v>
      </c>
      <c r="Q934">
        <f>tblOrders[[#This Row],[TotalSales]]-tblOrders[[#This Row],[Calculated Sales]]</f>
        <v>0</v>
      </c>
    </row>
    <row r="935" spans="1:17" x14ac:dyDescent="0.25">
      <c r="A935">
        <v>1433</v>
      </c>
      <c r="B935">
        <v>825</v>
      </c>
      <c r="C935" t="str">
        <f>_xlfn.XLOOKUP(tblOrders[[#This Row],[CustomerID]],tblCustomers[CustomerID],tblCustomers[CustomerName],"not found")</f>
        <v>Francisco Ramos</v>
      </c>
      <c r="D935">
        <f>_xlfn.XLOOKUP(tblOrders[[#This Row],[CustomerID]],tblCustomers[CustomerID],tblCustomers[Age],"not found")</f>
        <v>66</v>
      </c>
      <c r="E935" t="str">
        <f>_xlfn.XLOOKUP(tblOrders[[#This Row],[CustomerID]],tblCustomers[CustomerID],tblCustomers[Gender],"not found")</f>
        <v>Female</v>
      </c>
      <c r="F935" t="str">
        <f>_xlfn.XLOOKUP(tblOrders[[#This Row],[CustomerID]],tblCustomers[CustomerID],tblCustomers[Region],"not found")</f>
        <v>North</v>
      </c>
      <c r="G935">
        <v>1017</v>
      </c>
      <c r="H935" t="str">
        <f>_xlfn.XLOOKUP(tblOrders[[#This Row],[ProductID]],tblProducts[ProductID],tblProducts[ProductName],"not found")</f>
        <v>Nation</v>
      </c>
      <c r="I935" t="str">
        <f>_xlfn.XLOOKUP(tblOrders[[#This Row],[ProductID]],tblProducts[ProductID],tblProducts[Category],"not found")</f>
        <v>Furniture</v>
      </c>
      <c r="J935">
        <f>_xlfn.XLOOKUP(tblOrders[[#This Row],[ProductID]],tblProducts[ProductID],tblProducts[UnitPrice],"not found")</f>
        <v>25.7</v>
      </c>
      <c r="K935" t="str">
        <f>_xlfn.XLOOKUP(tblOrders[[#This Row],[ProductID]],tblProducts[ProductID],tblProducts[Supplier],"not found")</f>
        <v>Browning, Cain and Smith</v>
      </c>
      <c r="L935" s="1">
        <v>45022</v>
      </c>
      <c r="M9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45022</v>
      </c>
      <c r="N935">
        <v>5</v>
      </c>
      <c r="O935">
        <v>128.5</v>
      </c>
      <c r="P935">
        <f>tblOrders[[#This Row],[Quantity]]*tblOrders[[#This Row],[Unit Price]]</f>
        <v>128.5</v>
      </c>
      <c r="Q935">
        <f>tblOrders[[#This Row],[TotalSales]]-tblOrders[[#This Row],[Calculated Sales]]</f>
        <v>0</v>
      </c>
    </row>
    <row r="936" spans="1:17" x14ac:dyDescent="0.25">
      <c r="A936">
        <v>1570</v>
      </c>
      <c r="B936">
        <v>607</v>
      </c>
      <c r="C936" t="str">
        <f>_xlfn.XLOOKUP(tblOrders[[#This Row],[CustomerID]],tblCustomers[CustomerID],tblCustomers[CustomerName],"not found")</f>
        <v>Benjamin Farrell</v>
      </c>
      <c r="D936">
        <f>_xlfn.XLOOKUP(tblOrders[[#This Row],[CustomerID]],tblCustomers[CustomerID],tblCustomers[Age],"not found")</f>
        <v>38</v>
      </c>
      <c r="E936" t="str">
        <f>_xlfn.XLOOKUP(tblOrders[[#This Row],[CustomerID]],tblCustomers[CustomerID],tblCustomers[Gender],"not found")</f>
        <v>Male</v>
      </c>
      <c r="F936" t="str">
        <f>_xlfn.XLOOKUP(tblOrders[[#This Row],[CustomerID]],tblCustomers[CustomerID],tblCustomers[Region],"not found")</f>
        <v>East</v>
      </c>
      <c r="G936">
        <v>1017</v>
      </c>
      <c r="H936" t="str">
        <f>_xlfn.XLOOKUP(tblOrders[[#This Row],[ProductID]],tblProducts[ProductID],tblProducts[ProductName],"not found")</f>
        <v>Nation</v>
      </c>
      <c r="I936" t="str">
        <f>_xlfn.XLOOKUP(tblOrders[[#This Row],[ProductID]],tblProducts[ProductID],tblProducts[Category],"not found")</f>
        <v>Furniture</v>
      </c>
      <c r="J936">
        <f>_xlfn.XLOOKUP(tblOrders[[#This Row],[ProductID]],tblProducts[ProductID],tblProducts[UnitPrice],"not found")</f>
        <v>25.7</v>
      </c>
      <c r="K936" t="str">
        <f>_xlfn.XLOOKUP(tblOrders[[#This Row],[ProductID]],tblProducts[ProductID],tblProducts[Supplier],"not found")</f>
        <v>Browning, Cain and Smith</v>
      </c>
      <c r="L936" s="1">
        <v>45631</v>
      </c>
      <c r="M9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45631</v>
      </c>
      <c r="N936">
        <v>6</v>
      </c>
      <c r="O936">
        <v>154.19999999999999</v>
      </c>
      <c r="P936">
        <f>tblOrders[[#This Row],[Quantity]]*tblOrders[[#This Row],[Unit Price]]</f>
        <v>154.19999999999999</v>
      </c>
      <c r="Q936">
        <f>tblOrders[[#This Row],[TotalSales]]-tblOrders[[#This Row],[Calculated Sales]]</f>
        <v>0</v>
      </c>
    </row>
    <row r="937" spans="1:17" x14ac:dyDescent="0.25">
      <c r="A937">
        <v>1787</v>
      </c>
      <c r="B937">
        <v>27</v>
      </c>
      <c r="C937" t="str">
        <f>_xlfn.XLOOKUP(tblOrders[[#This Row],[CustomerID]],tblCustomers[CustomerID],tblCustomers[CustomerName],"not found")</f>
        <v>Rodney Armstrong</v>
      </c>
      <c r="D937">
        <f>_xlfn.XLOOKUP(tblOrders[[#This Row],[CustomerID]],tblCustomers[CustomerID],tblCustomers[Age],"not found")</f>
        <v>66</v>
      </c>
      <c r="E937" t="str">
        <f>_xlfn.XLOOKUP(tblOrders[[#This Row],[CustomerID]],tblCustomers[CustomerID],tblCustomers[Gender],"not found")</f>
        <v>Female</v>
      </c>
      <c r="F937" t="str">
        <f>_xlfn.XLOOKUP(tblOrders[[#This Row],[CustomerID]],tblCustomers[CustomerID],tblCustomers[Region],"not found")</f>
        <v>East</v>
      </c>
      <c r="G937">
        <v>1017</v>
      </c>
      <c r="H937" t="str">
        <f>_xlfn.XLOOKUP(tblOrders[[#This Row],[ProductID]],tblProducts[ProductID],tblProducts[ProductName],"not found")</f>
        <v>Nation</v>
      </c>
      <c r="I937" t="str">
        <f>_xlfn.XLOOKUP(tblOrders[[#This Row],[ProductID]],tblProducts[ProductID],tblProducts[Category],"not found")</f>
        <v>Furniture</v>
      </c>
      <c r="J937">
        <f>_xlfn.XLOOKUP(tblOrders[[#This Row],[ProductID]],tblProducts[ProductID],tblProducts[UnitPrice],"not found")</f>
        <v>25.7</v>
      </c>
      <c r="K937" t="str">
        <f>_xlfn.XLOOKUP(tblOrders[[#This Row],[ProductID]],tblProducts[ProductID],tblProducts[Supplier],"not found")</f>
        <v>Browning, Cain and Smith</v>
      </c>
      <c r="L937" s="1">
        <v>44906</v>
      </c>
      <c r="M9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44906</v>
      </c>
      <c r="N937">
        <v>5</v>
      </c>
      <c r="O937">
        <v>128.5</v>
      </c>
      <c r="P937">
        <f>tblOrders[[#This Row],[Quantity]]*tblOrders[[#This Row],[Unit Price]]</f>
        <v>128.5</v>
      </c>
      <c r="Q937">
        <f>tblOrders[[#This Row],[TotalSales]]-tblOrders[[#This Row],[Calculated Sales]]</f>
        <v>0</v>
      </c>
    </row>
    <row r="938" spans="1:17" x14ac:dyDescent="0.25">
      <c r="A938">
        <v>52</v>
      </c>
      <c r="B938">
        <v>367</v>
      </c>
      <c r="C938" t="str">
        <f>_xlfn.XLOOKUP(tblOrders[[#This Row],[CustomerID]],tblCustomers[CustomerID],tblCustomers[CustomerName],"not found")</f>
        <v>Dwayne Arellano</v>
      </c>
      <c r="D938">
        <f>_xlfn.XLOOKUP(tblOrders[[#This Row],[CustomerID]],tblCustomers[CustomerID],tblCustomers[Age],"not found")</f>
        <v>32</v>
      </c>
      <c r="E938" t="str">
        <f>_xlfn.XLOOKUP(tblOrders[[#This Row],[CustomerID]],tblCustomers[CustomerID],tblCustomers[Gender],"not found")</f>
        <v>Male</v>
      </c>
      <c r="F938" t="str">
        <f>_xlfn.XLOOKUP(tblOrders[[#This Row],[CustomerID]],tblCustomers[CustomerID],tblCustomers[Region],"not found")</f>
        <v>East</v>
      </c>
      <c r="G938">
        <v>1097</v>
      </c>
      <c r="H938" t="str">
        <f>_xlfn.XLOOKUP(tblOrders[[#This Row],[ProductID]],tblProducts[ProductID],tblProducts[ProductName],"not found")</f>
        <v>Surface</v>
      </c>
      <c r="I938" t="str">
        <f>_xlfn.XLOOKUP(tblOrders[[#This Row],[ProductID]],tblProducts[ProductID],tblProducts[Category],"not found")</f>
        <v>Beauty</v>
      </c>
      <c r="J938">
        <f>_xlfn.XLOOKUP(tblOrders[[#This Row],[ProductID]],tblProducts[ProductID],tblProducts[UnitPrice],"not found")</f>
        <v>250.75</v>
      </c>
      <c r="K938" t="str">
        <f>_xlfn.XLOOKUP(tblOrders[[#This Row],[ProductID]],tblProducts[ProductID],tblProducts[Supplier],"not found")</f>
        <v>Chambers, Moore and Weaver</v>
      </c>
      <c r="L938" s="1" t="s">
        <v>2204</v>
      </c>
      <c r="M9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45366</v>
      </c>
      <c r="N938">
        <v>5</v>
      </c>
      <c r="O938">
        <v>1253.75</v>
      </c>
      <c r="P938">
        <f>tblOrders[[#This Row],[Quantity]]*tblOrders[[#This Row],[Unit Price]]</f>
        <v>1253.75</v>
      </c>
      <c r="Q938">
        <f>tblOrders[[#This Row],[TotalSales]]-tblOrders[[#This Row],[Calculated Sales]]</f>
        <v>0</v>
      </c>
    </row>
    <row r="939" spans="1:17" x14ac:dyDescent="0.25">
      <c r="A939">
        <v>201</v>
      </c>
      <c r="B939">
        <v>599</v>
      </c>
      <c r="C939" t="str">
        <f>_xlfn.XLOOKUP(tblOrders[[#This Row],[CustomerID]],tblCustomers[CustomerID],tblCustomers[CustomerName],"not found")</f>
        <v>Dr. Glen Ramsey</v>
      </c>
      <c r="D939">
        <f>_xlfn.XLOOKUP(tblOrders[[#This Row],[CustomerID]],tblCustomers[CustomerID],tblCustomers[Age],"not found")</f>
        <v>18</v>
      </c>
      <c r="E939" t="str">
        <f>_xlfn.XLOOKUP(tblOrders[[#This Row],[CustomerID]],tblCustomers[CustomerID],tblCustomers[Gender],"not found")</f>
        <v>Female</v>
      </c>
      <c r="F939" t="str">
        <f>_xlfn.XLOOKUP(tblOrders[[#This Row],[CustomerID]],tblCustomers[CustomerID],tblCustomers[Region],"not found")</f>
        <v>North</v>
      </c>
      <c r="G939">
        <v>1097</v>
      </c>
      <c r="H939" t="str">
        <f>_xlfn.XLOOKUP(tblOrders[[#This Row],[ProductID]],tblProducts[ProductID],tblProducts[ProductName],"not found")</f>
        <v>Surface</v>
      </c>
      <c r="I939" t="str">
        <f>_xlfn.XLOOKUP(tblOrders[[#This Row],[ProductID]],tblProducts[ProductID],tblProducts[Category],"not found")</f>
        <v>Beauty</v>
      </c>
      <c r="J939">
        <f>_xlfn.XLOOKUP(tblOrders[[#This Row],[ProductID]],tblProducts[ProductID],tblProducts[UnitPrice],"not found")</f>
        <v>250.75</v>
      </c>
      <c r="K939" t="str">
        <f>_xlfn.XLOOKUP(tblOrders[[#This Row],[ProductID]],tblProducts[ProductID],tblProducts[Supplier],"not found")</f>
        <v>Chambers, Moore and Weaver</v>
      </c>
      <c r="L939" s="1" t="s">
        <v>2243</v>
      </c>
      <c r="M9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939">
        <v>3</v>
      </c>
      <c r="O939">
        <v>752.25</v>
      </c>
      <c r="P939">
        <f>tblOrders[[#This Row],[Quantity]]*tblOrders[[#This Row],[Unit Price]]</f>
        <v>752.25</v>
      </c>
      <c r="Q939">
        <f>tblOrders[[#This Row],[TotalSales]]-tblOrders[[#This Row],[Calculated Sales]]</f>
        <v>0</v>
      </c>
    </row>
    <row r="940" spans="1:17" x14ac:dyDescent="0.25">
      <c r="A940">
        <v>207</v>
      </c>
      <c r="B940">
        <v>777</v>
      </c>
      <c r="C940" t="str">
        <f>_xlfn.XLOOKUP(tblOrders[[#This Row],[CustomerID]],tblCustomers[CustomerID],tblCustomers[CustomerName],"not found")</f>
        <v>Victoria Davis</v>
      </c>
      <c r="D940">
        <f>_xlfn.XLOOKUP(tblOrders[[#This Row],[CustomerID]],tblCustomers[CustomerID],tblCustomers[Age],"not found")</f>
        <v>39</v>
      </c>
      <c r="E940" t="str">
        <f>_xlfn.XLOOKUP(tblOrders[[#This Row],[CustomerID]],tblCustomers[CustomerID],tblCustomers[Gender],"not found")</f>
        <v>Male</v>
      </c>
      <c r="F940" t="str">
        <f>_xlfn.XLOOKUP(tblOrders[[#This Row],[CustomerID]],tblCustomers[CustomerID],tblCustomers[Region],"not found")</f>
        <v>Central</v>
      </c>
      <c r="G940">
        <v>1097</v>
      </c>
      <c r="H940" t="str">
        <f>_xlfn.XLOOKUP(tblOrders[[#This Row],[ProductID]],tblProducts[ProductID],tblProducts[ProductName],"not found")</f>
        <v>Surface</v>
      </c>
      <c r="I940" t="str">
        <f>_xlfn.XLOOKUP(tblOrders[[#This Row],[ProductID]],tblProducts[ProductID],tblProducts[Category],"not found")</f>
        <v>Beauty</v>
      </c>
      <c r="J940">
        <f>_xlfn.XLOOKUP(tblOrders[[#This Row],[ProductID]],tblProducts[ProductID],tblProducts[UnitPrice],"not found")</f>
        <v>250.75</v>
      </c>
      <c r="K940" t="str">
        <f>_xlfn.XLOOKUP(tblOrders[[#This Row],[ProductID]],tblProducts[ProductID],tblProducts[Supplier],"not found")</f>
        <v>Chambers, Moore and Weaver</v>
      </c>
      <c r="L940" s="1">
        <v>45143</v>
      </c>
      <c r="M9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45143</v>
      </c>
      <c r="N940">
        <v>7</v>
      </c>
      <c r="O940">
        <v>1755.25</v>
      </c>
      <c r="P940">
        <f>tblOrders[[#This Row],[Quantity]]*tblOrders[[#This Row],[Unit Price]]</f>
        <v>1755.25</v>
      </c>
      <c r="Q940">
        <f>tblOrders[[#This Row],[TotalSales]]-tblOrders[[#This Row],[Calculated Sales]]</f>
        <v>0</v>
      </c>
    </row>
    <row r="941" spans="1:17" x14ac:dyDescent="0.25">
      <c r="A941">
        <v>213</v>
      </c>
      <c r="B941">
        <v>368</v>
      </c>
      <c r="C941" t="str">
        <f>_xlfn.XLOOKUP(tblOrders[[#This Row],[CustomerID]],tblCustomers[CustomerID],tblCustomers[CustomerName],"not found")</f>
        <v>Jack Wheeler</v>
      </c>
      <c r="D941">
        <f>_xlfn.XLOOKUP(tblOrders[[#This Row],[CustomerID]],tblCustomers[CustomerID],tblCustomers[Age],"not found")</f>
        <v>58</v>
      </c>
      <c r="E941" t="str">
        <f>_xlfn.XLOOKUP(tblOrders[[#This Row],[CustomerID]],tblCustomers[CustomerID],tblCustomers[Gender],"not found")</f>
        <v>Male</v>
      </c>
      <c r="F941" t="str">
        <f>_xlfn.XLOOKUP(tblOrders[[#This Row],[CustomerID]],tblCustomers[CustomerID],tblCustomers[Region],"not found")</f>
        <v>Central</v>
      </c>
      <c r="G941">
        <v>1097</v>
      </c>
      <c r="H941" t="str">
        <f>_xlfn.XLOOKUP(tblOrders[[#This Row],[ProductID]],tblProducts[ProductID],tblProducts[ProductName],"not found")</f>
        <v>Surface</v>
      </c>
      <c r="I941" t="str">
        <f>_xlfn.XLOOKUP(tblOrders[[#This Row],[ProductID]],tblProducts[ProductID],tblProducts[Category],"not found")</f>
        <v>Beauty</v>
      </c>
      <c r="J941">
        <f>_xlfn.XLOOKUP(tblOrders[[#This Row],[ProductID]],tblProducts[ProductID],tblProducts[UnitPrice],"not found")</f>
        <v>250.75</v>
      </c>
      <c r="K941" t="str">
        <f>_xlfn.XLOOKUP(tblOrders[[#This Row],[ProductID]],tblProducts[ProductID],tblProducts[Supplier],"not found")</f>
        <v>Chambers, Moore and Weaver</v>
      </c>
      <c r="L941" s="1" t="s">
        <v>2330</v>
      </c>
      <c r="M9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44939</v>
      </c>
      <c r="N941">
        <v>7</v>
      </c>
      <c r="O941">
        <v>1755.25</v>
      </c>
      <c r="P941">
        <f>tblOrders[[#This Row],[Quantity]]*tblOrders[[#This Row],[Unit Price]]</f>
        <v>1755.25</v>
      </c>
      <c r="Q941">
        <f>tblOrders[[#This Row],[TotalSales]]-tblOrders[[#This Row],[Calculated Sales]]</f>
        <v>0</v>
      </c>
    </row>
    <row r="942" spans="1:17" x14ac:dyDescent="0.25">
      <c r="A942">
        <v>341</v>
      </c>
      <c r="B942">
        <v>590</v>
      </c>
      <c r="C942" t="str">
        <f>_xlfn.XLOOKUP(tblOrders[[#This Row],[CustomerID]],tblCustomers[CustomerID],tblCustomers[CustomerName],"not found")</f>
        <v>Judy Chung</v>
      </c>
      <c r="D942">
        <f>_xlfn.XLOOKUP(tblOrders[[#This Row],[CustomerID]],tblCustomers[CustomerID],tblCustomers[Age],"not found")</f>
        <v>64</v>
      </c>
      <c r="E942" t="str">
        <f>_xlfn.XLOOKUP(tblOrders[[#This Row],[CustomerID]],tblCustomers[CustomerID],tblCustomers[Gender],"not found")</f>
        <v>Male</v>
      </c>
      <c r="F942" t="str">
        <f>_xlfn.XLOOKUP(tblOrders[[#This Row],[CustomerID]],tblCustomers[CustomerID],tblCustomers[Region],"not found")</f>
        <v>South</v>
      </c>
      <c r="G942">
        <v>1097</v>
      </c>
      <c r="H942" t="str">
        <f>_xlfn.XLOOKUP(tblOrders[[#This Row],[ProductID]],tblProducts[ProductID],tblProducts[ProductName],"not found")</f>
        <v>Surface</v>
      </c>
      <c r="I942" t="str">
        <f>_xlfn.XLOOKUP(tblOrders[[#This Row],[ProductID]],tblProducts[ProductID],tblProducts[Category],"not found")</f>
        <v>Beauty</v>
      </c>
      <c r="J942">
        <f>_xlfn.XLOOKUP(tblOrders[[#This Row],[ProductID]],tblProducts[ProductID],tblProducts[UnitPrice],"not found")</f>
        <v>250.75</v>
      </c>
      <c r="K942" t="str">
        <f>_xlfn.XLOOKUP(tblOrders[[#This Row],[ProductID]],tblProducts[ProductID],tblProducts[Supplier],"not found")</f>
        <v>Chambers, Moore and Weaver</v>
      </c>
      <c r="L942" s="1" t="s">
        <v>2097</v>
      </c>
      <c r="M9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45518</v>
      </c>
      <c r="N942">
        <v>8</v>
      </c>
      <c r="O942">
        <v>2006</v>
      </c>
      <c r="P942">
        <f>tblOrders[[#This Row],[Quantity]]*tblOrders[[#This Row],[Unit Price]]</f>
        <v>2006</v>
      </c>
      <c r="Q942">
        <f>tblOrders[[#This Row],[TotalSales]]-tblOrders[[#This Row],[Calculated Sales]]</f>
        <v>0</v>
      </c>
    </row>
    <row r="943" spans="1:17" x14ac:dyDescent="0.25">
      <c r="A943">
        <v>366</v>
      </c>
      <c r="B943">
        <v>442</v>
      </c>
      <c r="C943" t="str">
        <f>_xlfn.XLOOKUP(tblOrders[[#This Row],[CustomerID]],tblCustomers[CustomerID],tblCustomers[CustomerName],"not found")</f>
        <v>Jessica Garcia</v>
      </c>
      <c r="D943">
        <f>_xlfn.XLOOKUP(tblOrders[[#This Row],[CustomerID]],tblCustomers[CustomerID],tblCustomers[Age],"not found")</f>
        <v>37</v>
      </c>
      <c r="E943" t="str">
        <f>_xlfn.XLOOKUP(tblOrders[[#This Row],[CustomerID]],tblCustomers[CustomerID],tblCustomers[Gender],"not found")</f>
        <v>Female</v>
      </c>
      <c r="F943" t="str">
        <f>_xlfn.XLOOKUP(tblOrders[[#This Row],[CustomerID]],tblCustomers[CustomerID],tblCustomers[Region],"not found")</f>
        <v>West</v>
      </c>
      <c r="G943">
        <v>1097</v>
      </c>
      <c r="H943" t="str">
        <f>_xlfn.XLOOKUP(tblOrders[[#This Row],[ProductID]],tblProducts[ProductID],tblProducts[ProductName],"not found")</f>
        <v>Surface</v>
      </c>
      <c r="I943" t="str">
        <f>_xlfn.XLOOKUP(tblOrders[[#This Row],[ProductID]],tblProducts[ProductID],tblProducts[Category],"not found")</f>
        <v>Beauty</v>
      </c>
      <c r="J943">
        <f>_xlfn.XLOOKUP(tblOrders[[#This Row],[ProductID]],tblProducts[ProductID],tblProducts[UnitPrice],"not found")</f>
        <v>250.75</v>
      </c>
      <c r="K943" t="str">
        <f>_xlfn.XLOOKUP(tblOrders[[#This Row],[ProductID]],tblProducts[ProductID],tblProducts[Supplier],"not found")</f>
        <v>Chambers, Moore and Weaver</v>
      </c>
      <c r="L943" s="1">
        <v>44959</v>
      </c>
      <c r="M9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44959</v>
      </c>
      <c r="N943">
        <v>3</v>
      </c>
      <c r="O943">
        <v>752.25</v>
      </c>
      <c r="P943">
        <f>tblOrders[[#This Row],[Quantity]]*tblOrders[[#This Row],[Unit Price]]</f>
        <v>752.25</v>
      </c>
      <c r="Q943">
        <f>tblOrders[[#This Row],[TotalSales]]-tblOrders[[#This Row],[Calculated Sales]]</f>
        <v>0</v>
      </c>
    </row>
    <row r="944" spans="1:17" x14ac:dyDescent="0.25">
      <c r="A944">
        <v>535</v>
      </c>
      <c r="B944">
        <v>800</v>
      </c>
      <c r="C944" t="str">
        <f>_xlfn.XLOOKUP(tblOrders[[#This Row],[CustomerID]],tblCustomers[CustomerID],tblCustomers[CustomerName],"not found")</f>
        <v>Brian Manning</v>
      </c>
      <c r="D944">
        <f>_xlfn.XLOOKUP(tblOrders[[#This Row],[CustomerID]],tblCustomers[CustomerID],tblCustomers[Age],"not found")</f>
        <v>27</v>
      </c>
      <c r="E944" t="str">
        <f>_xlfn.XLOOKUP(tblOrders[[#This Row],[CustomerID]],tblCustomers[CustomerID],tblCustomers[Gender],"not found")</f>
        <v>Male</v>
      </c>
      <c r="F944" t="str">
        <f>_xlfn.XLOOKUP(tblOrders[[#This Row],[CustomerID]],tblCustomers[CustomerID],tblCustomers[Region],"not found")</f>
        <v>South</v>
      </c>
      <c r="G944">
        <v>1097</v>
      </c>
      <c r="H944" t="str">
        <f>_xlfn.XLOOKUP(tblOrders[[#This Row],[ProductID]],tblProducts[ProductID],tblProducts[ProductName],"not found")</f>
        <v>Surface</v>
      </c>
      <c r="I944" t="str">
        <f>_xlfn.XLOOKUP(tblOrders[[#This Row],[ProductID]],tblProducts[ProductID],tblProducts[Category],"not found")</f>
        <v>Beauty</v>
      </c>
      <c r="J944">
        <f>_xlfn.XLOOKUP(tblOrders[[#This Row],[ProductID]],tblProducts[ProductID],tblProducts[UnitPrice],"not found")</f>
        <v>250.75</v>
      </c>
      <c r="K944" t="str">
        <f>_xlfn.XLOOKUP(tblOrders[[#This Row],[ProductID]],tblProducts[ProductID],tblProducts[Supplier],"not found")</f>
        <v>Chambers, Moore and Weaver</v>
      </c>
      <c r="L944" s="1" t="s">
        <v>2060</v>
      </c>
      <c r="M9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45560</v>
      </c>
      <c r="N944">
        <v>9</v>
      </c>
      <c r="O944">
        <v>2256.75</v>
      </c>
      <c r="P944">
        <f>tblOrders[[#This Row],[Quantity]]*tblOrders[[#This Row],[Unit Price]]</f>
        <v>2256.75</v>
      </c>
      <c r="Q944">
        <f>tblOrders[[#This Row],[TotalSales]]-tblOrders[[#This Row],[Calculated Sales]]</f>
        <v>0</v>
      </c>
    </row>
    <row r="945" spans="1:17" x14ac:dyDescent="0.25">
      <c r="A945">
        <v>574</v>
      </c>
      <c r="B945">
        <v>822</v>
      </c>
      <c r="C945" t="str">
        <f>_xlfn.XLOOKUP(tblOrders[[#This Row],[CustomerID]],tblCustomers[CustomerID],tblCustomers[CustomerName],"not found")</f>
        <v>Tracy Rios</v>
      </c>
      <c r="D945">
        <f>_xlfn.XLOOKUP(tblOrders[[#This Row],[CustomerID]],tblCustomers[CustomerID],tblCustomers[Age],"not found")</f>
        <v>33</v>
      </c>
      <c r="E945" t="str">
        <f>_xlfn.XLOOKUP(tblOrders[[#This Row],[CustomerID]],tblCustomers[CustomerID],tblCustomers[Gender],"not found")</f>
        <v>Female</v>
      </c>
      <c r="F945" t="str">
        <f>_xlfn.XLOOKUP(tblOrders[[#This Row],[CustomerID]],tblCustomers[CustomerID],tblCustomers[Region],"not found")</f>
        <v>West</v>
      </c>
      <c r="G945">
        <v>1097</v>
      </c>
      <c r="H945" t="str">
        <f>_xlfn.XLOOKUP(tblOrders[[#This Row],[ProductID]],tblProducts[ProductID],tblProducts[ProductName],"not found")</f>
        <v>Surface</v>
      </c>
      <c r="I945" t="str">
        <f>_xlfn.XLOOKUP(tblOrders[[#This Row],[ProductID]],tblProducts[ProductID],tblProducts[Category],"not found")</f>
        <v>Beauty</v>
      </c>
      <c r="J945">
        <f>_xlfn.XLOOKUP(tblOrders[[#This Row],[ProductID]],tblProducts[ProductID],tblProducts[UnitPrice],"not found")</f>
        <v>250.75</v>
      </c>
      <c r="K945" t="str">
        <f>_xlfn.XLOOKUP(tblOrders[[#This Row],[ProductID]],tblProducts[ProductID],tblProducts[Supplier],"not found")</f>
        <v>Chambers, Moore and Weaver</v>
      </c>
      <c r="L945" s="1" t="s">
        <v>2199</v>
      </c>
      <c r="M9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44973</v>
      </c>
      <c r="N945">
        <v>6</v>
      </c>
      <c r="O945">
        <v>1504.5</v>
      </c>
      <c r="P945">
        <f>tblOrders[[#This Row],[Quantity]]*tblOrders[[#This Row],[Unit Price]]</f>
        <v>1504.5</v>
      </c>
      <c r="Q945">
        <f>tblOrders[[#This Row],[TotalSales]]-tblOrders[[#This Row],[Calculated Sales]]</f>
        <v>0</v>
      </c>
    </row>
    <row r="946" spans="1:17" x14ac:dyDescent="0.25">
      <c r="A946">
        <v>586</v>
      </c>
      <c r="B946">
        <v>541</v>
      </c>
      <c r="C946" t="str">
        <f>_xlfn.XLOOKUP(tblOrders[[#This Row],[CustomerID]],tblCustomers[CustomerID],tblCustomers[CustomerName],"not found")</f>
        <v>Ashley Ho</v>
      </c>
      <c r="D946">
        <f>_xlfn.XLOOKUP(tblOrders[[#This Row],[CustomerID]],tblCustomers[CustomerID],tblCustomers[Age],"not found")</f>
        <v>28</v>
      </c>
      <c r="E946" t="str">
        <f>_xlfn.XLOOKUP(tblOrders[[#This Row],[CustomerID]],tblCustomers[CustomerID],tblCustomers[Gender],"not found")</f>
        <v>Female</v>
      </c>
      <c r="F946" t="str">
        <f>_xlfn.XLOOKUP(tblOrders[[#This Row],[CustomerID]],tblCustomers[CustomerID],tblCustomers[Region],"not found")</f>
        <v>East</v>
      </c>
      <c r="G946">
        <v>1097</v>
      </c>
      <c r="H946" t="str">
        <f>_xlfn.XLOOKUP(tblOrders[[#This Row],[ProductID]],tblProducts[ProductID],tblProducts[ProductName],"not found")</f>
        <v>Surface</v>
      </c>
      <c r="I946" t="str">
        <f>_xlfn.XLOOKUP(tblOrders[[#This Row],[ProductID]],tblProducts[ProductID],tblProducts[Category],"not found")</f>
        <v>Beauty</v>
      </c>
      <c r="J946">
        <f>_xlfn.XLOOKUP(tblOrders[[#This Row],[ProductID]],tblProducts[ProductID],tblProducts[UnitPrice],"not found")</f>
        <v>250.75</v>
      </c>
      <c r="K946" t="str">
        <f>_xlfn.XLOOKUP(tblOrders[[#This Row],[ProductID]],tblProducts[ProductID],tblProducts[Supplier],"not found")</f>
        <v>Chambers, Moore and Weaver</v>
      </c>
      <c r="L946" s="1" t="s">
        <v>2284</v>
      </c>
      <c r="M9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44893</v>
      </c>
      <c r="N946">
        <v>7</v>
      </c>
      <c r="O946">
        <v>1755.25</v>
      </c>
      <c r="P946">
        <f>tblOrders[[#This Row],[Quantity]]*tblOrders[[#This Row],[Unit Price]]</f>
        <v>1755.25</v>
      </c>
      <c r="Q946">
        <f>tblOrders[[#This Row],[TotalSales]]-tblOrders[[#This Row],[Calculated Sales]]</f>
        <v>0</v>
      </c>
    </row>
    <row r="947" spans="1:17" x14ac:dyDescent="0.25">
      <c r="A947">
        <v>620</v>
      </c>
      <c r="B947">
        <v>12</v>
      </c>
      <c r="C947" t="str">
        <f>_xlfn.XLOOKUP(tblOrders[[#This Row],[CustomerID]],tblCustomers[CustomerID],tblCustomers[CustomerName],"not found")</f>
        <v>Roy Fowler</v>
      </c>
      <c r="D947">
        <f>_xlfn.XLOOKUP(tblOrders[[#This Row],[CustomerID]],tblCustomers[CustomerID],tblCustomers[Age],"not found")</f>
        <v>49</v>
      </c>
      <c r="E947" t="str">
        <f>_xlfn.XLOOKUP(tblOrders[[#This Row],[CustomerID]],tblCustomers[CustomerID],tblCustomers[Gender],"not found")</f>
        <v>Female</v>
      </c>
      <c r="F947" t="str">
        <f>_xlfn.XLOOKUP(tblOrders[[#This Row],[CustomerID]],tblCustomers[CustomerID],tblCustomers[Region],"not found")</f>
        <v>Central</v>
      </c>
      <c r="G947">
        <v>1097</v>
      </c>
      <c r="H947" t="str">
        <f>_xlfn.XLOOKUP(tblOrders[[#This Row],[ProductID]],tblProducts[ProductID],tblProducts[ProductName],"not found")</f>
        <v>Surface</v>
      </c>
      <c r="I947" t="str">
        <f>_xlfn.XLOOKUP(tblOrders[[#This Row],[ProductID]],tblProducts[ProductID],tblProducts[Category],"not found")</f>
        <v>Beauty</v>
      </c>
      <c r="J947">
        <f>_xlfn.XLOOKUP(tblOrders[[#This Row],[ProductID]],tblProducts[ProductID],tblProducts[UnitPrice],"not found")</f>
        <v>250.75</v>
      </c>
      <c r="K947" t="str">
        <f>_xlfn.XLOOKUP(tblOrders[[#This Row],[ProductID]],tblProducts[ProductID],tblProducts[Supplier],"not found")</f>
        <v>Chambers, Moore and Weaver</v>
      </c>
      <c r="L947" s="1">
        <v>45627</v>
      </c>
      <c r="M9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45627</v>
      </c>
      <c r="N947">
        <v>6</v>
      </c>
      <c r="O947">
        <v>1504.5</v>
      </c>
      <c r="P947">
        <f>tblOrders[[#This Row],[Quantity]]*tblOrders[[#This Row],[Unit Price]]</f>
        <v>1504.5</v>
      </c>
      <c r="Q947">
        <f>tblOrders[[#This Row],[TotalSales]]-tblOrders[[#This Row],[Calculated Sales]]</f>
        <v>0</v>
      </c>
    </row>
    <row r="948" spans="1:17" x14ac:dyDescent="0.25">
      <c r="A948">
        <v>622</v>
      </c>
      <c r="B948">
        <v>38</v>
      </c>
      <c r="C948" t="str">
        <f>_xlfn.XLOOKUP(tblOrders[[#This Row],[CustomerID]],tblCustomers[CustomerID],tblCustomers[CustomerName],"not found")</f>
        <v>Stephen Martin</v>
      </c>
      <c r="D948">
        <f>_xlfn.XLOOKUP(tblOrders[[#This Row],[CustomerID]],tblCustomers[CustomerID],tblCustomers[Age],"not found")</f>
        <v>30</v>
      </c>
      <c r="E948" t="str">
        <f>_xlfn.XLOOKUP(tblOrders[[#This Row],[CustomerID]],tblCustomers[CustomerID],tblCustomers[Gender],"not found")</f>
        <v>Female</v>
      </c>
      <c r="F948" t="str">
        <f>_xlfn.XLOOKUP(tblOrders[[#This Row],[CustomerID]],tblCustomers[CustomerID],tblCustomers[Region],"not found")</f>
        <v>West</v>
      </c>
      <c r="G948">
        <v>1097</v>
      </c>
      <c r="H948" t="str">
        <f>_xlfn.XLOOKUP(tblOrders[[#This Row],[ProductID]],tblProducts[ProductID],tblProducts[ProductName],"not found")</f>
        <v>Surface</v>
      </c>
      <c r="I948" t="str">
        <f>_xlfn.XLOOKUP(tblOrders[[#This Row],[ProductID]],tblProducts[ProductID],tblProducts[Category],"not found")</f>
        <v>Beauty</v>
      </c>
      <c r="J948">
        <f>_xlfn.XLOOKUP(tblOrders[[#This Row],[ProductID]],tblProducts[ProductID],tblProducts[UnitPrice],"not found")</f>
        <v>250.75</v>
      </c>
      <c r="K948" t="str">
        <f>_xlfn.XLOOKUP(tblOrders[[#This Row],[ProductID]],tblProducts[ProductID],tblProducts[Supplier],"not found")</f>
        <v>Chambers, Moore and Weaver</v>
      </c>
      <c r="L948" s="1">
        <v>44604</v>
      </c>
      <c r="M9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44604</v>
      </c>
      <c r="N948">
        <v>9</v>
      </c>
      <c r="O948">
        <v>2256.75</v>
      </c>
      <c r="P948">
        <f>tblOrders[[#This Row],[Quantity]]*tblOrders[[#This Row],[Unit Price]]</f>
        <v>2256.75</v>
      </c>
      <c r="Q948">
        <f>tblOrders[[#This Row],[TotalSales]]-tblOrders[[#This Row],[Calculated Sales]]</f>
        <v>0</v>
      </c>
    </row>
    <row r="949" spans="1:17" x14ac:dyDescent="0.25">
      <c r="A949">
        <v>961</v>
      </c>
      <c r="B949">
        <v>151</v>
      </c>
      <c r="C949" t="str">
        <f>_xlfn.XLOOKUP(tblOrders[[#This Row],[CustomerID]],tblCustomers[CustomerID],tblCustomers[CustomerName],"not found")</f>
        <v>David Page</v>
      </c>
      <c r="D949">
        <f>_xlfn.XLOOKUP(tblOrders[[#This Row],[CustomerID]],tblCustomers[CustomerID],tblCustomers[Age],"not found")</f>
        <v>60</v>
      </c>
      <c r="E949" t="str">
        <f>_xlfn.XLOOKUP(tblOrders[[#This Row],[CustomerID]],tblCustomers[CustomerID],tblCustomers[Gender],"not found")</f>
        <v>Female</v>
      </c>
      <c r="F949" t="str">
        <f>_xlfn.XLOOKUP(tblOrders[[#This Row],[CustomerID]],tblCustomers[CustomerID],tblCustomers[Region],"not found")</f>
        <v>South</v>
      </c>
      <c r="G949">
        <v>1097</v>
      </c>
      <c r="H949" t="str">
        <f>_xlfn.XLOOKUP(tblOrders[[#This Row],[ProductID]],tblProducts[ProductID],tblProducts[ProductName],"not found")</f>
        <v>Surface</v>
      </c>
      <c r="I949" t="str">
        <f>_xlfn.XLOOKUP(tblOrders[[#This Row],[ProductID]],tblProducts[ProductID],tblProducts[Category],"not found")</f>
        <v>Beauty</v>
      </c>
      <c r="J949">
        <f>_xlfn.XLOOKUP(tblOrders[[#This Row],[ProductID]],tblProducts[ProductID],tblProducts[UnitPrice],"not found")</f>
        <v>250.75</v>
      </c>
      <c r="K949" t="str">
        <f>_xlfn.XLOOKUP(tblOrders[[#This Row],[ProductID]],tblProducts[ProductID],tblProducts[Supplier],"not found")</f>
        <v>Chambers, Moore and Weaver</v>
      </c>
      <c r="L949" s="1">
        <v>44934</v>
      </c>
      <c r="M9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44934</v>
      </c>
      <c r="N949">
        <v>9</v>
      </c>
      <c r="O949">
        <v>2256.75</v>
      </c>
      <c r="P949">
        <f>tblOrders[[#This Row],[Quantity]]*tblOrders[[#This Row],[Unit Price]]</f>
        <v>2256.75</v>
      </c>
      <c r="Q949">
        <f>tblOrders[[#This Row],[TotalSales]]-tblOrders[[#This Row],[Calculated Sales]]</f>
        <v>0</v>
      </c>
    </row>
    <row r="950" spans="1:17" x14ac:dyDescent="0.25">
      <c r="A950">
        <v>1087</v>
      </c>
      <c r="B950">
        <v>377</v>
      </c>
      <c r="C950" t="str">
        <f>_xlfn.XLOOKUP(tblOrders[[#This Row],[CustomerID]],tblCustomers[CustomerID],tblCustomers[CustomerName],"not found")</f>
        <v>Dr. Colton Schneider DDS</v>
      </c>
      <c r="D950">
        <f>_xlfn.XLOOKUP(tblOrders[[#This Row],[CustomerID]],tblCustomers[CustomerID],tblCustomers[Age],"not found")</f>
        <v>66</v>
      </c>
      <c r="E950" t="str">
        <f>_xlfn.XLOOKUP(tblOrders[[#This Row],[CustomerID]],tblCustomers[CustomerID],tblCustomers[Gender],"not found")</f>
        <v>Female</v>
      </c>
      <c r="F950" t="str">
        <f>_xlfn.XLOOKUP(tblOrders[[#This Row],[CustomerID]],tblCustomers[CustomerID],tblCustomers[Region],"not found")</f>
        <v>North</v>
      </c>
      <c r="G950">
        <v>1097</v>
      </c>
      <c r="H950" t="str">
        <f>_xlfn.XLOOKUP(tblOrders[[#This Row],[ProductID]],tblProducts[ProductID],tblProducts[ProductName],"not found")</f>
        <v>Surface</v>
      </c>
      <c r="I950" t="str">
        <f>_xlfn.XLOOKUP(tblOrders[[#This Row],[ProductID]],tblProducts[ProductID],tblProducts[Category],"not found")</f>
        <v>Beauty</v>
      </c>
      <c r="J950">
        <f>_xlfn.XLOOKUP(tblOrders[[#This Row],[ProductID]],tblProducts[ProductID],tblProducts[UnitPrice],"not found")</f>
        <v>250.75</v>
      </c>
      <c r="K950" t="str">
        <f>_xlfn.XLOOKUP(tblOrders[[#This Row],[ProductID]],tblProducts[ProductID],tblProducts[Supplier],"not found")</f>
        <v>Chambers, Moore and Weaver</v>
      </c>
      <c r="L950" s="1">
        <v>45360</v>
      </c>
      <c r="M9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45360</v>
      </c>
      <c r="N950">
        <v>7</v>
      </c>
      <c r="O950">
        <v>1755.25</v>
      </c>
      <c r="P950">
        <f>tblOrders[[#This Row],[Quantity]]*tblOrders[[#This Row],[Unit Price]]</f>
        <v>1755.25</v>
      </c>
      <c r="Q950">
        <f>tblOrders[[#This Row],[TotalSales]]-tblOrders[[#This Row],[Calculated Sales]]</f>
        <v>0</v>
      </c>
    </row>
    <row r="951" spans="1:17" x14ac:dyDescent="0.25">
      <c r="A951">
        <v>1112</v>
      </c>
      <c r="B951">
        <v>417</v>
      </c>
      <c r="C951" t="str">
        <f>_xlfn.XLOOKUP(tblOrders[[#This Row],[CustomerID]],tblCustomers[CustomerID],tblCustomers[CustomerName],"not found")</f>
        <v>Jeremy Spencer</v>
      </c>
      <c r="D951">
        <f>_xlfn.XLOOKUP(tblOrders[[#This Row],[CustomerID]],tblCustomers[CustomerID],tblCustomers[Age],"not found")</f>
        <v>26</v>
      </c>
      <c r="E951" t="str">
        <f>_xlfn.XLOOKUP(tblOrders[[#This Row],[CustomerID]],tblCustomers[CustomerID],tblCustomers[Gender],"not found")</f>
        <v>Male</v>
      </c>
      <c r="F951" t="str">
        <f>_xlfn.XLOOKUP(tblOrders[[#This Row],[CustomerID]],tblCustomers[CustomerID],tblCustomers[Region],"not found")</f>
        <v>West</v>
      </c>
      <c r="G951">
        <v>1097</v>
      </c>
      <c r="H951" t="str">
        <f>_xlfn.XLOOKUP(tblOrders[[#This Row],[ProductID]],tblProducts[ProductID],tblProducts[ProductName],"not found")</f>
        <v>Surface</v>
      </c>
      <c r="I951" t="str">
        <f>_xlfn.XLOOKUP(tblOrders[[#This Row],[ProductID]],tblProducts[ProductID],tblProducts[Category],"not found")</f>
        <v>Beauty</v>
      </c>
      <c r="J951">
        <f>_xlfn.XLOOKUP(tblOrders[[#This Row],[ProductID]],tblProducts[ProductID],tblProducts[UnitPrice],"not found")</f>
        <v>250.75</v>
      </c>
      <c r="K951" t="str">
        <f>_xlfn.XLOOKUP(tblOrders[[#This Row],[ProductID]],tblProducts[ProductID],tblProducts[Supplier],"not found")</f>
        <v>Chambers, Moore and Weaver</v>
      </c>
      <c r="L951" s="1" t="s">
        <v>2301</v>
      </c>
      <c r="M9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45068</v>
      </c>
      <c r="N951">
        <v>2</v>
      </c>
      <c r="O951">
        <v>501.5</v>
      </c>
      <c r="P951">
        <f>tblOrders[[#This Row],[Quantity]]*tblOrders[[#This Row],[Unit Price]]</f>
        <v>501.5</v>
      </c>
      <c r="Q951">
        <f>tblOrders[[#This Row],[TotalSales]]-tblOrders[[#This Row],[Calculated Sales]]</f>
        <v>0</v>
      </c>
    </row>
    <row r="952" spans="1:17" x14ac:dyDescent="0.25">
      <c r="A952">
        <v>1210</v>
      </c>
      <c r="B952">
        <v>216</v>
      </c>
      <c r="C952" t="str">
        <f>_xlfn.XLOOKUP(tblOrders[[#This Row],[CustomerID]],tblCustomers[CustomerID],tblCustomers[CustomerName],"not found")</f>
        <v>Kayla Cox</v>
      </c>
      <c r="D952">
        <f>_xlfn.XLOOKUP(tblOrders[[#This Row],[CustomerID]],tblCustomers[CustomerID],tblCustomers[Age],"not found")</f>
        <v>48</v>
      </c>
      <c r="E952" t="str">
        <f>_xlfn.XLOOKUP(tblOrders[[#This Row],[CustomerID]],tblCustomers[CustomerID],tblCustomers[Gender],"not found")</f>
        <v>Female</v>
      </c>
      <c r="F952" t="str">
        <f>_xlfn.XLOOKUP(tblOrders[[#This Row],[CustomerID]],tblCustomers[CustomerID],tblCustomers[Region],"not found")</f>
        <v>Central</v>
      </c>
      <c r="G952">
        <v>1097</v>
      </c>
      <c r="H952" t="str">
        <f>_xlfn.XLOOKUP(tblOrders[[#This Row],[ProductID]],tblProducts[ProductID],tblProducts[ProductName],"not found")</f>
        <v>Surface</v>
      </c>
      <c r="I952" t="str">
        <f>_xlfn.XLOOKUP(tblOrders[[#This Row],[ProductID]],tblProducts[ProductID],tblProducts[Category],"not found")</f>
        <v>Beauty</v>
      </c>
      <c r="J952">
        <f>_xlfn.XLOOKUP(tblOrders[[#This Row],[ProductID]],tblProducts[ProductID],tblProducts[UnitPrice],"not found")</f>
        <v>250.75</v>
      </c>
      <c r="K952" t="str">
        <f>_xlfn.XLOOKUP(tblOrders[[#This Row],[ProductID]],tblProducts[ProductID],tblProducts[Supplier],"not found")</f>
        <v>Chambers, Moore and Weaver</v>
      </c>
      <c r="L952" s="1">
        <v>45140</v>
      </c>
      <c r="M9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45140</v>
      </c>
      <c r="N952">
        <v>2</v>
      </c>
      <c r="O952">
        <v>501.5</v>
      </c>
      <c r="P952">
        <f>tblOrders[[#This Row],[Quantity]]*tblOrders[[#This Row],[Unit Price]]</f>
        <v>501.5</v>
      </c>
      <c r="Q952">
        <f>tblOrders[[#This Row],[TotalSales]]-tblOrders[[#This Row],[Calculated Sales]]</f>
        <v>0</v>
      </c>
    </row>
    <row r="953" spans="1:17" x14ac:dyDescent="0.25">
      <c r="A953">
        <v>1213</v>
      </c>
      <c r="B953">
        <v>45</v>
      </c>
      <c r="C953" t="str">
        <f>_xlfn.XLOOKUP(tblOrders[[#This Row],[CustomerID]],tblCustomers[CustomerID],tblCustomers[CustomerName],"not found")</f>
        <v>William Morris</v>
      </c>
      <c r="D953">
        <f>_xlfn.XLOOKUP(tblOrders[[#This Row],[CustomerID]],tblCustomers[CustomerID],tblCustomers[Age],"not found")</f>
        <v>51</v>
      </c>
      <c r="E953" t="str">
        <f>_xlfn.XLOOKUP(tblOrders[[#This Row],[CustomerID]],tblCustomers[CustomerID],tblCustomers[Gender],"not found")</f>
        <v>Female</v>
      </c>
      <c r="F953" t="str">
        <f>_xlfn.XLOOKUP(tblOrders[[#This Row],[CustomerID]],tblCustomers[CustomerID],tblCustomers[Region],"not found")</f>
        <v>North</v>
      </c>
      <c r="G953">
        <v>1097</v>
      </c>
      <c r="H953" t="str">
        <f>_xlfn.XLOOKUP(tblOrders[[#This Row],[ProductID]],tblProducts[ProductID],tblProducts[ProductName],"not found")</f>
        <v>Surface</v>
      </c>
      <c r="I953" t="str">
        <f>_xlfn.XLOOKUP(tblOrders[[#This Row],[ProductID]],tblProducts[ProductID],tblProducts[Category],"not found")</f>
        <v>Beauty</v>
      </c>
      <c r="J953">
        <f>_xlfn.XLOOKUP(tblOrders[[#This Row],[ProductID]],tblProducts[ProductID],tblProducts[UnitPrice],"not found")</f>
        <v>250.75</v>
      </c>
      <c r="K953" t="str">
        <f>_xlfn.XLOOKUP(tblOrders[[#This Row],[ProductID]],tblProducts[ProductID],tblProducts[Supplier],"not found")</f>
        <v>Chambers, Moore and Weaver</v>
      </c>
      <c r="L953" s="1">
        <v>45113</v>
      </c>
      <c r="M9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45113</v>
      </c>
      <c r="N953">
        <v>5</v>
      </c>
      <c r="O953">
        <v>1253.75</v>
      </c>
      <c r="P953">
        <f>tblOrders[[#This Row],[Quantity]]*tblOrders[[#This Row],[Unit Price]]</f>
        <v>1253.75</v>
      </c>
      <c r="Q953">
        <f>tblOrders[[#This Row],[TotalSales]]-tblOrders[[#This Row],[Calculated Sales]]</f>
        <v>0</v>
      </c>
    </row>
    <row r="954" spans="1:17" x14ac:dyDescent="0.25">
      <c r="A954">
        <v>1230</v>
      </c>
      <c r="B954">
        <v>875</v>
      </c>
      <c r="C954" t="str">
        <f>_xlfn.XLOOKUP(tblOrders[[#This Row],[CustomerID]],tblCustomers[CustomerID],tblCustomers[CustomerName],"not found")</f>
        <v>Jamie White</v>
      </c>
      <c r="D954">
        <f>_xlfn.XLOOKUP(tblOrders[[#This Row],[CustomerID]],tblCustomers[CustomerID],tblCustomers[Age],"not found")</f>
        <v>66</v>
      </c>
      <c r="E954" t="str">
        <f>_xlfn.XLOOKUP(tblOrders[[#This Row],[CustomerID]],tblCustomers[CustomerID],tblCustomers[Gender],"not found")</f>
        <v>Female</v>
      </c>
      <c r="F954" t="str">
        <f>_xlfn.XLOOKUP(tblOrders[[#This Row],[CustomerID]],tblCustomers[CustomerID],tblCustomers[Region],"not found")</f>
        <v>Central</v>
      </c>
      <c r="G954">
        <v>1097</v>
      </c>
      <c r="H954" t="str">
        <f>_xlfn.XLOOKUP(tblOrders[[#This Row],[ProductID]],tblProducts[ProductID],tblProducts[ProductName],"not found")</f>
        <v>Surface</v>
      </c>
      <c r="I954" t="str">
        <f>_xlfn.XLOOKUP(tblOrders[[#This Row],[ProductID]],tblProducts[ProductID],tblProducts[Category],"not found")</f>
        <v>Beauty</v>
      </c>
      <c r="J954">
        <f>_xlfn.XLOOKUP(tblOrders[[#This Row],[ProductID]],tblProducts[ProductID],tblProducts[UnitPrice],"not found")</f>
        <v>250.75</v>
      </c>
      <c r="K954" t="str">
        <f>_xlfn.XLOOKUP(tblOrders[[#This Row],[ProductID]],tblProducts[ProductID],tblProducts[Supplier],"not found")</f>
        <v>Chambers, Moore and Weaver</v>
      </c>
      <c r="L954" s="1">
        <v>45173</v>
      </c>
      <c r="M9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45173</v>
      </c>
      <c r="N954">
        <v>5</v>
      </c>
      <c r="O954">
        <v>1253.75</v>
      </c>
      <c r="P954">
        <f>tblOrders[[#This Row],[Quantity]]*tblOrders[[#This Row],[Unit Price]]</f>
        <v>1253.75</v>
      </c>
      <c r="Q954">
        <f>tblOrders[[#This Row],[TotalSales]]-tblOrders[[#This Row],[Calculated Sales]]</f>
        <v>0</v>
      </c>
    </row>
    <row r="955" spans="1:17" x14ac:dyDescent="0.25">
      <c r="A955">
        <v>1559</v>
      </c>
      <c r="B955">
        <v>186</v>
      </c>
      <c r="C955" t="str">
        <f>_xlfn.XLOOKUP(tblOrders[[#This Row],[CustomerID]],tblCustomers[CustomerID],tblCustomers[CustomerName],"not found")</f>
        <v>Chase Ross</v>
      </c>
      <c r="D955">
        <f>_xlfn.XLOOKUP(tblOrders[[#This Row],[CustomerID]],tblCustomers[CustomerID],tblCustomers[Age],"not found")</f>
        <v>43</v>
      </c>
      <c r="E955" t="str">
        <f>_xlfn.XLOOKUP(tblOrders[[#This Row],[CustomerID]],tblCustomers[CustomerID],tblCustomers[Gender],"not found")</f>
        <v>Male</v>
      </c>
      <c r="F955" t="str">
        <f>_xlfn.XLOOKUP(tblOrders[[#This Row],[CustomerID]],tblCustomers[CustomerID],tblCustomers[Region],"not found")</f>
        <v>Central</v>
      </c>
      <c r="G955">
        <v>1097</v>
      </c>
      <c r="H955" t="str">
        <f>_xlfn.XLOOKUP(tblOrders[[#This Row],[ProductID]],tblProducts[ProductID],tblProducts[ProductName],"not found")</f>
        <v>Surface</v>
      </c>
      <c r="I955" t="str">
        <f>_xlfn.XLOOKUP(tblOrders[[#This Row],[ProductID]],tblProducts[ProductID],tblProducts[Category],"not found")</f>
        <v>Beauty</v>
      </c>
      <c r="J955">
        <f>_xlfn.XLOOKUP(tblOrders[[#This Row],[ProductID]],tblProducts[ProductID],tblProducts[UnitPrice],"not found")</f>
        <v>250.75</v>
      </c>
      <c r="K955" t="str">
        <f>_xlfn.XLOOKUP(tblOrders[[#This Row],[ProductID]],tblProducts[ProductID],tblProducts[Supplier],"not found")</f>
        <v>Chambers, Moore and Weaver</v>
      </c>
      <c r="L955" s="1">
        <v>45295</v>
      </c>
      <c r="M9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45295</v>
      </c>
      <c r="N955">
        <v>4</v>
      </c>
      <c r="O955">
        <v>1003</v>
      </c>
      <c r="P955">
        <f>tblOrders[[#This Row],[Quantity]]*tblOrders[[#This Row],[Unit Price]]</f>
        <v>1003</v>
      </c>
      <c r="Q955">
        <f>tblOrders[[#This Row],[TotalSales]]-tblOrders[[#This Row],[Calculated Sales]]</f>
        <v>0</v>
      </c>
    </row>
    <row r="956" spans="1:17" x14ac:dyDescent="0.25">
      <c r="A956">
        <v>1677</v>
      </c>
      <c r="B956">
        <v>347</v>
      </c>
      <c r="C956" t="str">
        <f>_xlfn.XLOOKUP(tblOrders[[#This Row],[CustomerID]],tblCustomers[CustomerID],tblCustomers[CustomerName],"not found")</f>
        <v>Daniel Hughes</v>
      </c>
      <c r="D956">
        <f>_xlfn.XLOOKUP(tblOrders[[#This Row],[CustomerID]],tblCustomers[CustomerID],tblCustomers[Age],"not found")</f>
        <v>44</v>
      </c>
      <c r="E956" t="str">
        <f>_xlfn.XLOOKUP(tblOrders[[#This Row],[CustomerID]],tblCustomers[CustomerID],tblCustomers[Gender],"not found")</f>
        <v>Female</v>
      </c>
      <c r="F956" t="str">
        <f>_xlfn.XLOOKUP(tblOrders[[#This Row],[CustomerID]],tblCustomers[CustomerID],tblCustomers[Region],"not found")</f>
        <v>North</v>
      </c>
      <c r="G956">
        <v>1097</v>
      </c>
      <c r="H956" t="str">
        <f>_xlfn.XLOOKUP(tblOrders[[#This Row],[ProductID]],tblProducts[ProductID],tblProducts[ProductName],"not found")</f>
        <v>Surface</v>
      </c>
      <c r="I956" t="str">
        <f>_xlfn.XLOOKUP(tblOrders[[#This Row],[ProductID]],tblProducts[ProductID],tblProducts[Category],"not found")</f>
        <v>Beauty</v>
      </c>
      <c r="J956">
        <f>_xlfn.XLOOKUP(tblOrders[[#This Row],[ProductID]],tblProducts[ProductID],tblProducts[UnitPrice],"not found")</f>
        <v>250.75</v>
      </c>
      <c r="K956" t="str">
        <f>_xlfn.XLOOKUP(tblOrders[[#This Row],[ProductID]],tblProducts[ProductID],tblProducts[Supplier],"not found")</f>
        <v>Chambers, Moore and Weaver</v>
      </c>
      <c r="L956" s="1">
        <v>45357</v>
      </c>
      <c r="M9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45357</v>
      </c>
      <c r="N956">
        <v>4</v>
      </c>
      <c r="O956">
        <v>1003</v>
      </c>
      <c r="P956">
        <f>tblOrders[[#This Row],[Quantity]]*tblOrders[[#This Row],[Unit Price]]</f>
        <v>1003</v>
      </c>
      <c r="Q956">
        <f>tblOrders[[#This Row],[TotalSales]]-tblOrders[[#This Row],[Calculated Sales]]</f>
        <v>0</v>
      </c>
    </row>
    <row r="957" spans="1:17" x14ac:dyDescent="0.25">
      <c r="A957">
        <v>1815</v>
      </c>
      <c r="B957">
        <v>479</v>
      </c>
      <c r="C957" t="str">
        <f>_xlfn.XLOOKUP(tblOrders[[#This Row],[CustomerID]],tblCustomers[CustomerID],tblCustomers[CustomerName],"not found")</f>
        <v>Edward Poole</v>
      </c>
      <c r="D957">
        <f>_xlfn.XLOOKUP(tblOrders[[#This Row],[CustomerID]],tblCustomers[CustomerID],tblCustomers[Age],"not found")</f>
        <v>46</v>
      </c>
      <c r="E957" t="str">
        <f>_xlfn.XLOOKUP(tblOrders[[#This Row],[CustomerID]],tblCustomers[CustomerID],tblCustomers[Gender],"not found")</f>
        <v>Female</v>
      </c>
      <c r="F957" t="str">
        <f>_xlfn.XLOOKUP(tblOrders[[#This Row],[CustomerID]],tblCustomers[CustomerID],tblCustomers[Region],"not found")</f>
        <v>Central</v>
      </c>
      <c r="G957">
        <v>1097</v>
      </c>
      <c r="H957" t="str">
        <f>_xlfn.XLOOKUP(tblOrders[[#This Row],[ProductID]],tblProducts[ProductID],tblProducts[ProductName],"not found")</f>
        <v>Surface</v>
      </c>
      <c r="I957" t="str">
        <f>_xlfn.XLOOKUP(tblOrders[[#This Row],[ProductID]],tblProducts[ProductID],tblProducts[Category],"not found")</f>
        <v>Beauty</v>
      </c>
      <c r="J957">
        <f>_xlfn.XLOOKUP(tblOrders[[#This Row],[ProductID]],tblProducts[ProductID],tblProducts[UnitPrice],"not found")</f>
        <v>250.75</v>
      </c>
      <c r="K957" t="str">
        <f>_xlfn.XLOOKUP(tblOrders[[#This Row],[ProductID]],tblProducts[ProductID],tblProducts[Supplier],"not found")</f>
        <v>Chambers, Moore and Weaver</v>
      </c>
      <c r="L957" s="1">
        <v>45051</v>
      </c>
      <c r="M9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45051</v>
      </c>
      <c r="N957">
        <v>8</v>
      </c>
      <c r="O957">
        <v>2006</v>
      </c>
      <c r="P957">
        <f>tblOrders[[#This Row],[Quantity]]*tblOrders[[#This Row],[Unit Price]]</f>
        <v>2006</v>
      </c>
      <c r="Q957">
        <f>tblOrders[[#This Row],[TotalSales]]-tblOrders[[#This Row],[Calculated Sales]]</f>
        <v>0</v>
      </c>
    </row>
    <row r="958" spans="1:17" x14ac:dyDescent="0.25">
      <c r="A958">
        <v>1861</v>
      </c>
      <c r="B958">
        <v>94</v>
      </c>
      <c r="C958" t="str">
        <f>_xlfn.XLOOKUP(tblOrders[[#This Row],[CustomerID]],tblCustomers[CustomerID],tblCustomers[CustomerName],"not found")</f>
        <v>Michael Tran</v>
      </c>
      <c r="D958">
        <f>_xlfn.XLOOKUP(tblOrders[[#This Row],[CustomerID]],tblCustomers[CustomerID],tblCustomers[Age],"not found")</f>
        <v>52</v>
      </c>
      <c r="E958" t="str">
        <f>_xlfn.XLOOKUP(tblOrders[[#This Row],[CustomerID]],tblCustomers[CustomerID],tblCustomers[Gender],"not found")</f>
        <v>Female</v>
      </c>
      <c r="F958" t="str">
        <f>_xlfn.XLOOKUP(tblOrders[[#This Row],[CustomerID]],tblCustomers[CustomerID],tblCustomers[Region],"not found")</f>
        <v>West</v>
      </c>
      <c r="G958">
        <v>1097</v>
      </c>
      <c r="H958" t="str">
        <f>_xlfn.XLOOKUP(tblOrders[[#This Row],[ProductID]],tblProducts[ProductID],tblProducts[ProductName],"not found")</f>
        <v>Surface</v>
      </c>
      <c r="I958" t="str">
        <f>_xlfn.XLOOKUP(tblOrders[[#This Row],[ProductID]],tblProducts[ProductID],tblProducts[Category],"not found")</f>
        <v>Beauty</v>
      </c>
      <c r="J958">
        <f>_xlfn.XLOOKUP(tblOrders[[#This Row],[ProductID]],tblProducts[ProductID],tblProducts[UnitPrice],"not found")</f>
        <v>250.75</v>
      </c>
      <c r="K958" t="str">
        <f>_xlfn.XLOOKUP(tblOrders[[#This Row],[ProductID]],tblProducts[ProductID],tblProducts[Supplier],"not found")</f>
        <v>Chambers, Moore and Weaver</v>
      </c>
      <c r="L958" s="1">
        <v>45569</v>
      </c>
      <c r="M9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45569</v>
      </c>
      <c r="N958">
        <v>2</v>
      </c>
      <c r="O958">
        <v>501.5</v>
      </c>
      <c r="P958">
        <f>tblOrders[[#This Row],[Quantity]]*tblOrders[[#This Row],[Unit Price]]</f>
        <v>501.5</v>
      </c>
      <c r="Q958">
        <f>tblOrders[[#This Row],[TotalSales]]-tblOrders[[#This Row],[Calculated Sales]]</f>
        <v>0</v>
      </c>
    </row>
    <row r="959" spans="1:17" x14ac:dyDescent="0.25">
      <c r="A959">
        <v>1916</v>
      </c>
      <c r="B959">
        <v>149</v>
      </c>
      <c r="C959" t="str">
        <f>_xlfn.XLOOKUP(tblOrders[[#This Row],[CustomerID]],tblCustomers[CustomerID],tblCustomers[CustomerName],"not found")</f>
        <v>Sandra Lane</v>
      </c>
      <c r="D959">
        <f>_xlfn.XLOOKUP(tblOrders[[#This Row],[CustomerID]],tblCustomers[CustomerID],tblCustomers[Age],"not found")</f>
        <v>28</v>
      </c>
      <c r="E959" t="str">
        <f>_xlfn.XLOOKUP(tblOrders[[#This Row],[CustomerID]],tblCustomers[CustomerID],tblCustomers[Gender],"not found")</f>
        <v>Female</v>
      </c>
      <c r="F959" t="str">
        <f>_xlfn.XLOOKUP(tblOrders[[#This Row],[CustomerID]],tblCustomers[CustomerID],tblCustomers[Region],"not found")</f>
        <v>East</v>
      </c>
      <c r="G959">
        <v>1097</v>
      </c>
      <c r="H959" t="str">
        <f>_xlfn.XLOOKUP(tblOrders[[#This Row],[ProductID]],tblProducts[ProductID],tblProducts[ProductName],"not found")</f>
        <v>Surface</v>
      </c>
      <c r="I959" t="str">
        <f>_xlfn.XLOOKUP(tblOrders[[#This Row],[ProductID]],tblProducts[ProductID],tblProducts[Category],"not found")</f>
        <v>Beauty</v>
      </c>
      <c r="J959">
        <f>_xlfn.XLOOKUP(tblOrders[[#This Row],[ProductID]],tblProducts[ProductID],tblProducts[UnitPrice],"not found")</f>
        <v>250.75</v>
      </c>
      <c r="K959" t="str">
        <f>_xlfn.XLOOKUP(tblOrders[[#This Row],[ProductID]],tblProducts[ProductID],tblProducts[Supplier],"not found")</f>
        <v>Chambers, Moore and Weaver</v>
      </c>
      <c r="L959" s="1" t="s">
        <v>2331</v>
      </c>
      <c r="M9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45092</v>
      </c>
      <c r="N959">
        <v>9</v>
      </c>
      <c r="O959">
        <v>2256.75</v>
      </c>
      <c r="P959">
        <f>tblOrders[[#This Row],[Quantity]]*tblOrders[[#This Row],[Unit Price]]</f>
        <v>2256.75</v>
      </c>
      <c r="Q959">
        <f>tblOrders[[#This Row],[TotalSales]]-tblOrders[[#This Row],[Calculated Sales]]</f>
        <v>0</v>
      </c>
    </row>
    <row r="960" spans="1:17" x14ac:dyDescent="0.25">
      <c r="A960">
        <v>54</v>
      </c>
      <c r="B960">
        <v>841</v>
      </c>
      <c r="C960" t="str">
        <f>_xlfn.XLOOKUP(tblOrders[[#This Row],[CustomerID]],tblCustomers[CustomerID],tblCustomers[CustomerName],"not found")</f>
        <v>Kayla Russell</v>
      </c>
      <c r="D960">
        <f>_xlfn.XLOOKUP(tblOrders[[#This Row],[CustomerID]],tblCustomers[CustomerID],tblCustomers[Age],"not found")</f>
        <v>52</v>
      </c>
      <c r="E960" t="str">
        <f>_xlfn.XLOOKUP(tblOrders[[#This Row],[CustomerID]],tblCustomers[CustomerID],tblCustomers[Gender],"not found")</f>
        <v>Male</v>
      </c>
      <c r="F960" t="str">
        <f>_xlfn.XLOOKUP(tblOrders[[#This Row],[CustomerID]],tblCustomers[CustomerID],tblCustomers[Region],"not found")</f>
        <v>North</v>
      </c>
      <c r="G960">
        <v>1047</v>
      </c>
      <c r="H960" t="str">
        <f>_xlfn.XLOOKUP(tblOrders[[#This Row],[ProductID]],tblProducts[ProductID],tblProducts[ProductName],"not found")</f>
        <v>Fire</v>
      </c>
      <c r="I960" t="str">
        <f>_xlfn.XLOOKUP(tblOrders[[#This Row],[ProductID]],tblProducts[ProductID],tblProducts[Category],"not found")</f>
        <v>Beauty</v>
      </c>
      <c r="J960">
        <f>_xlfn.XLOOKUP(tblOrders[[#This Row],[ProductID]],tblProducts[ProductID],tblProducts[UnitPrice],"not found")</f>
        <v>46.96</v>
      </c>
      <c r="K960" t="str">
        <f>_xlfn.XLOOKUP(tblOrders[[#This Row],[ProductID]],tblProducts[ProductID],tblProducts[Supplier],"not found")</f>
        <v>Pittman, Mcdonald and Fox</v>
      </c>
      <c r="L960" s="1" t="s">
        <v>2209</v>
      </c>
      <c r="M9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45039</v>
      </c>
      <c r="N960">
        <v>7</v>
      </c>
      <c r="O960">
        <v>328.72</v>
      </c>
      <c r="P960">
        <f>tblOrders[[#This Row],[Quantity]]*tblOrders[[#This Row],[Unit Price]]</f>
        <v>328.72</v>
      </c>
      <c r="Q960">
        <f>tblOrders[[#This Row],[TotalSales]]-tblOrders[[#This Row],[Calculated Sales]]</f>
        <v>0</v>
      </c>
    </row>
    <row r="961" spans="1:17" x14ac:dyDescent="0.25">
      <c r="A961">
        <v>171</v>
      </c>
      <c r="B961">
        <v>691</v>
      </c>
      <c r="C961" t="str">
        <f>_xlfn.XLOOKUP(tblOrders[[#This Row],[CustomerID]],tblCustomers[CustomerID],tblCustomers[CustomerName],"not found")</f>
        <v>Tim Stone</v>
      </c>
      <c r="D961">
        <f>_xlfn.XLOOKUP(tblOrders[[#This Row],[CustomerID]],tblCustomers[CustomerID],tblCustomers[Age],"not found")</f>
        <v>67</v>
      </c>
      <c r="E961" t="str">
        <f>_xlfn.XLOOKUP(tblOrders[[#This Row],[CustomerID]],tblCustomers[CustomerID],tblCustomers[Gender],"not found")</f>
        <v>Female</v>
      </c>
      <c r="F961" t="str">
        <f>_xlfn.XLOOKUP(tblOrders[[#This Row],[CustomerID]],tblCustomers[CustomerID],tblCustomers[Region],"not found")</f>
        <v>North</v>
      </c>
      <c r="G961">
        <v>1047</v>
      </c>
      <c r="H961" t="str">
        <f>_xlfn.XLOOKUP(tblOrders[[#This Row],[ProductID]],tblProducts[ProductID],tblProducts[ProductName],"not found")</f>
        <v>Fire</v>
      </c>
      <c r="I961" t="str">
        <f>_xlfn.XLOOKUP(tblOrders[[#This Row],[ProductID]],tblProducts[ProductID],tblProducts[Category],"not found")</f>
        <v>Beauty</v>
      </c>
      <c r="J961">
        <f>_xlfn.XLOOKUP(tblOrders[[#This Row],[ProductID]],tblProducts[ProductID],tblProducts[UnitPrice],"not found")</f>
        <v>46.96</v>
      </c>
      <c r="K961" t="str">
        <f>_xlfn.XLOOKUP(tblOrders[[#This Row],[ProductID]],tblProducts[ProductID],tblProducts[Supplier],"not found")</f>
        <v>Pittman, Mcdonald and Fox</v>
      </c>
      <c r="L961" s="1" t="s">
        <v>2104</v>
      </c>
      <c r="M9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45045</v>
      </c>
      <c r="N961">
        <v>3</v>
      </c>
      <c r="O961">
        <v>140.88</v>
      </c>
      <c r="P961">
        <f>tblOrders[[#This Row],[Quantity]]*tblOrders[[#This Row],[Unit Price]]</f>
        <v>140.88</v>
      </c>
      <c r="Q961">
        <f>tblOrders[[#This Row],[TotalSales]]-tblOrders[[#This Row],[Calculated Sales]]</f>
        <v>0</v>
      </c>
    </row>
    <row r="962" spans="1:17" x14ac:dyDescent="0.25">
      <c r="A962">
        <v>241</v>
      </c>
      <c r="B962">
        <v>795</v>
      </c>
      <c r="C962" t="str">
        <f>_xlfn.XLOOKUP(tblOrders[[#This Row],[CustomerID]],tblCustomers[CustomerID],tblCustomers[CustomerName],"not found")</f>
        <v>Elijah Howard</v>
      </c>
      <c r="D962">
        <f>_xlfn.XLOOKUP(tblOrders[[#This Row],[CustomerID]],tblCustomers[CustomerID],tblCustomers[Age],"not found")</f>
        <v>20</v>
      </c>
      <c r="E962" t="str">
        <f>_xlfn.XLOOKUP(tblOrders[[#This Row],[CustomerID]],tblCustomers[CustomerID],tblCustomers[Gender],"not found")</f>
        <v>Female</v>
      </c>
      <c r="F962" t="str">
        <f>_xlfn.XLOOKUP(tblOrders[[#This Row],[CustomerID]],tblCustomers[CustomerID],tblCustomers[Region],"not found")</f>
        <v>West</v>
      </c>
      <c r="G962">
        <v>1047</v>
      </c>
      <c r="H962" t="str">
        <f>_xlfn.XLOOKUP(tblOrders[[#This Row],[ProductID]],tblProducts[ProductID],tblProducts[ProductName],"not found")</f>
        <v>Fire</v>
      </c>
      <c r="I962" t="str">
        <f>_xlfn.XLOOKUP(tblOrders[[#This Row],[ProductID]],tblProducts[ProductID],tblProducts[Category],"not found")</f>
        <v>Beauty</v>
      </c>
      <c r="J962">
        <f>_xlfn.XLOOKUP(tblOrders[[#This Row],[ProductID]],tblProducts[ProductID],tblProducts[UnitPrice],"not found")</f>
        <v>46.96</v>
      </c>
      <c r="K962" t="str">
        <f>_xlfn.XLOOKUP(tblOrders[[#This Row],[ProductID]],tblProducts[ProductID],tblProducts[Supplier],"not found")</f>
        <v>Pittman, Mcdonald and Fox</v>
      </c>
      <c r="L962" s="1" t="s">
        <v>2234</v>
      </c>
      <c r="M9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45156</v>
      </c>
      <c r="N962">
        <v>2</v>
      </c>
      <c r="O962">
        <v>93.92</v>
      </c>
      <c r="P962">
        <f>tblOrders[[#This Row],[Quantity]]*tblOrders[[#This Row],[Unit Price]]</f>
        <v>93.92</v>
      </c>
      <c r="Q962">
        <f>tblOrders[[#This Row],[TotalSales]]-tblOrders[[#This Row],[Calculated Sales]]</f>
        <v>0</v>
      </c>
    </row>
    <row r="963" spans="1:17" x14ac:dyDescent="0.25">
      <c r="A963">
        <v>530</v>
      </c>
      <c r="B963">
        <v>269</v>
      </c>
      <c r="C963" t="str">
        <f>_xlfn.XLOOKUP(tblOrders[[#This Row],[CustomerID]],tblCustomers[CustomerID],tblCustomers[CustomerName],"not found")</f>
        <v>Hayley Mcdonald</v>
      </c>
      <c r="D963">
        <f>_xlfn.XLOOKUP(tblOrders[[#This Row],[CustomerID]],tblCustomers[CustomerID],tblCustomers[Age],"not found")</f>
        <v>19</v>
      </c>
      <c r="E963" t="str">
        <f>_xlfn.XLOOKUP(tblOrders[[#This Row],[CustomerID]],tblCustomers[CustomerID],tblCustomers[Gender],"not found")</f>
        <v>Male</v>
      </c>
      <c r="F963" t="str">
        <f>_xlfn.XLOOKUP(tblOrders[[#This Row],[CustomerID]],tblCustomers[CustomerID],tblCustomers[Region],"not found")</f>
        <v>West</v>
      </c>
      <c r="G963">
        <v>1047</v>
      </c>
      <c r="H963" t="str">
        <f>_xlfn.XLOOKUP(tblOrders[[#This Row],[ProductID]],tblProducts[ProductID],tblProducts[ProductName],"not found")</f>
        <v>Fire</v>
      </c>
      <c r="I963" t="str">
        <f>_xlfn.XLOOKUP(tblOrders[[#This Row],[ProductID]],tblProducts[ProductID],tblProducts[Category],"not found")</f>
        <v>Beauty</v>
      </c>
      <c r="J963">
        <f>_xlfn.XLOOKUP(tblOrders[[#This Row],[ProductID]],tblProducts[ProductID],tblProducts[UnitPrice],"not found")</f>
        <v>46.96</v>
      </c>
      <c r="K963" t="str">
        <f>_xlfn.XLOOKUP(tblOrders[[#This Row],[ProductID]],tblProducts[ProductID],tblProducts[Supplier],"not found")</f>
        <v>Pittman, Mcdonald and Fox</v>
      </c>
      <c r="L963" s="1" t="s">
        <v>2047</v>
      </c>
      <c r="M9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44948</v>
      </c>
      <c r="N963">
        <v>8</v>
      </c>
      <c r="O963">
        <v>375.68</v>
      </c>
      <c r="P963">
        <f>tblOrders[[#This Row],[Quantity]]*tblOrders[[#This Row],[Unit Price]]</f>
        <v>375.68</v>
      </c>
      <c r="Q963">
        <f>tblOrders[[#This Row],[TotalSales]]-tblOrders[[#This Row],[Calculated Sales]]</f>
        <v>0</v>
      </c>
    </row>
    <row r="964" spans="1:17" x14ac:dyDescent="0.25">
      <c r="A964">
        <v>542</v>
      </c>
      <c r="B964">
        <v>509</v>
      </c>
      <c r="C964" t="str">
        <f>_xlfn.XLOOKUP(tblOrders[[#This Row],[CustomerID]],tblCustomers[CustomerID],tblCustomers[CustomerName],"not found")</f>
        <v>Kelsey Chapman</v>
      </c>
      <c r="D964">
        <f>_xlfn.XLOOKUP(tblOrders[[#This Row],[CustomerID]],tblCustomers[CustomerID],tblCustomers[Age],"not found")</f>
        <v>51</v>
      </c>
      <c r="E964" t="str">
        <f>_xlfn.XLOOKUP(tblOrders[[#This Row],[CustomerID]],tblCustomers[CustomerID],tblCustomers[Gender],"not found")</f>
        <v>Female</v>
      </c>
      <c r="F964" t="str">
        <f>_xlfn.XLOOKUP(tblOrders[[#This Row],[CustomerID]],tblCustomers[CustomerID],tblCustomers[Region],"not found")</f>
        <v>East</v>
      </c>
      <c r="G964">
        <v>1047</v>
      </c>
      <c r="H964" t="str">
        <f>_xlfn.XLOOKUP(tblOrders[[#This Row],[ProductID]],tblProducts[ProductID],tblProducts[ProductName],"not found")</f>
        <v>Fire</v>
      </c>
      <c r="I964" t="str">
        <f>_xlfn.XLOOKUP(tblOrders[[#This Row],[ProductID]],tblProducts[ProductID],tblProducts[Category],"not found")</f>
        <v>Beauty</v>
      </c>
      <c r="J964">
        <f>_xlfn.XLOOKUP(tblOrders[[#This Row],[ProductID]],tblProducts[ProductID],tblProducts[UnitPrice],"not found")</f>
        <v>46.96</v>
      </c>
      <c r="K964" t="str">
        <f>_xlfn.XLOOKUP(tblOrders[[#This Row],[ProductID]],tblProducts[ProductID],tblProducts[Supplier],"not found")</f>
        <v>Pittman, Mcdonald and Fox</v>
      </c>
      <c r="L964" s="1" t="s">
        <v>2332</v>
      </c>
      <c r="M9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45040</v>
      </c>
      <c r="N964">
        <v>2</v>
      </c>
      <c r="O964">
        <v>93.92</v>
      </c>
      <c r="P964">
        <f>tblOrders[[#This Row],[Quantity]]*tblOrders[[#This Row],[Unit Price]]</f>
        <v>93.92</v>
      </c>
      <c r="Q964">
        <f>tblOrders[[#This Row],[TotalSales]]-tblOrders[[#This Row],[Calculated Sales]]</f>
        <v>0</v>
      </c>
    </row>
    <row r="965" spans="1:17" x14ac:dyDescent="0.25">
      <c r="A965">
        <v>646</v>
      </c>
      <c r="B965">
        <v>50</v>
      </c>
      <c r="C965" t="str">
        <f>_xlfn.XLOOKUP(tblOrders[[#This Row],[CustomerID]],tblCustomers[CustomerID],tblCustomers[CustomerName],"not found")</f>
        <v>Matthew Merritt</v>
      </c>
      <c r="D965">
        <f>_xlfn.XLOOKUP(tblOrders[[#This Row],[CustomerID]],tblCustomers[CustomerID],tblCustomers[Age],"not found")</f>
        <v>53</v>
      </c>
      <c r="E965" t="str">
        <f>_xlfn.XLOOKUP(tblOrders[[#This Row],[CustomerID]],tblCustomers[CustomerID],tblCustomers[Gender],"not found")</f>
        <v>Male</v>
      </c>
      <c r="F965" t="str">
        <f>_xlfn.XLOOKUP(tblOrders[[#This Row],[CustomerID]],tblCustomers[CustomerID],tblCustomers[Region],"not found")</f>
        <v>North</v>
      </c>
      <c r="G965">
        <v>1047</v>
      </c>
      <c r="H965" t="str">
        <f>_xlfn.XLOOKUP(tblOrders[[#This Row],[ProductID]],tblProducts[ProductID],tblProducts[ProductName],"not found")</f>
        <v>Fire</v>
      </c>
      <c r="I965" t="str">
        <f>_xlfn.XLOOKUP(tblOrders[[#This Row],[ProductID]],tblProducts[ProductID],tblProducts[Category],"not found")</f>
        <v>Beauty</v>
      </c>
      <c r="J965">
        <f>_xlfn.XLOOKUP(tblOrders[[#This Row],[ProductID]],tblProducts[ProductID],tblProducts[UnitPrice],"not found")</f>
        <v>46.96</v>
      </c>
      <c r="K965" t="str">
        <f>_xlfn.XLOOKUP(tblOrders[[#This Row],[ProductID]],tblProducts[ProductID],tblProducts[Supplier],"not found")</f>
        <v>Pittman, Mcdonald and Fox</v>
      </c>
      <c r="L965" s="1" t="s">
        <v>2202</v>
      </c>
      <c r="M9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45157</v>
      </c>
      <c r="N965">
        <v>1</v>
      </c>
      <c r="O965">
        <v>46.96</v>
      </c>
      <c r="P965">
        <f>tblOrders[[#This Row],[Quantity]]*tblOrders[[#This Row],[Unit Price]]</f>
        <v>46.96</v>
      </c>
      <c r="Q965">
        <f>tblOrders[[#This Row],[TotalSales]]-tblOrders[[#This Row],[Calculated Sales]]</f>
        <v>0</v>
      </c>
    </row>
    <row r="966" spans="1:17" x14ac:dyDescent="0.25">
      <c r="A966">
        <v>772</v>
      </c>
      <c r="B966">
        <v>657</v>
      </c>
      <c r="C966" t="str">
        <f>_xlfn.XLOOKUP(tblOrders[[#This Row],[CustomerID]],tblCustomers[CustomerID],tblCustomers[CustomerName],"not found")</f>
        <v>Denise Kerr</v>
      </c>
      <c r="D966">
        <f>_xlfn.XLOOKUP(tblOrders[[#This Row],[CustomerID]],tblCustomers[CustomerID],tblCustomers[Age],"not found")</f>
        <v>36</v>
      </c>
      <c r="E966" t="str">
        <f>_xlfn.XLOOKUP(tblOrders[[#This Row],[CustomerID]],tblCustomers[CustomerID],tblCustomers[Gender],"not found")</f>
        <v>Female</v>
      </c>
      <c r="F966" t="str">
        <f>_xlfn.XLOOKUP(tblOrders[[#This Row],[CustomerID]],tblCustomers[CustomerID],tblCustomers[Region],"not found")</f>
        <v>South</v>
      </c>
      <c r="G966">
        <v>1047</v>
      </c>
      <c r="H966" t="str">
        <f>_xlfn.XLOOKUP(tblOrders[[#This Row],[ProductID]],tblProducts[ProductID],tblProducts[ProductName],"not found")</f>
        <v>Fire</v>
      </c>
      <c r="I966" t="str">
        <f>_xlfn.XLOOKUP(tblOrders[[#This Row],[ProductID]],tblProducts[ProductID],tblProducts[Category],"not found")</f>
        <v>Beauty</v>
      </c>
      <c r="J966">
        <f>_xlfn.XLOOKUP(tblOrders[[#This Row],[ProductID]],tblProducts[ProductID],tblProducts[UnitPrice],"not found")</f>
        <v>46.96</v>
      </c>
      <c r="K966" t="str">
        <f>_xlfn.XLOOKUP(tblOrders[[#This Row],[ProductID]],tblProducts[ProductID],tblProducts[Supplier],"not found")</f>
        <v>Pittman, Mcdonald and Fox</v>
      </c>
      <c r="L966" s="1" t="s">
        <v>2333</v>
      </c>
      <c r="M9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45320</v>
      </c>
      <c r="N966">
        <v>6</v>
      </c>
      <c r="O966">
        <v>281.76</v>
      </c>
      <c r="P966">
        <f>tblOrders[[#This Row],[Quantity]]*tblOrders[[#This Row],[Unit Price]]</f>
        <v>281.76</v>
      </c>
      <c r="Q966">
        <f>tblOrders[[#This Row],[TotalSales]]-tblOrders[[#This Row],[Calculated Sales]]</f>
        <v>0</v>
      </c>
    </row>
    <row r="967" spans="1:17" x14ac:dyDescent="0.25">
      <c r="A967">
        <v>840</v>
      </c>
      <c r="B967">
        <v>385</v>
      </c>
      <c r="C967" t="str">
        <f>_xlfn.XLOOKUP(tblOrders[[#This Row],[CustomerID]],tblCustomers[CustomerID],tblCustomers[CustomerName],"not found")</f>
        <v>Joshua Ryan</v>
      </c>
      <c r="D967">
        <f>_xlfn.XLOOKUP(tblOrders[[#This Row],[CustomerID]],tblCustomers[CustomerID],tblCustomers[Age],"not found")</f>
        <v>45</v>
      </c>
      <c r="E967" t="str">
        <f>_xlfn.XLOOKUP(tblOrders[[#This Row],[CustomerID]],tblCustomers[CustomerID],tblCustomers[Gender],"not found")</f>
        <v>Male</v>
      </c>
      <c r="F967" t="str">
        <f>_xlfn.XLOOKUP(tblOrders[[#This Row],[CustomerID]],tblCustomers[CustomerID],tblCustomers[Region],"not found")</f>
        <v>Central</v>
      </c>
      <c r="G967">
        <v>1047</v>
      </c>
      <c r="H967" t="str">
        <f>_xlfn.XLOOKUP(tblOrders[[#This Row],[ProductID]],tblProducts[ProductID],tblProducts[ProductName],"not found")</f>
        <v>Fire</v>
      </c>
      <c r="I967" t="str">
        <f>_xlfn.XLOOKUP(tblOrders[[#This Row],[ProductID]],tblProducts[ProductID],tblProducts[Category],"not found")</f>
        <v>Beauty</v>
      </c>
      <c r="J967">
        <f>_xlfn.XLOOKUP(tblOrders[[#This Row],[ProductID]],tblProducts[ProductID],tblProducts[UnitPrice],"not found")</f>
        <v>46.96</v>
      </c>
      <c r="K967" t="str">
        <f>_xlfn.XLOOKUP(tblOrders[[#This Row],[ProductID]],tblProducts[ProductID],tblProducts[Supplier],"not found")</f>
        <v>Pittman, Mcdonald and Fox</v>
      </c>
      <c r="L967" s="1" t="s">
        <v>2328</v>
      </c>
      <c r="M9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45251</v>
      </c>
      <c r="N967">
        <v>4</v>
      </c>
      <c r="O967">
        <v>187.84</v>
      </c>
      <c r="P967">
        <f>tblOrders[[#This Row],[Quantity]]*tblOrders[[#This Row],[Unit Price]]</f>
        <v>187.84</v>
      </c>
      <c r="Q967">
        <f>tblOrders[[#This Row],[TotalSales]]-tblOrders[[#This Row],[Calculated Sales]]</f>
        <v>0</v>
      </c>
    </row>
    <row r="968" spans="1:17" x14ac:dyDescent="0.25">
      <c r="A968">
        <v>938</v>
      </c>
      <c r="B968">
        <v>590</v>
      </c>
      <c r="C968" t="str">
        <f>_xlfn.XLOOKUP(tblOrders[[#This Row],[CustomerID]],tblCustomers[CustomerID],tblCustomers[CustomerName],"not found")</f>
        <v>Judy Chung</v>
      </c>
      <c r="D968">
        <f>_xlfn.XLOOKUP(tblOrders[[#This Row],[CustomerID]],tblCustomers[CustomerID],tblCustomers[Age],"not found")</f>
        <v>64</v>
      </c>
      <c r="E968" t="str">
        <f>_xlfn.XLOOKUP(tblOrders[[#This Row],[CustomerID]],tblCustomers[CustomerID],tblCustomers[Gender],"not found")</f>
        <v>Male</v>
      </c>
      <c r="F968" t="str">
        <f>_xlfn.XLOOKUP(tblOrders[[#This Row],[CustomerID]],tblCustomers[CustomerID],tblCustomers[Region],"not found")</f>
        <v>South</v>
      </c>
      <c r="G968">
        <v>1047</v>
      </c>
      <c r="H968" t="str">
        <f>_xlfn.XLOOKUP(tblOrders[[#This Row],[ProductID]],tblProducts[ProductID],tblProducts[ProductName],"not found")</f>
        <v>Fire</v>
      </c>
      <c r="I968" t="str">
        <f>_xlfn.XLOOKUP(tblOrders[[#This Row],[ProductID]],tblProducts[ProductID],tblProducts[Category],"not found")</f>
        <v>Beauty</v>
      </c>
      <c r="J968">
        <f>_xlfn.XLOOKUP(tblOrders[[#This Row],[ProductID]],tblProducts[ProductID],tblProducts[UnitPrice],"not found")</f>
        <v>46.96</v>
      </c>
      <c r="K968" t="str">
        <f>_xlfn.XLOOKUP(tblOrders[[#This Row],[ProductID]],tblProducts[ProductID],tblProducts[Supplier],"not found")</f>
        <v>Pittman, Mcdonald and Fox</v>
      </c>
      <c r="L968" s="1" t="s">
        <v>2058</v>
      </c>
      <c r="M9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45563</v>
      </c>
      <c r="N968">
        <v>5</v>
      </c>
      <c r="O968">
        <v>234.8</v>
      </c>
      <c r="P968">
        <f>tblOrders[[#This Row],[Quantity]]*tblOrders[[#This Row],[Unit Price]]</f>
        <v>234.8</v>
      </c>
      <c r="Q968">
        <f>tblOrders[[#This Row],[TotalSales]]-tblOrders[[#This Row],[Calculated Sales]]</f>
        <v>0</v>
      </c>
    </row>
    <row r="969" spans="1:17" x14ac:dyDescent="0.25">
      <c r="A969">
        <v>974</v>
      </c>
      <c r="B969">
        <v>813</v>
      </c>
      <c r="C969" t="str">
        <f>_xlfn.XLOOKUP(tblOrders[[#This Row],[CustomerID]],tblCustomers[CustomerID],tblCustomers[CustomerName],"not found")</f>
        <v>Elizabeth Johnson</v>
      </c>
      <c r="D969">
        <f>_xlfn.XLOOKUP(tblOrders[[#This Row],[CustomerID]],tblCustomers[CustomerID],tblCustomers[Age],"not found")</f>
        <v>67</v>
      </c>
      <c r="E969" t="str">
        <f>_xlfn.XLOOKUP(tblOrders[[#This Row],[CustomerID]],tblCustomers[CustomerID],tblCustomers[Gender],"not found")</f>
        <v>Female</v>
      </c>
      <c r="F969" t="str">
        <f>_xlfn.XLOOKUP(tblOrders[[#This Row],[CustomerID]],tblCustomers[CustomerID],tblCustomers[Region],"not found")</f>
        <v>North</v>
      </c>
      <c r="G969">
        <v>1047</v>
      </c>
      <c r="H969" t="str">
        <f>_xlfn.XLOOKUP(tblOrders[[#This Row],[ProductID]],tblProducts[ProductID],tblProducts[ProductName],"not found")</f>
        <v>Fire</v>
      </c>
      <c r="I969" t="str">
        <f>_xlfn.XLOOKUP(tblOrders[[#This Row],[ProductID]],tblProducts[ProductID],tblProducts[Category],"not found")</f>
        <v>Beauty</v>
      </c>
      <c r="J969">
        <f>_xlfn.XLOOKUP(tblOrders[[#This Row],[ProductID]],tblProducts[ProductID],tblProducts[UnitPrice],"not found")</f>
        <v>46.96</v>
      </c>
      <c r="K969" t="str">
        <f>_xlfn.XLOOKUP(tblOrders[[#This Row],[ProductID]],tblProducts[ProductID],tblProducts[Supplier],"not found")</f>
        <v>Pittman, Mcdonald and Fox</v>
      </c>
      <c r="L969" s="1" t="s">
        <v>2334</v>
      </c>
      <c r="M9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45255</v>
      </c>
      <c r="N969">
        <v>5</v>
      </c>
      <c r="O969">
        <v>234.8</v>
      </c>
      <c r="P969">
        <f>tblOrders[[#This Row],[Quantity]]*tblOrders[[#This Row],[Unit Price]]</f>
        <v>234.8</v>
      </c>
      <c r="Q969">
        <f>tblOrders[[#This Row],[TotalSales]]-tblOrders[[#This Row],[Calculated Sales]]</f>
        <v>0</v>
      </c>
    </row>
    <row r="970" spans="1:17" x14ac:dyDescent="0.25">
      <c r="A970">
        <v>975</v>
      </c>
      <c r="B970">
        <v>491</v>
      </c>
      <c r="C970" t="str">
        <f>_xlfn.XLOOKUP(tblOrders[[#This Row],[CustomerID]],tblCustomers[CustomerID],tblCustomers[CustomerName],"not found")</f>
        <v>Christopher Reyes</v>
      </c>
      <c r="D970">
        <f>_xlfn.XLOOKUP(tblOrders[[#This Row],[CustomerID]],tblCustomers[CustomerID],tblCustomers[Age],"not found")</f>
        <v>33</v>
      </c>
      <c r="E970" t="str">
        <f>_xlfn.XLOOKUP(tblOrders[[#This Row],[CustomerID]],tblCustomers[CustomerID],tblCustomers[Gender],"not found")</f>
        <v>Female</v>
      </c>
      <c r="F970" t="str">
        <f>_xlfn.XLOOKUP(tblOrders[[#This Row],[CustomerID]],tblCustomers[CustomerID],tblCustomers[Region],"not found")</f>
        <v>North</v>
      </c>
      <c r="G970">
        <v>1047</v>
      </c>
      <c r="H970" t="str">
        <f>_xlfn.XLOOKUP(tblOrders[[#This Row],[ProductID]],tblProducts[ProductID],tblProducts[ProductName],"not found")</f>
        <v>Fire</v>
      </c>
      <c r="I970" t="str">
        <f>_xlfn.XLOOKUP(tblOrders[[#This Row],[ProductID]],tblProducts[ProductID],tblProducts[Category],"not found")</f>
        <v>Beauty</v>
      </c>
      <c r="J970">
        <f>_xlfn.XLOOKUP(tblOrders[[#This Row],[ProductID]],tblProducts[ProductID],tblProducts[UnitPrice],"not found")</f>
        <v>46.96</v>
      </c>
      <c r="K970" t="str">
        <f>_xlfn.XLOOKUP(tblOrders[[#This Row],[ProductID]],tblProducts[ProductID],tblProducts[Supplier],"not found")</f>
        <v>Pittman, Mcdonald and Fox</v>
      </c>
      <c r="L970" s="1" t="s">
        <v>2161</v>
      </c>
      <c r="M9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45499</v>
      </c>
      <c r="N970">
        <v>2</v>
      </c>
      <c r="O970">
        <v>93.92</v>
      </c>
      <c r="P970">
        <f>tblOrders[[#This Row],[Quantity]]*tblOrders[[#This Row],[Unit Price]]</f>
        <v>93.92</v>
      </c>
      <c r="Q970">
        <f>tblOrders[[#This Row],[TotalSales]]-tblOrders[[#This Row],[Calculated Sales]]</f>
        <v>0</v>
      </c>
    </row>
    <row r="971" spans="1:17" x14ac:dyDescent="0.25">
      <c r="A971">
        <v>1203</v>
      </c>
      <c r="B971">
        <v>375</v>
      </c>
      <c r="C971" t="str">
        <f>_xlfn.XLOOKUP(tblOrders[[#This Row],[CustomerID]],tblCustomers[CustomerID],tblCustomers[CustomerName],"not found")</f>
        <v>Matthew Ibarra</v>
      </c>
      <c r="D971">
        <f>_xlfn.XLOOKUP(tblOrders[[#This Row],[CustomerID]],tblCustomers[CustomerID],tblCustomers[Age],"not found")</f>
        <v>23</v>
      </c>
      <c r="E971" t="str">
        <f>_xlfn.XLOOKUP(tblOrders[[#This Row],[CustomerID]],tblCustomers[CustomerID],tblCustomers[Gender],"not found")</f>
        <v>Female</v>
      </c>
      <c r="F971" t="str">
        <f>_xlfn.XLOOKUP(tblOrders[[#This Row],[CustomerID]],tblCustomers[CustomerID],tblCustomers[Region],"not found")</f>
        <v>South</v>
      </c>
      <c r="G971">
        <v>1047</v>
      </c>
      <c r="H971" t="str">
        <f>_xlfn.XLOOKUP(tblOrders[[#This Row],[ProductID]],tblProducts[ProductID],tblProducts[ProductName],"not found")</f>
        <v>Fire</v>
      </c>
      <c r="I971" t="str">
        <f>_xlfn.XLOOKUP(tblOrders[[#This Row],[ProductID]],tblProducts[ProductID],tblProducts[Category],"not found")</f>
        <v>Beauty</v>
      </c>
      <c r="J971">
        <f>_xlfn.XLOOKUP(tblOrders[[#This Row],[ProductID]],tblProducts[ProductID],tblProducts[UnitPrice],"not found")</f>
        <v>46.96</v>
      </c>
      <c r="K971" t="str">
        <f>_xlfn.XLOOKUP(tblOrders[[#This Row],[ProductID]],tblProducts[ProductID],tblProducts[Supplier],"not found")</f>
        <v>Pittman, Mcdonald and Fox</v>
      </c>
      <c r="L971" s="1" t="s">
        <v>2142</v>
      </c>
      <c r="M9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45284</v>
      </c>
      <c r="N971">
        <v>8</v>
      </c>
      <c r="O971">
        <v>375.68</v>
      </c>
      <c r="P971">
        <f>tblOrders[[#This Row],[Quantity]]*tblOrders[[#This Row],[Unit Price]]</f>
        <v>375.68</v>
      </c>
      <c r="Q971">
        <f>tblOrders[[#This Row],[TotalSales]]-tblOrders[[#This Row],[Calculated Sales]]</f>
        <v>0</v>
      </c>
    </row>
    <row r="972" spans="1:17" x14ac:dyDescent="0.25">
      <c r="A972">
        <v>1229</v>
      </c>
      <c r="B972">
        <v>709</v>
      </c>
      <c r="C972" t="str">
        <f>_xlfn.XLOOKUP(tblOrders[[#This Row],[CustomerID]],tblCustomers[CustomerID],tblCustomers[CustomerName],"not found")</f>
        <v>Kevin Joyce</v>
      </c>
      <c r="D972">
        <f>_xlfn.XLOOKUP(tblOrders[[#This Row],[CustomerID]],tblCustomers[CustomerID],tblCustomers[Age],"not found")</f>
        <v>50</v>
      </c>
      <c r="E972" t="str">
        <f>_xlfn.XLOOKUP(tblOrders[[#This Row],[CustomerID]],tblCustomers[CustomerID],tblCustomers[Gender],"not found")</f>
        <v>Female</v>
      </c>
      <c r="F972" t="str">
        <f>_xlfn.XLOOKUP(tblOrders[[#This Row],[CustomerID]],tblCustomers[CustomerID],tblCustomers[Region],"not found")</f>
        <v>Central</v>
      </c>
      <c r="G972">
        <v>1047</v>
      </c>
      <c r="H972" t="str">
        <f>_xlfn.XLOOKUP(tblOrders[[#This Row],[ProductID]],tblProducts[ProductID],tblProducts[ProductName],"not found")</f>
        <v>Fire</v>
      </c>
      <c r="I972" t="str">
        <f>_xlfn.XLOOKUP(tblOrders[[#This Row],[ProductID]],tblProducts[ProductID],tblProducts[Category],"not found")</f>
        <v>Beauty</v>
      </c>
      <c r="J972">
        <f>_xlfn.XLOOKUP(tblOrders[[#This Row],[ProductID]],tblProducts[ProductID],tblProducts[UnitPrice],"not found")</f>
        <v>46.96</v>
      </c>
      <c r="K972" t="str">
        <f>_xlfn.XLOOKUP(tblOrders[[#This Row],[ProductID]],tblProducts[ProductID],tblProducts[Supplier],"not found")</f>
        <v>Pittman, Mcdonald and Fox</v>
      </c>
      <c r="L972" s="1" t="s">
        <v>2244</v>
      </c>
      <c r="M9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45498</v>
      </c>
      <c r="N972">
        <v>1</v>
      </c>
      <c r="O972">
        <v>46.96</v>
      </c>
      <c r="P972">
        <f>tblOrders[[#This Row],[Quantity]]*tblOrders[[#This Row],[Unit Price]]</f>
        <v>46.96</v>
      </c>
      <c r="Q972">
        <f>tblOrders[[#This Row],[TotalSales]]-tblOrders[[#This Row],[Calculated Sales]]</f>
        <v>0</v>
      </c>
    </row>
    <row r="973" spans="1:17" x14ac:dyDescent="0.25">
      <c r="A973">
        <v>1477</v>
      </c>
      <c r="B973">
        <v>734</v>
      </c>
      <c r="C973" t="str">
        <f>_xlfn.XLOOKUP(tblOrders[[#This Row],[CustomerID]],tblCustomers[CustomerID],tblCustomers[CustomerName],"not found")</f>
        <v>Kevin Ruiz</v>
      </c>
      <c r="D973">
        <f>_xlfn.XLOOKUP(tblOrders[[#This Row],[CustomerID]],tblCustomers[CustomerID],tblCustomers[Age],"not found")</f>
        <v>29</v>
      </c>
      <c r="E973" t="str">
        <f>_xlfn.XLOOKUP(tblOrders[[#This Row],[CustomerID]],tblCustomers[CustomerID],tblCustomers[Gender],"not found")</f>
        <v>Female</v>
      </c>
      <c r="F973" t="str">
        <f>_xlfn.XLOOKUP(tblOrders[[#This Row],[CustomerID]],tblCustomers[CustomerID],tblCustomers[Region],"not found")</f>
        <v>South</v>
      </c>
      <c r="G973">
        <v>1047</v>
      </c>
      <c r="H973" t="str">
        <f>_xlfn.XLOOKUP(tblOrders[[#This Row],[ProductID]],tblProducts[ProductID],tblProducts[ProductName],"not found")</f>
        <v>Fire</v>
      </c>
      <c r="I973" t="str">
        <f>_xlfn.XLOOKUP(tblOrders[[#This Row],[ProductID]],tblProducts[ProductID],tblProducts[Category],"not found")</f>
        <v>Beauty</v>
      </c>
      <c r="J973">
        <f>_xlfn.XLOOKUP(tblOrders[[#This Row],[ProductID]],tblProducts[ProductID],tblProducts[UnitPrice],"not found")</f>
        <v>46.96</v>
      </c>
      <c r="K973" t="str">
        <f>_xlfn.XLOOKUP(tblOrders[[#This Row],[ProductID]],tblProducts[ProductID],tblProducts[Supplier],"not found")</f>
        <v>Pittman, Mcdonald and Fox</v>
      </c>
      <c r="L973" s="1" t="s">
        <v>2335</v>
      </c>
      <c r="M9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45549</v>
      </c>
      <c r="N973">
        <v>9</v>
      </c>
      <c r="O973">
        <v>422.64</v>
      </c>
      <c r="P973">
        <f>tblOrders[[#This Row],[Quantity]]*tblOrders[[#This Row],[Unit Price]]</f>
        <v>422.64</v>
      </c>
      <c r="Q973">
        <f>tblOrders[[#This Row],[TotalSales]]-tblOrders[[#This Row],[Calculated Sales]]</f>
        <v>0</v>
      </c>
    </row>
    <row r="974" spans="1:17" x14ac:dyDescent="0.25">
      <c r="A974">
        <v>1573</v>
      </c>
      <c r="B974">
        <v>300</v>
      </c>
      <c r="C974" t="str">
        <f>_xlfn.XLOOKUP(tblOrders[[#This Row],[CustomerID]],tblCustomers[CustomerID],tblCustomers[CustomerName],"not found")</f>
        <v>Tina Obrien</v>
      </c>
      <c r="D974">
        <f>_xlfn.XLOOKUP(tblOrders[[#This Row],[CustomerID]],tblCustomers[CustomerID],tblCustomers[Age],"not found")</f>
        <v>20</v>
      </c>
      <c r="E974" t="str">
        <f>_xlfn.XLOOKUP(tblOrders[[#This Row],[CustomerID]],tblCustomers[CustomerID],tblCustomers[Gender],"not found")</f>
        <v>Male</v>
      </c>
      <c r="F974" t="str">
        <f>_xlfn.XLOOKUP(tblOrders[[#This Row],[CustomerID]],tblCustomers[CustomerID],tblCustomers[Region],"not found")</f>
        <v>West</v>
      </c>
      <c r="G974">
        <v>1047</v>
      </c>
      <c r="H974" t="str">
        <f>_xlfn.XLOOKUP(tblOrders[[#This Row],[ProductID]],tblProducts[ProductID],tblProducts[ProductName],"not found")</f>
        <v>Fire</v>
      </c>
      <c r="I974" t="str">
        <f>_xlfn.XLOOKUP(tblOrders[[#This Row],[ProductID]],tblProducts[ProductID],tblProducts[Category],"not found")</f>
        <v>Beauty</v>
      </c>
      <c r="J974">
        <f>_xlfn.XLOOKUP(tblOrders[[#This Row],[ProductID]],tblProducts[ProductID],tblProducts[UnitPrice],"not found")</f>
        <v>46.96</v>
      </c>
      <c r="K974" t="str">
        <f>_xlfn.XLOOKUP(tblOrders[[#This Row],[ProductID]],tblProducts[ProductID],tblProducts[Supplier],"not found")</f>
        <v>Pittman, Mcdonald and Fox</v>
      </c>
      <c r="L974" s="1" t="s">
        <v>2336</v>
      </c>
      <c r="M9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44999</v>
      </c>
      <c r="N974">
        <v>8</v>
      </c>
      <c r="O974">
        <v>375.68</v>
      </c>
      <c r="P974">
        <f>tblOrders[[#This Row],[Quantity]]*tblOrders[[#This Row],[Unit Price]]</f>
        <v>375.68</v>
      </c>
      <c r="Q974">
        <f>tblOrders[[#This Row],[TotalSales]]-tblOrders[[#This Row],[Calculated Sales]]</f>
        <v>0</v>
      </c>
    </row>
    <row r="975" spans="1:17" x14ac:dyDescent="0.25">
      <c r="A975">
        <v>1794</v>
      </c>
      <c r="B975">
        <v>502</v>
      </c>
      <c r="C975" t="str">
        <f>_xlfn.XLOOKUP(tblOrders[[#This Row],[CustomerID]],tblCustomers[CustomerID],tblCustomers[CustomerName],"not found")</f>
        <v>Larry Brown</v>
      </c>
      <c r="D975">
        <f>_xlfn.XLOOKUP(tblOrders[[#This Row],[CustomerID]],tblCustomers[CustomerID],tblCustomers[Age],"not found")</f>
        <v>24</v>
      </c>
      <c r="E975" t="str">
        <f>_xlfn.XLOOKUP(tblOrders[[#This Row],[CustomerID]],tblCustomers[CustomerID],tblCustomers[Gender],"not found")</f>
        <v>Female</v>
      </c>
      <c r="F975" t="str">
        <f>_xlfn.XLOOKUP(tblOrders[[#This Row],[CustomerID]],tblCustomers[CustomerID],tblCustomers[Region],"not found")</f>
        <v>North</v>
      </c>
      <c r="G975">
        <v>1047</v>
      </c>
      <c r="H975" t="str">
        <f>_xlfn.XLOOKUP(tblOrders[[#This Row],[ProductID]],tblProducts[ProductID],tblProducts[ProductName],"not found")</f>
        <v>Fire</v>
      </c>
      <c r="I975" t="str">
        <f>_xlfn.XLOOKUP(tblOrders[[#This Row],[ProductID]],tblProducts[ProductID],tblProducts[Category],"not found")</f>
        <v>Beauty</v>
      </c>
      <c r="J975">
        <f>_xlfn.XLOOKUP(tblOrders[[#This Row],[ProductID]],tblProducts[ProductID],tblProducts[UnitPrice],"not found")</f>
        <v>46.96</v>
      </c>
      <c r="K975" t="str">
        <f>_xlfn.XLOOKUP(tblOrders[[#This Row],[ProductID]],tblProducts[ProductID],tblProducts[Supplier],"not found")</f>
        <v>Pittman, Mcdonald and Fox</v>
      </c>
      <c r="L975" s="1" t="s">
        <v>2306</v>
      </c>
      <c r="M9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45196</v>
      </c>
      <c r="N975">
        <v>2</v>
      </c>
      <c r="O975">
        <v>93.92</v>
      </c>
      <c r="P975">
        <f>tblOrders[[#This Row],[Quantity]]*tblOrders[[#This Row],[Unit Price]]</f>
        <v>93.92</v>
      </c>
      <c r="Q975">
        <f>tblOrders[[#This Row],[TotalSales]]-tblOrders[[#This Row],[Calculated Sales]]</f>
        <v>0</v>
      </c>
    </row>
    <row r="976" spans="1:17" x14ac:dyDescent="0.25">
      <c r="A976">
        <v>1920</v>
      </c>
      <c r="B976">
        <v>396</v>
      </c>
      <c r="C976" t="str">
        <f>_xlfn.XLOOKUP(tblOrders[[#This Row],[CustomerID]],tblCustomers[CustomerID],tblCustomers[CustomerName],"not found")</f>
        <v>Austin Montes</v>
      </c>
      <c r="D976">
        <f>_xlfn.XLOOKUP(tblOrders[[#This Row],[CustomerID]],tblCustomers[CustomerID],tblCustomers[Age],"not found")</f>
        <v>20</v>
      </c>
      <c r="E976" t="str">
        <f>_xlfn.XLOOKUP(tblOrders[[#This Row],[CustomerID]],tblCustomers[CustomerID],tblCustomers[Gender],"not found")</f>
        <v>Female</v>
      </c>
      <c r="F976" t="str">
        <f>_xlfn.XLOOKUP(tblOrders[[#This Row],[CustomerID]],tblCustomers[CustomerID],tblCustomers[Region],"not found")</f>
        <v>Central</v>
      </c>
      <c r="G976">
        <v>1047</v>
      </c>
      <c r="H976" t="str">
        <f>_xlfn.XLOOKUP(tblOrders[[#This Row],[ProductID]],tblProducts[ProductID],tblProducts[ProductName],"not found")</f>
        <v>Fire</v>
      </c>
      <c r="I976" t="str">
        <f>_xlfn.XLOOKUP(tblOrders[[#This Row],[ProductID]],tblProducts[ProductID],tblProducts[Category],"not found")</f>
        <v>Beauty</v>
      </c>
      <c r="J976">
        <f>_xlfn.XLOOKUP(tblOrders[[#This Row],[ProductID]],tblProducts[ProductID],tblProducts[UnitPrice],"not found")</f>
        <v>46.96</v>
      </c>
      <c r="K976" t="str">
        <f>_xlfn.XLOOKUP(tblOrders[[#This Row],[ProductID]],tblProducts[ProductID],tblProducts[Supplier],"not found")</f>
        <v>Pittman, Mcdonald and Fox</v>
      </c>
      <c r="L976" s="1">
        <v>45574</v>
      </c>
      <c r="M9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45574</v>
      </c>
      <c r="N976">
        <v>1</v>
      </c>
      <c r="O976">
        <v>46.96</v>
      </c>
      <c r="P976">
        <f>tblOrders[[#This Row],[Quantity]]*tblOrders[[#This Row],[Unit Price]]</f>
        <v>46.96</v>
      </c>
      <c r="Q976">
        <f>tblOrders[[#This Row],[TotalSales]]-tblOrders[[#This Row],[Calculated Sales]]</f>
        <v>0</v>
      </c>
    </row>
    <row r="977" spans="1:17" x14ac:dyDescent="0.25">
      <c r="A977">
        <v>1933</v>
      </c>
      <c r="B977">
        <v>330</v>
      </c>
      <c r="C977" t="str">
        <f>_xlfn.XLOOKUP(tblOrders[[#This Row],[CustomerID]],tblCustomers[CustomerID],tblCustomers[CustomerName],"not found")</f>
        <v>Dana Mccullough</v>
      </c>
      <c r="D977">
        <f>_xlfn.XLOOKUP(tblOrders[[#This Row],[CustomerID]],tblCustomers[CustomerID],tblCustomers[Age],"not found")</f>
        <v>29</v>
      </c>
      <c r="E977" t="str">
        <f>_xlfn.XLOOKUP(tblOrders[[#This Row],[CustomerID]],tblCustomers[CustomerID],tblCustomers[Gender],"not found")</f>
        <v>Male</v>
      </c>
      <c r="F977" t="str">
        <f>_xlfn.XLOOKUP(tblOrders[[#This Row],[CustomerID]],tblCustomers[CustomerID],tblCustomers[Region],"not found")</f>
        <v>South</v>
      </c>
      <c r="G977">
        <v>1047</v>
      </c>
      <c r="H977" t="str">
        <f>_xlfn.XLOOKUP(tblOrders[[#This Row],[ProductID]],tblProducts[ProductID],tblProducts[ProductName],"not found")</f>
        <v>Fire</v>
      </c>
      <c r="I977" t="str">
        <f>_xlfn.XLOOKUP(tblOrders[[#This Row],[ProductID]],tblProducts[ProductID],tblProducts[Category],"not found")</f>
        <v>Beauty</v>
      </c>
      <c r="J977">
        <f>_xlfn.XLOOKUP(tblOrders[[#This Row],[ProductID]],tblProducts[ProductID],tblProducts[UnitPrice],"not found")</f>
        <v>46.96</v>
      </c>
      <c r="K977" t="str">
        <f>_xlfn.XLOOKUP(tblOrders[[#This Row],[ProductID]],tblProducts[ProductID],tblProducts[Supplier],"not found")</f>
        <v>Pittman, Mcdonald and Fox</v>
      </c>
      <c r="L977" s="1" t="s">
        <v>2238</v>
      </c>
      <c r="M9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45548</v>
      </c>
      <c r="N977">
        <v>7</v>
      </c>
      <c r="O977">
        <v>328.72</v>
      </c>
      <c r="P977">
        <f>tblOrders[[#This Row],[Quantity]]*tblOrders[[#This Row],[Unit Price]]</f>
        <v>328.72</v>
      </c>
      <c r="Q977">
        <f>tblOrders[[#This Row],[TotalSales]]-tblOrders[[#This Row],[Calculated Sales]]</f>
        <v>0</v>
      </c>
    </row>
    <row r="978" spans="1:17" x14ac:dyDescent="0.25">
      <c r="A978">
        <v>1962</v>
      </c>
      <c r="B978">
        <v>636</v>
      </c>
      <c r="C978" t="str">
        <f>_xlfn.XLOOKUP(tblOrders[[#This Row],[CustomerID]],tblCustomers[CustomerID],tblCustomers[CustomerName],"not found")</f>
        <v>Brenda Cox</v>
      </c>
      <c r="D978">
        <f>_xlfn.XLOOKUP(tblOrders[[#This Row],[CustomerID]],tblCustomers[CustomerID],tblCustomers[Age],"not found")</f>
        <v>69</v>
      </c>
      <c r="E978" t="str">
        <f>_xlfn.XLOOKUP(tblOrders[[#This Row],[CustomerID]],tblCustomers[CustomerID],tblCustomers[Gender],"not found")</f>
        <v>Female</v>
      </c>
      <c r="F978" t="str">
        <f>_xlfn.XLOOKUP(tblOrders[[#This Row],[CustomerID]],tblCustomers[CustomerID],tblCustomers[Region],"not found")</f>
        <v>South</v>
      </c>
      <c r="G978">
        <v>1047</v>
      </c>
      <c r="H978" t="str">
        <f>_xlfn.XLOOKUP(tblOrders[[#This Row],[ProductID]],tblProducts[ProductID],tblProducts[ProductName],"not found")</f>
        <v>Fire</v>
      </c>
      <c r="I978" t="str">
        <f>_xlfn.XLOOKUP(tblOrders[[#This Row],[ProductID]],tblProducts[ProductID],tblProducts[Category],"not found")</f>
        <v>Beauty</v>
      </c>
      <c r="J978">
        <f>_xlfn.XLOOKUP(tblOrders[[#This Row],[ProductID]],tblProducts[ProductID],tblProducts[UnitPrice],"not found")</f>
        <v>46.96</v>
      </c>
      <c r="K978" t="str">
        <f>_xlfn.XLOOKUP(tblOrders[[#This Row],[ProductID]],tblProducts[ProductID],tblProducts[Supplier],"not found")</f>
        <v>Pittman, Mcdonald and Fox</v>
      </c>
      <c r="L978" s="1">
        <v>45234</v>
      </c>
      <c r="M9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45234</v>
      </c>
      <c r="N978">
        <v>4</v>
      </c>
      <c r="O978">
        <v>187.84</v>
      </c>
      <c r="P978">
        <f>tblOrders[[#This Row],[Quantity]]*tblOrders[[#This Row],[Unit Price]]</f>
        <v>187.84</v>
      </c>
      <c r="Q978">
        <f>tblOrders[[#This Row],[TotalSales]]-tblOrders[[#This Row],[Calculated Sales]]</f>
        <v>0</v>
      </c>
    </row>
    <row r="979" spans="1:17" x14ac:dyDescent="0.25">
      <c r="A979">
        <v>56</v>
      </c>
      <c r="B979">
        <v>227</v>
      </c>
      <c r="C979" t="str">
        <f>_xlfn.XLOOKUP(tblOrders[[#This Row],[CustomerID]],tblCustomers[CustomerID],tblCustomers[CustomerName],"not found")</f>
        <v>Bridget Newton</v>
      </c>
      <c r="D979">
        <f>_xlfn.XLOOKUP(tblOrders[[#This Row],[CustomerID]],tblCustomers[CustomerID],tblCustomers[Age],"not found")</f>
        <v>19</v>
      </c>
      <c r="E979" t="str">
        <f>_xlfn.XLOOKUP(tblOrders[[#This Row],[CustomerID]],tblCustomers[CustomerID],tblCustomers[Gender],"not found")</f>
        <v>Male</v>
      </c>
      <c r="F979" t="str">
        <f>_xlfn.XLOOKUP(tblOrders[[#This Row],[CustomerID]],tblCustomers[CustomerID],tblCustomers[Region],"not found")</f>
        <v>East</v>
      </c>
      <c r="G979">
        <v>1044</v>
      </c>
      <c r="H979" t="str">
        <f>_xlfn.XLOOKUP(tblOrders[[#This Row],[ProductID]],tblProducts[ProductID],tblProducts[ProductName],"not found")</f>
        <v>Full</v>
      </c>
      <c r="I979" t="str">
        <f>_xlfn.XLOOKUP(tblOrders[[#This Row],[ProductID]],tblProducts[ProductID],tblProducts[Category],"not found")</f>
        <v>Apparel</v>
      </c>
      <c r="J979">
        <f>_xlfn.XLOOKUP(tblOrders[[#This Row],[ProductID]],tblProducts[ProductID],tblProducts[UnitPrice],"not found")</f>
        <v>198.89</v>
      </c>
      <c r="K979" t="str">
        <f>_xlfn.XLOOKUP(tblOrders[[#This Row],[ProductID]],tblProducts[ProductID],tblProducts[Supplier],"not found")</f>
        <v>Chambers, Schultz and Jones</v>
      </c>
      <c r="L979" s="1" t="s">
        <v>2315</v>
      </c>
      <c r="M9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45182</v>
      </c>
      <c r="N979">
        <v>6</v>
      </c>
      <c r="O979">
        <v>1193.3399999999999</v>
      </c>
      <c r="P979">
        <f>tblOrders[[#This Row],[Quantity]]*tblOrders[[#This Row],[Unit Price]]</f>
        <v>1193.3399999999999</v>
      </c>
      <c r="Q979">
        <f>tblOrders[[#This Row],[TotalSales]]-tblOrders[[#This Row],[Calculated Sales]]</f>
        <v>0</v>
      </c>
    </row>
    <row r="980" spans="1:17" x14ac:dyDescent="0.25">
      <c r="A980">
        <v>244</v>
      </c>
      <c r="B980">
        <v>817</v>
      </c>
      <c r="C980" t="str">
        <f>_xlfn.XLOOKUP(tblOrders[[#This Row],[CustomerID]],tblCustomers[CustomerID],tblCustomers[CustomerName],"not found")</f>
        <v>Jose Rosales</v>
      </c>
      <c r="D980">
        <f>_xlfn.XLOOKUP(tblOrders[[#This Row],[CustomerID]],tblCustomers[CustomerID],tblCustomers[Age],"not found")</f>
        <v>21</v>
      </c>
      <c r="E980" t="str">
        <f>_xlfn.XLOOKUP(tblOrders[[#This Row],[CustomerID]],tblCustomers[CustomerID],tblCustomers[Gender],"not found")</f>
        <v>Female</v>
      </c>
      <c r="F980" t="str">
        <f>_xlfn.XLOOKUP(tblOrders[[#This Row],[CustomerID]],tblCustomers[CustomerID],tblCustomers[Region],"not found")</f>
        <v>Central</v>
      </c>
      <c r="G980">
        <v>1044</v>
      </c>
      <c r="H980" t="str">
        <f>_xlfn.XLOOKUP(tblOrders[[#This Row],[ProductID]],tblProducts[ProductID],tblProducts[ProductName],"not found")</f>
        <v>Full</v>
      </c>
      <c r="I980" t="str">
        <f>_xlfn.XLOOKUP(tblOrders[[#This Row],[ProductID]],tblProducts[ProductID],tblProducts[Category],"not found")</f>
        <v>Apparel</v>
      </c>
      <c r="J980">
        <f>_xlfn.XLOOKUP(tblOrders[[#This Row],[ProductID]],tblProducts[ProductID],tblProducts[UnitPrice],"not found")</f>
        <v>198.89</v>
      </c>
      <c r="K980" t="str">
        <f>_xlfn.XLOOKUP(tblOrders[[#This Row],[ProductID]],tblProducts[ProductID],tblProducts[Supplier],"not found")</f>
        <v>Chambers, Schultz and Jones</v>
      </c>
      <c r="L980" s="1" t="s">
        <v>2242</v>
      </c>
      <c r="M9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45438</v>
      </c>
      <c r="N980">
        <v>5</v>
      </c>
      <c r="O980">
        <v>994.45</v>
      </c>
      <c r="P980">
        <f>tblOrders[[#This Row],[Quantity]]*tblOrders[[#This Row],[Unit Price]]</f>
        <v>994.44999999999993</v>
      </c>
      <c r="Q980">
        <f>tblOrders[[#This Row],[TotalSales]]-tblOrders[[#This Row],[Calculated Sales]]</f>
        <v>0</v>
      </c>
    </row>
    <row r="981" spans="1:17" x14ac:dyDescent="0.25">
      <c r="A981">
        <v>314</v>
      </c>
      <c r="B981">
        <v>843</v>
      </c>
      <c r="C981" t="str">
        <f>_xlfn.XLOOKUP(tblOrders[[#This Row],[CustomerID]],tblCustomers[CustomerID],tblCustomers[CustomerName],"not found")</f>
        <v>Deborah Wilson</v>
      </c>
      <c r="D981">
        <f>_xlfn.XLOOKUP(tblOrders[[#This Row],[CustomerID]],tblCustomers[CustomerID],tblCustomers[Age],"not found")</f>
        <v>54</v>
      </c>
      <c r="E981" t="str">
        <f>_xlfn.XLOOKUP(tblOrders[[#This Row],[CustomerID]],tblCustomers[CustomerID],tblCustomers[Gender],"not found")</f>
        <v>Female</v>
      </c>
      <c r="F981" t="str">
        <f>_xlfn.XLOOKUP(tblOrders[[#This Row],[CustomerID]],tblCustomers[CustomerID],tblCustomers[Region],"not found")</f>
        <v>East</v>
      </c>
      <c r="G981">
        <v>1044</v>
      </c>
      <c r="H981" t="str">
        <f>_xlfn.XLOOKUP(tblOrders[[#This Row],[ProductID]],tblProducts[ProductID],tblProducts[ProductName],"not found")</f>
        <v>Full</v>
      </c>
      <c r="I981" t="str">
        <f>_xlfn.XLOOKUP(tblOrders[[#This Row],[ProductID]],tblProducts[ProductID],tblProducts[Category],"not found")</f>
        <v>Apparel</v>
      </c>
      <c r="J981">
        <f>_xlfn.XLOOKUP(tblOrders[[#This Row],[ProductID]],tblProducts[ProductID],tblProducts[UnitPrice],"not found")</f>
        <v>198.89</v>
      </c>
      <c r="K981" t="str">
        <f>_xlfn.XLOOKUP(tblOrders[[#This Row],[ProductID]],tblProducts[ProductID],tblProducts[Supplier],"not found")</f>
        <v>Chambers, Schultz and Jones</v>
      </c>
      <c r="L981" s="1" t="s">
        <v>2257</v>
      </c>
      <c r="M9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981">
        <v>3</v>
      </c>
      <c r="O981">
        <v>596.66999999999996</v>
      </c>
      <c r="P981">
        <f>tblOrders[[#This Row],[Quantity]]*tblOrders[[#This Row],[Unit Price]]</f>
        <v>596.66999999999996</v>
      </c>
      <c r="Q981">
        <f>tblOrders[[#This Row],[TotalSales]]-tblOrders[[#This Row],[Calculated Sales]]</f>
        <v>0</v>
      </c>
    </row>
    <row r="982" spans="1:17" x14ac:dyDescent="0.25">
      <c r="A982">
        <v>421</v>
      </c>
      <c r="B982">
        <v>799</v>
      </c>
      <c r="C982" t="str">
        <f>_xlfn.XLOOKUP(tblOrders[[#This Row],[CustomerID]],tblCustomers[CustomerID],tblCustomers[CustomerName],"not found")</f>
        <v>Jerry Henry</v>
      </c>
      <c r="D982">
        <f>_xlfn.XLOOKUP(tblOrders[[#This Row],[CustomerID]],tblCustomers[CustomerID],tblCustomers[Age],"not found")</f>
        <v>66</v>
      </c>
      <c r="E982" t="str">
        <f>_xlfn.XLOOKUP(tblOrders[[#This Row],[CustomerID]],tblCustomers[CustomerID],tblCustomers[Gender],"not found")</f>
        <v>Male</v>
      </c>
      <c r="F982" t="str">
        <f>_xlfn.XLOOKUP(tblOrders[[#This Row],[CustomerID]],tblCustomers[CustomerID],tblCustomers[Region],"not found")</f>
        <v>South</v>
      </c>
      <c r="G982">
        <v>1044</v>
      </c>
      <c r="H982" t="str">
        <f>_xlfn.XLOOKUP(tblOrders[[#This Row],[ProductID]],tblProducts[ProductID],tblProducts[ProductName],"not found")</f>
        <v>Full</v>
      </c>
      <c r="I982" t="str">
        <f>_xlfn.XLOOKUP(tblOrders[[#This Row],[ProductID]],tblProducts[ProductID],tblProducts[Category],"not found")</f>
        <v>Apparel</v>
      </c>
      <c r="J982">
        <f>_xlfn.XLOOKUP(tblOrders[[#This Row],[ProductID]],tblProducts[ProductID],tblProducts[UnitPrice],"not found")</f>
        <v>198.89</v>
      </c>
      <c r="K982" t="str">
        <f>_xlfn.XLOOKUP(tblOrders[[#This Row],[ProductID]],tblProducts[ProductID],tblProducts[Supplier],"not found")</f>
        <v>Chambers, Schultz and Jones</v>
      </c>
      <c r="L982" s="1" t="s">
        <v>2230</v>
      </c>
      <c r="M9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45212</v>
      </c>
      <c r="N982">
        <v>8</v>
      </c>
      <c r="O982">
        <v>1591.12</v>
      </c>
      <c r="P982">
        <f>tblOrders[[#This Row],[Quantity]]*tblOrders[[#This Row],[Unit Price]]</f>
        <v>1591.12</v>
      </c>
      <c r="Q982">
        <f>tblOrders[[#This Row],[TotalSales]]-tblOrders[[#This Row],[Calculated Sales]]</f>
        <v>0</v>
      </c>
    </row>
    <row r="983" spans="1:17" x14ac:dyDescent="0.25">
      <c r="A983">
        <v>513</v>
      </c>
      <c r="B983">
        <v>833</v>
      </c>
      <c r="C983" t="str">
        <f>_xlfn.XLOOKUP(tblOrders[[#This Row],[CustomerID]],tblCustomers[CustomerID],tblCustomers[CustomerName],"not found")</f>
        <v>Lindsay Miller</v>
      </c>
      <c r="D983">
        <f>_xlfn.XLOOKUP(tblOrders[[#This Row],[CustomerID]],tblCustomers[CustomerID],tblCustomers[Age],"not found")</f>
        <v>41</v>
      </c>
      <c r="E983" t="str">
        <f>_xlfn.XLOOKUP(tblOrders[[#This Row],[CustomerID]],tblCustomers[CustomerID],tblCustomers[Gender],"not found")</f>
        <v>Female</v>
      </c>
      <c r="F983" t="str">
        <f>_xlfn.XLOOKUP(tblOrders[[#This Row],[CustomerID]],tblCustomers[CustomerID],tblCustomers[Region],"not found")</f>
        <v>North</v>
      </c>
      <c r="G983">
        <v>1044</v>
      </c>
      <c r="H983" t="str">
        <f>_xlfn.XLOOKUP(tblOrders[[#This Row],[ProductID]],tblProducts[ProductID],tblProducts[ProductName],"not found")</f>
        <v>Full</v>
      </c>
      <c r="I983" t="str">
        <f>_xlfn.XLOOKUP(tblOrders[[#This Row],[ProductID]],tblProducts[ProductID],tblProducts[Category],"not found")</f>
        <v>Apparel</v>
      </c>
      <c r="J983">
        <f>_xlfn.XLOOKUP(tblOrders[[#This Row],[ProductID]],tblProducts[ProductID],tblProducts[UnitPrice],"not found")</f>
        <v>198.89</v>
      </c>
      <c r="K983" t="str">
        <f>_xlfn.XLOOKUP(tblOrders[[#This Row],[ProductID]],tblProducts[ProductID],tblProducts[Supplier],"not found")</f>
        <v>Chambers, Schultz and Jones</v>
      </c>
      <c r="L983" s="1" t="s">
        <v>2280</v>
      </c>
      <c r="M9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45346</v>
      </c>
      <c r="N983">
        <v>4</v>
      </c>
      <c r="O983">
        <v>795.56</v>
      </c>
      <c r="P983">
        <f>tblOrders[[#This Row],[Quantity]]*tblOrders[[#This Row],[Unit Price]]</f>
        <v>795.56</v>
      </c>
      <c r="Q983">
        <f>tblOrders[[#This Row],[TotalSales]]-tblOrders[[#This Row],[Calculated Sales]]</f>
        <v>0</v>
      </c>
    </row>
    <row r="984" spans="1:17" x14ac:dyDescent="0.25">
      <c r="A984">
        <v>608</v>
      </c>
      <c r="B984">
        <v>522</v>
      </c>
      <c r="C984" t="str">
        <f>_xlfn.XLOOKUP(tblOrders[[#This Row],[CustomerID]],tblCustomers[CustomerID],tblCustomers[CustomerName],"not found")</f>
        <v>Gina Hood</v>
      </c>
      <c r="D984">
        <f>_xlfn.XLOOKUP(tblOrders[[#This Row],[CustomerID]],tblCustomers[CustomerID],tblCustomers[Age],"not found")</f>
        <v>36</v>
      </c>
      <c r="E984" t="str">
        <f>_xlfn.XLOOKUP(tblOrders[[#This Row],[CustomerID]],tblCustomers[CustomerID],tblCustomers[Gender],"not found")</f>
        <v>Male</v>
      </c>
      <c r="F984" t="str">
        <f>_xlfn.XLOOKUP(tblOrders[[#This Row],[CustomerID]],tblCustomers[CustomerID],tblCustomers[Region],"not found")</f>
        <v>East</v>
      </c>
      <c r="G984">
        <v>1044</v>
      </c>
      <c r="H984" t="str">
        <f>_xlfn.XLOOKUP(tblOrders[[#This Row],[ProductID]],tblProducts[ProductID],tblProducts[ProductName],"not found")</f>
        <v>Full</v>
      </c>
      <c r="I984" t="str">
        <f>_xlfn.XLOOKUP(tblOrders[[#This Row],[ProductID]],tblProducts[ProductID],tblProducts[Category],"not found")</f>
        <v>Apparel</v>
      </c>
      <c r="J984">
        <f>_xlfn.XLOOKUP(tblOrders[[#This Row],[ProductID]],tblProducts[ProductID],tblProducts[UnitPrice],"not found")</f>
        <v>198.89</v>
      </c>
      <c r="K984" t="str">
        <f>_xlfn.XLOOKUP(tblOrders[[#This Row],[ProductID]],tblProducts[ProductID],tblProducts[Supplier],"not found")</f>
        <v>Chambers, Schultz and Jones</v>
      </c>
      <c r="L984" s="1" t="s">
        <v>2083</v>
      </c>
      <c r="M9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45000</v>
      </c>
      <c r="N984">
        <v>3</v>
      </c>
      <c r="O984">
        <v>596.66999999999996</v>
      </c>
      <c r="P984">
        <f>tblOrders[[#This Row],[Quantity]]*tblOrders[[#This Row],[Unit Price]]</f>
        <v>596.66999999999996</v>
      </c>
      <c r="Q984">
        <f>tblOrders[[#This Row],[TotalSales]]-tblOrders[[#This Row],[Calculated Sales]]</f>
        <v>0</v>
      </c>
    </row>
    <row r="985" spans="1:17" x14ac:dyDescent="0.25">
      <c r="A985">
        <v>651</v>
      </c>
      <c r="B985">
        <v>109</v>
      </c>
      <c r="C985" t="str">
        <f>_xlfn.XLOOKUP(tblOrders[[#This Row],[CustomerID]],tblCustomers[CustomerID],tblCustomers[CustomerName],"not found")</f>
        <v>Jessica Brown</v>
      </c>
      <c r="D985">
        <f>_xlfn.XLOOKUP(tblOrders[[#This Row],[CustomerID]],tblCustomers[CustomerID],tblCustomers[Age],"not found")</f>
        <v>42</v>
      </c>
      <c r="E985" t="str">
        <f>_xlfn.XLOOKUP(tblOrders[[#This Row],[CustomerID]],tblCustomers[CustomerID],tblCustomers[Gender],"not found")</f>
        <v>Male</v>
      </c>
      <c r="F985" t="str">
        <f>_xlfn.XLOOKUP(tblOrders[[#This Row],[CustomerID]],tblCustomers[CustomerID],tblCustomers[Region],"not found")</f>
        <v>West</v>
      </c>
      <c r="G985">
        <v>1044</v>
      </c>
      <c r="H985" t="str">
        <f>_xlfn.XLOOKUP(tblOrders[[#This Row],[ProductID]],tblProducts[ProductID],tblProducts[ProductName],"not found")</f>
        <v>Full</v>
      </c>
      <c r="I985" t="str">
        <f>_xlfn.XLOOKUP(tblOrders[[#This Row],[ProductID]],tblProducts[ProductID],tblProducts[Category],"not found")</f>
        <v>Apparel</v>
      </c>
      <c r="J985">
        <f>_xlfn.XLOOKUP(tblOrders[[#This Row],[ProductID]],tblProducts[ProductID],tblProducts[UnitPrice],"not found")</f>
        <v>198.89</v>
      </c>
      <c r="K985" t="str">
        <f>_xlfn.XLOOKUP(tblOrders[[#This Row],[ProductID]],tblProducts[ProductID],tblProducts[Supplier],"not found")</f>
        <v>Chambers, Schultz and Jones</v>
      </c>
      <c r="L985" s="1">
        <v>44987</v>
      </c>
      <c r="M9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44987</v>
      </c>
      <c r="N985">
        <v>8</v>
      </c>
      <c r="O985">
        <v>1591.12</v>
      </c>
      <c r="P985">
        <f>tblOrders[[#This Row],[Quantity]]*tblOrders[[#This Row],[Unit Price]]</f>
        <v>1591.12</v>
      </c>
      <c r="Q985">
        <f>tblOrders[[#This Row],[TotalSales]]-tblOrders[[#This Row],[Calculated Sales]]</f>
        <v>0</v>
      </c>
    </row>
    <row r="986" spans="1:17" x14ac:dyDescent="0.25">
      <c r="A986">
        <v>696</v>
      </c>
      <c r="B986">
        <v>866</v>
      </c>
      <c r="C986" t="str">
        <f>_xlfn.XLOOKUP(tblOrders[[#This Row],[CustomerID]],tblCustomers[CustomerID],tblCustomers[CustomerName],"not found")</f>
        <v>Mrs. Linda Harrison MD</v>
      </c>
      <c r="D986">
        <f>_xlfn.XLOOKUP(tblOrders[[#This Row],[CustomerID]],tblCustomers[CustomerID],tblCustomers[Age],"not found")</f>
        <v>27</v>
      </c>
      <c r="E986" t="str">
        <f>_xlfn.XLOOKUP(tblOrders[[#This Row],[CustomerID]],tblCustomers[CustomerID],tblCustomers[Gender],"not found")</f>
        <v>Male</v>
      </c>
      <c r="F986" t="str">
        <f>_xlfn.XLOOKUP(tblOrders[[#This Row],[CustomerID]],tblCustomers[CustomerID],tblCustomers[Region],"not found")</f>
        <v>North</v>
      </c>
      <c r="G986">
        <v>1044</v>
      </c>
      <c r="H986" t="str">
        <f>_xlfn.XLOOKUP(tblOrders[[#This Row],[ProductID]],tblProducts[ProductID],tblProducts[ProductName],"not found")</f>
        <v>Full</v>
      </c>
      <c r="I986" t="str">
        <f>_xlfn.XLOOKUP(tblOrders[[#This Row],[ProductID]],tblProducts[ProductID],tblProducts[Category],"not found")</f>
        <v>Apparel</v>
      </c>
      <c r="J986">
        <f>_xlfn.XLOOKUP(tblOrders[[#This Row],[ProductID]],tblProducts[ProductID],tblProducts[UnitPrice],"not found")</f>
        <v>198.89</v>
      </c>
      <c r="K986" t="str">
        <f>_xlfn.XLOOKUP(tblOrders[[#This Row],[ProductID]],tblProducts[ProductID],tblProducts[Supplier],"not found")</f>
        <v>Chambers, Schultz and Jones</v>
      </c>
      <c r="L986" s="1" t="s">
        <v>2337</v>
      </c>
      <c r="M9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44880</v>
      </c>
      <c r="N986">
        <v>1</v>
      </c>
      <c r="O986">
        <v>198.89</v>
      </c>
      <c r="P986">
        <f>tblOrders[[#This Row],[Quantity]]*tblOrders[[#This Row],[Unit Price]]</f>
        <v>198.89</v>
      </c>
      <c r="Q986">
        <f>tblOrders[[#This Row],[TotalSales]]-tblOrders[[#This Row],[Calculated Sales]]</f>
        <v>0</v>
      </c>
    </row>
    <row r="987" spans="1:17" x14ac:dyDescent="0.25">
      <c r="A987">
        <v>901</v>
      </c>
      <c r="B987">
        <v>493</v>
      </c>
      <c r="C987" t="str">
        <f>_xlfn.XLOOKUP(tblOrders[[#This Row],[CustomerID]],tblCustomers[CustomerID],tblCustomers[CustomerName],"not found")</f>
        <v>Destiny Martin</v>
      </c>
      <c r="D987">
        <f>_xlfn.XLOOKUP(tblOrders[[#This Row],[CustomerID]],tblCustomers[CustomerID],tblCustomers[Age],"not found")</f>
        <v>24</v>
      </c>
      <c r="E987" t="str">
        <f>_xlfn.XLOOKUP(tblOrders[[#This Row],[CustomerID]],tblCustomers[CustomerID],tblCustomers[Gender],"not found")</f>
        <v>Female</v>
      </c>
      <c r="F987" t="str">
        <f>_xlfn.XLOOKUP(tblOrders[[#This Row],[CustomerID]],tblCustomers[CustomerID],tblCustomers[Region],"not found")</f>
        <v>North</v>
      </c>
      <c r="G987">
        <v>1044</v>
      </c>
      <c r="H987" t="str">
        <f>_xlfn.XLOOKUP(tblOrders[[#This Row],[ProductID]],tblProducts[ProductID],tblProducts[ProductName],"not found")</f>
        <v>Full</v>
      </c>
      <c r="I987" t="str">
        <f>_xlfn.XLOOKUP(tblOrders[[#This Row],[ProductID]],tblProducts[ProductID],tblProducts[Category],"not found")</f>
        <v>Apparel</v>
      </c>
      <c r="J987">
        <f>_xlfn.XLOOKUP(tblOrders[[#This Row],[ProductID]],tblProducts[ProductID],tblProducts[UnitPrice],"not found")</f>
        <v>198.89</v>
      </c>
      <c r="K987" t="str">
        <f>_xlfn.XLOOKUP(tblOrders[[#This Row],[ProductID]],tblProducts[ProductID],tblProducts[Supplier],"not found")</f>
        <v>Chambers, Schultz and Jones</v>
      </c>
      <c r="L987" s="1">
        <v>45507</v>
      </c>
      <c r="M9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45507</v>
      </c>
      <c r="N987">
        <v>8</v>
      </c>
      <c r="O987">
        <v>1591.12</v>
      </c>
      <c r="P987">
        <f>tblOrders[[#This Row],[Quantity]]*tblOrders[[#This Row],[Unit Price]]</f>
        <v>1591.12</v>
      </c>
      <c r="Q987">
        <f>tblOrders[[#This Row],[TotalSales]]-tblOrders[[#This Row],[Calculated Sales]]</f>
        <v>0</v>
      </c>
    </row>
    <row r="988" spans="1:17" x14ac:dyDescent="0.25">
      <c r="A988">
        <v>941</v>
      </c>
      <c r="B988">
        <v>451</v>
      </c>
      <c r="C988" t="str">
        <f>_xlfn.XLOOKUP(tblOrders[[#This Row],[CustomerID]],tblCustomers[CustomerID],tblCustomers[CustomerName],"not found")</f>
        <v>Ronald West</v>
      </c>
      <c r="D988">
        <f>_xlfn.XLOOKUP(tblOrders[[#This Row],[CustomerID]],tblCustomers[CustomerID],tblCustomers[Age],"not found")</f>
        <v>46</v>
      </c>
      <c r="E988" t="str">
        <f>_xlfn.XLOOKUP(tblOrders[[#This Row],[CustomerID]],tblCustomers[CustomerID],tblCustomers[Gender],"not found")</f>
        <v>Male</v>
      </c>
      <c r="F988" t="str">
        <f>_xlfn.XLOOKUP(tblOrders[[#This Row],[CustomerID]],tblCustomers[CustomerID],tblCustomers[Region],"not found")</f>
        <v>Central</v>
      </c>
      <c r="G988">
        <v>1044</v>
      </c>
      <c r="H988" t="str">
        <f>_xlfn.XLOOKUP(tblOrders[[#This Row],[ProductID]],tblProducts[ProductID],tblProducts[ProductName],"not found")</f>
        <v>Full</v>
      </c>
      <c r="I988" t="str">
        <f>_xlfn.XLOOKUP(tblOrders[[#This Row],[ProductID]],tblProducts[ProductID],tblProducts[Category],"not found")</f>
        <v>Apparel</v>
      </c>
      <c r="J988">
        <f>_xlfn.XLOOKUP(tblOrders[[#This Row],[ProductID]],tblProducts[ProductID],tblProducts[UnitPrice],"not found")</f>
        <v>198.89</v>
      </c>
      <c r="K988" t="str">
        <f>_xlfn.XLOOKUP(tblOrders[[#This Row],[ProductID]],tblProducts[ProductID],tblProducts[Supplier],"not found")</f>
        <v>Chambers, Schultz and Jones</v>
      </c>
      <c r="L988" s="1">
        <v>44993</v>
      </c>
      <c r="M9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44993</v>
      </c>
      <c r="N988">
        <v>9</v>
      </c>
      <c r="O988">
        <v>1790.01</v>
      </c>
      <c r="P988">
        <f>tblOrders[[#This Row],[Quantity]]*tblOrders[[#This Row],[Unit Price]]</f>
        <v>1790.0099999999998</v>
      </c>
      <c r="Q988">
        <f>tblOrders[[#This Row],[TotalSales]]-tblOrders[[#This Row],[Calculated Sales]]</f>
        <v>0</v>
      </c>
    </row>
    <row r="989" spans="1:17" x14ac:dyDescent="0.25">
      <c r="A989">
        <v>990</v>
      </c>
      <c r="B989">
        <v>53</v>
      </c>
      <c r="C989" t="str">
        <f>_xlfn.XLOOKUP(tblOrders[[#This Row],[CustomerID]],tblCustomers[CustomerID],tblCustomers[CustomerName],"not found")</f>
        <v>Taylor Wilson</v>
      </c>
      <c r="D989">
        <f>_xlfn.XLOOKUP(tblOrders[[#This Row],[CustomerID]],tblCustomers[CustomerID],tblCustomers[Age],"not found")</f>
        <v>58</v>
      </c>
      <c r="E989" t="str">
        <f>_xlfn.XLOOKUP(tblOrders[[#This Row],[CustomerID]],tblCustomers[CustomerID],tblCustomers[Gender],"not found")</f>
        <v>Female</v>
      </c>
      <c r="F989" t="str">
        <f>_xlfn.XLOOKUP(tblOrders[[#This Row],[CustomerID]],tblCustomers[CustomerID],tblCustomers[Region],"not found")</f>
        <v>South</v>
      </c>
      <c r="G989">
        <v>1044</v>
      </c>
      <c r="H989" t="str">
        <f>_xlfn.XLOOKUP(tblOrders[[#This Row],[ProductID]],tblProducts[ProductID],tblProducts[ProductName],"not found")</f>
        <v>Full</v>
      </c>
      <c r="I989" t="str">
        <f>_xlfn.XLOOKUP(tblOrders[[#This Row],[ProductID]],tblProducts[ProductID],tblProducts[Category],"not found")</f>
        <v>Apparel</v>
      </c>
      <c r="J989">
        <f>_xlfn.XLOOKUP(tblOrders[[#This Row],[ProductID]],tblProducts[ProductID],tblProducts[UnitPrice],"not found")</f>
        <v>198.89</v>
      </c>
      <c r="K989" t="str">
        <f>_xlfn.XLOOKUP(tblOrders[[#This Row],[ProductID]],tblProducts[ProductID],tblProducts[Supplier],"not found")</f>
        <v>Chambers, Schultz and Jones</v>
      </c>
      <c r="L989" s="1" t="s">
        <v>2213</v>
      </c>
      <c r="M9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45166</v>
      </c>
      <c r="N989">
        <v>9</v>
      </c>
      <c r="O989">
        <v>1790.01</v>
      </c>
      <c r="P989">
        <f>tblOrders[[#This Row],[Quantity]]*tblOrders[[#This Row],[Unit Price]]</f>
        <v>1790.0099999999998</v>
      </c>
      <c r="Q989">
        <f>tblOrders[[#This Row],[TotalSales]]-tblOrders[[#This Row],[Calculated Sales]]</f>
        <v>0</v>
      </c>
    </row>
    <row r="990" spans="1:17" x14ac:dyDescent="0.25">
      <c r="A990">
        <v>1376</v>
      </c>
      <c r="B990">
        <v>411</v>
      </c>
      <c r="C990" t="str">
        <f>_xlfn.XLOOKUP(tblOrders[[#This Row],[CustomerID]],tblCustomers[CustomerID],tblCustomers[CustomerName],"not found")</f>
        <v>Shelby Farmer</v>
      </c>
      <c r="D990">
        <f>_xlfn.XLOOKUP(tblOrders[[#This Row],[CustomerID]],tblCustomers[CustomerID],tblCustomers[Age],"not found")</f>
        <v>52</v>
      </c>
      <c r="E990" t="str">
        <f>_xlfn.XLOOKUP(tblOrders[[#This Row],[CustomerID]],tblCustomers[CustomerID],tblCustomers[Gender],"not found")</f>
        <v>Male</v>
      </c>
      <c r="F990" t="str">
        <f>_xlfn.XLOOKUP(tblOrders[[#This Row],[CustomerID]],tblCustomers[CustomerID],tblCustomers[Region],"not found")</f>
        <v>West</v>
      </c>
      <c r="G990">
        <v>1044</v>
      </c>
      <c r="H990" t="str">
        <f>_xlfn.XLOOKUP(tblOrders[[#This Row],[ProductID]],tblProducts[ProductID],tblProducts[ProductName],"not found")</f>
        <v>Full</v>
      </c>
      <c r="I990" t="str">
        <f>_xlfn.XLOOKUP(tblOrders[[#This Row],[ProductID]],tblProducts[ProductID],tblProducts[Category],"not found")</f>
        <v>Apparel</v>
      </c>
      <c r="J990">
        <f>_xlfn.XLOOKUP(tblOrders[[#This Row],[ProductID]],tblProducts[ProductID],tblProducts[UnitPrice],"not found")</f>
        <v>198.89</v>
      </c>
      <c r="K990" t="str">
        <f>_xlfn.XLOOKUP(tblOrders[[#This Row],[ProductID]],tblProducts[ProductID],tblProducts[Supplier],"not found")</f>
        <v>Chambers, Schultz and Jones</v>
      </c>
      <c r="L990" s="1">
        <v>45453</v>
      </c>
      <c r="M9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45453</v>
      </c>
      <c r="N990">
        <v>2</v>
      </c>
      <c r="O990">
        <v>397.78</v>
      </c>
      <c r="P990">
        <f>tblOrders[[#This Row],[Quantity]]*tblOrders[[#This Row],[Unit Price]]</f>
        <v>397.78</v>
      </c>
      <c r="Q990">
        <f>tblOrders[[#This Row],[TotalSales]]-tblOrders[[#This Row],[Calculated Sales]]</f>
        <v>0</v>
      </c>
    </row>
    <row r="991" spans="1:17" x14ac:dyDescent="0.25">
      <c r="A991">
        <v>1613</v>
      </c>
      <c r="B991">
        <v>373</v>
      </c>
      <c r="C991" t="str">
        <f>_xlfn.XLOOKUP(tblOrders[[#This Row],[CustomerID]],tblCustomers[CustomerID],tblCustomers[CustomerName],"not found")</f>
        <v>Robert Barrera</v>
      </c>
      <c r="D991">
        <f>_xlfn.XLOOKUP(tblOrders[[#This Row],[CustomerID]],tblCustomers[CustomerID],tblCustomers[Age],"not found")</f>
        <v>27</v>
      </c>
      <c r="E991" t="str">
        <f>_xlfn.XLOOKUP(tblOrders[[#This Row],[CustomerID]],tblCustomers[CustomerID],tblCustomers[Gender],"not found")</f>
        <v>Female</v>
      </c>
      <c r="F991" t="str">
        <f>_xlfn.XLOOKUP(tblOrders[[#This Row],[CustomerID]],tblCustomers[CustomerID],tblCustomers[Region],"not found")</f>
        <v>Central</v>
      </c>
      <c r="G991">
        <v>1044</v>
      </c>
      <c r="H991" t="str">
        <f>_xlfn.XLOOKUP(tblOrders[[#This Row],[ProductID]],tblProducts[ProductID],tblProducts[ProductName],"not found")</f>
        <v>Full</v>
      </c>
      <c r="I991" t="str">
        <f>_xlfn.XLOOKUP(tblOrders[[#This Row],[ProductID]],tblProducts[ProductID],tblProducts[Category],"not found")</f>
        <v>Apparel</v>
      </c>
      <c r="J991">
        <f>_xlfn.XLOOKUP(tblOrders[[#This Row],[ProductID]],tblProducts[ProductID],tblProducts[UnitPrice],"not found")</f>
        <v>198.89</v>
      </c>
      <c r="K991" t="str">
        <f>_xlfn.XLOOKUP(tblOrders[[#This Row],[ProductID]],tblProducts[ProductID],tblProducts[Supplier],"not found")</f>
        <v>Chambers, Schultz and Jones</v>
      </c>
      <c r="L991" s="1">
        <v>44907</v>
      </c>
      <c r="M9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44907</v>
      </c>
      <c r="N991">
        <v>1</v>
      </c>
      <c r="O991">
        <v>198.89</v>
      </c>
      <c r="P991">
        <f>tblOrders[[#This Row],[Quantity]]*tblOrders[[#This Row],[Unit Price]]</f>
        <v>198.89</v>
      </c>
      <c r="Q991">
        <f>tblOrders[[#This Row],[TotalSales]]-tblOrders[[#This Row],[Calculated Sales]]</f>
        <v>0</v>
      </c>
    </row>
    <row r="992" spans="1:17" x14ac:dyDescent="0.25">
      <c r="A992">
        <v>1614</v>
      </c>
      <c r="B992">
        <v>695</v>
      </c>
      <c r="C992" t="str">
        <f>_xlfn.XLOOKUP(tblOrders[[#This Row],[CustomerID]],tblCustomers[CustomerID],tblCustomers[CustomerName],"not found")</f>
        <v>Melissa Torres</v>
      </c>
      <c r="D992">
        <f>_xlfn.XLOOKUP(tblOrders[[#This Row],[CustomerID]],tblCustomers[CustomerID],tblCustomers[Age],"not found")</f>
        <v>20</v>
      </c>
      <c r="E992" t="str">
        <f>_xlfn.XLOOKUP(tblOrders[[#This Row],[CustomerID]],tblCustomers[CustomerID],tblCustomers[Gender],"not found")</f>
        <v>Male</v>
      </c>
      <c r="F992" t="str">
        <f>_xlfn.XLOOKUP(tblOrders[[#This Row],[CustomerID]],tblCustomers[CustomerID],tblCustomers[Region],"not found")</f>
        <v>East</v>
      </c>
      <c r="G992">
        <v>1044</v>
      </c>
      <c r="H992" t="str">
        <f>_xlfn.XLOOKUP(tblOrders[[#This Row],[ProductID]],tblProducts[ProductID],tblProducts[ProductName],"not found")</f>
        <v>Full</v>
      </c>
      <c r="I992" t="str">
        <f>_xlfn.XLOOKUP(tblOrders[[#This Row],[ProductID]],tblProducts[ProductID],tblProducts[Category],"not found")</f>
        <v>Apparel</v>
      </c>
      <c r="J992">
        <f>_xlfn.XLOOKUP(tblOrders[[#This Row],[ProductID]],tblProducts[ProductID],tblProducts[UnitPrice],"not found")</f>
        <v>198.89</v>
      </c>
      <c r="K992" t="str">
        <f>_xlfn.XLOOKUP(tblOrders[[#This Row],[ProductID]],tblProducts[ProductID],tblProducts[Supplier],"not found")</f>
        <v>Chambers, Schultz and Jones</v>
      </c>
      <c r="L992" s="1" t="s">
        <v>2115</v>
      </c>
      <c r="M9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992">
        <v>6</v>
      </c>
      <c r="O992">
        <v>1193.3399999999999</v>
      </c>
      <c r="P992">
        <f>tblOrders[[#This Row],[Quantity]]*tblOrders[[#This Row],[Unit Price]]</f>
        <v>1193.3399999999999</v>
      </c>
      <c r="Q992">
        <f>tblOrders[[#This Row],[TotalSales]]-tblOrders[[#This Row],[Calculated Sales]]</f>
        <v>0</v>
      </c>
    </row>
    <row r="993" spans="1:17" x14ac:dyDescent="0.25">
      <c r="A993">
        <v>1654</v>
      </c>
      <c r="B993">
        <v>217</v>
      </c>
      <c r="C993" t="str">
        <f>_xlfn.XLOOKUP(tblOrders[[#This Row],[CustomerID]],tblCustomers[CustomerID],tblCustomers[CustomerName],"not found")</f>
        <v>Sarah Erickson</v>
      </c>
      <c r="D993">
        <f>_xlfn.XLOOKUP(tblOrders[[#This Row],[CustomerID]],tblCustomers[CustomerID],tblCustomers[Age],"not found")</f>
        <v>39</v>
      </c>
      <c r="E993" t="str">
        <f>_xlfn.XLOOKUP(tblOrders[[#This Row],[CustomerID]],tblCustomers[CustomerID],tblCustomers[Gender],"not found")</f>
        <v>Female</v>
      </c>
      <c r="F993" t="str">
        <f>_xlfn.XLOOKUP(tblOrders[[#This Row],[CustomerID]],tblCustomers[CustomerID],tblCustomers[Region],"not found")</f>
        <v>West</v>
      </c>
      <c r="G993">
        <v>1044</v>
      </c>
      <c r="H993" t="str">
        <f>_xlfn.XLOOKUP(tblOrders[[#This Row],[ProductID]],tblProducts[ProductID],tblProducts[ProductName],"not found")</f>
        <v>Full</v>
      </c>
      <c r="I993" t="str">
        <f>_xlfn.XLOOKUP(tblOrders[[#This Row],[ProductID]],tblProducts[ProductID],tblProducts[Category],"not found")</f>
        <v>Apparel</v>
      </c>
      <c r="J993">
        <f>_xlfn.XLOOKUP(tblOrders[[#This Row],[ProductID]],tblProducts[ProductID],tblProducts[UnitPrice],"not found")</f>
        <v>198.89</v>
      </c>
      <c r="K993" t="str">
        <f>_xlfn.XLOOKUP(tblOrders[[#This Row],[ProductID]],tblProducts[ProductID],tblProducts[Supplier],"not found")</f>
        <v>Chambers, Schultz and Jones</v>
      </c>
      <c r="L993" s="1" t="s">
        <v>2338</v>
      </c>
      <c r="M9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45093</v>
      </c>
      <c r="N993">
        <v>6</v>
      </c>
      <c r="O993">
        <v>1193.3399999999999</v>
      </c>
      <c r="P993">
        <f>tblOrders[[#This Row],[Quantity]]*tblOrders[[#This Row],[Unit Price]]</f>
        <v>1193.3399999999999</v>
      </c>
      <c r="Q993">
        <f>tblOrders[[#This Row],[TotalSales]]-tblOrders[[#This Row],[Calculated Sales]]</f>
        <v>0</v>
      </c>
    </row>
    <row r="994" spans="1:17" x14ac:dyDescent="0.25">
      <c r="A994">
        <v>1826</v>
      </c>
      <c r="B994">
        <v>993</v>
      </c>
      <c r="C994" t="str">
        <f>_xlfn.XLOOKUP(tblOrders[[#This Row],[CustomerID]],tblCustomers[CustomerID],tblCustomers[CustomerName],"not found")</f>
        <v>Holly Taylor</v>
      </c>
      <c r="D994">
        <f>_xlfn.XLOOKUP(tblOrders[[#This Row],[CustomerID]],tblCustomers[CustomerID],tblCustomers[Age],"not found")</f>
        <v>38</v>
      </c>
      <c r="E994" t="str">
        <f>_xlfn.XLOOKUP(tblOrders[[#This Row],[CustomerID]],tblCustomers[CustomerID],tblCustomers[Gender],"not found")</f>
        <v>Female</v>
      </c>
      <c r="F994" t="str">
        <f>_xlfn.XLOOKUP(tblOrders[[#This Row],[CustomerID]],tblCustomers[CustomerID],tblCustomers[Region],"not found")</f>
        <v>West</v>
      </c>
      <c r="G994">
        <v>1044</v>
      </c>
      <c r="H994" t="str">
        <f>_xlfn.XLOOKUP(tblOrders[[#This Row],[ProductID]],tblProducts[ProductID],tblProducts[ProductName],"not found")</f>
        <v>Full</v>
      </c>
      <c r="I994" t="str">
        <f>_xlfn.XLOOKUP(tblOrders[[#This Row],[ProductID]],tblProducts[ProductID],tblProducts[Category],"not found")</f>
        <v>Apparel</v>
      </c>
      <c r="J994">
        <f>_xlfn.XLOOKUP(tblOrders[[#This Row],[ProductID]],tblProducts[ProductID],tblProducts[UnitPrice],"not found")</f>
        <v>198.89</v>
      </c>
      <c r="K994" t="str">
        <f>_xlfn.XLOOKUP(tblOrders[[#This Row],[ProductID]],tblProducts[ProductID],tblProducts[Supplier],"not found")</f>
        <v>Chambers, Schultz and Jones</v>
      </c>
      <c r="L994" s="1">
        <v>44993</v>
      </c>
      <c r="M9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44993</v>
      </c>
      <c r="N994">
        <v>1</v>
      </c>
      <c r="O994">
        <v>198.89</v>
      </c>
      <c r="P994">
        <f>tblOrders[[#This Row],[Quantity]]*tblOrders[[#This Row],[Unit Price]]</f>
        <v>198.89</v>
      </c>
      <c r="Q994">
        <f>tblOrders[[#This Row],[TotalSales]]-tblOrders[[#This Row],[Calculated Sales]]</f>
        <v>0</v>
      </c>
    </row>
    <row r="995" spans="1:17" x14ac:dyDescent="0.25">
      <c r="A995">
        <v>1956</v>
      </c>
      <c r="B995">
        <v>897</v>
      </c>
      <c r="C995" t="str">
        <f>_xlfn.XLOOKUP(tblOrders[[#This Row],[CustomerID]],tblCustomers[CustomerID],tblCustomers[CustomerName],"not found")</f>
        <v>John Mcdowell</v>
      </c>
      <c r="D995">
        <f>_xlfn.XLOOKUP(tblOrders[[#This Row],[CustomerID]],tblCustomers[CustomerID],tblCustomers[Age],"not found")</f>
        <v>48</v>
      </c>
      <c r="E995" t="str">
        <f>_xlfn.XLOOKUP(tblOrders[[#This Row],[CustomerID]],tblCustomers[CustomerID],tblCustomers[Gender],"not found")</f>
        <v>Female</v>
      </c>
      <c r="F995" t="str">
        <f>_xlfn.XLOOKUP(tblOrders[[#This Row],[CustomerID]],tblCustomers[CustomerID],tblCustomers[Region],"not found")</f>
        <v>North</v>
      </c>
      <c r="G995">
        <v>1044</v>
      </c>
      <c r="H995" t="str">
        <f>_xlfn.XLOOKUP(tblOrders[[#This Row],[ProductID]],tblProducts[ProductID],tblProducts[ProductName],"not found")</f>
        <v>Full</v>
      </c>
      <c r="I995" t="str">
        <f>_xlfn.XLOOKUP(tblOrders[[#This Row],[ProductID]],tblProducts[ProductID],tblProducts[Category],"not found")</f>
        <v>Apparel</v>
      </c>
      <c r="J995">
        <f>_xlfn.XLOOKUP(tblOrders[[#This Row],[ProductID]],tblProducts[ProductID],tblProducts[UnitPrice],"not found")</f>
        <v>198.89</v>
      </c>
      <c r="K995" t="str">
        <f>_xlfn.XLOOKUP(tblOrders[[#This Row],[ProductID]],tblProducts[ProductID],tblProducts[Supplier],"not found")</f>
        <v>Chambers, Schultz and Jones</v>
      </c>
      <c r="L995" s="1" t="s">
        <v>2339</v>
      </c>
      <c r="M9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44879</v>
      </c>
      <c r="N995">
        <v>9</v>
      </c>
      <c r="O995">
        <v>1790.01</v>
      </c>
      <c r="P995">
        <f>tblOrders[[#This Row],[Quantity]]*tblOrders[[#This Row],[Unit Price]]</f>
        <v>1790.0099999999998</v>
      </c>
      <c r="Q995">
        <f>tblOrders[[#This Row],[TotalSales]]-tblOrders[[#This Row],[Calculated Sales]]</f>
        <v>0</v>
      </c>
    </row>
    <row r="996" spans="1:17" x14ac:dyDescent="0.25">
      <c r="A996">
        <v>58</v>
      </c>
      <c r="B996">
        <v>226</v>
      </c>
      <c r="C996" t="str">
        <f>_xlfn.XLOOKUP(tblOrders[[#This Row],[CustomerID]],tblCustomers[CustomerID],tblCustomers[CustomerName],"not found")</f>
        <v>Mrs. Pamela Garrett</v>
      </c>
      <c r="D996">
        <f>_xlfn.XLOOKUP(tblOrders[[#This Row],[CustomerID]],tblCustomers[CustomerID],tblCustomers[Age],"not found")</f>
        <v>34</v>
      </c>
      <c r="E996" t="str">
        <f>_xlfn.XLOOKUP(tblOrders[[#This Row],[CustomerID]],tblCustomers[CustomerID],tblCustomers[Gender],"not found")</f>
        <v>Female</v>
      </c>
      <c r="F996" t="str">
        <f>_xlfn.XLOOKUP(tblOrders[[#This Row],[CustomerID]],tblCustomers[CustomerID],tblCustomers[Region],"not found")</f>
        <v>South</v>
      </c>
      <c r="G996">
        <v>1006</v>
      </c>
      <c r="H996" t="str">
        <f>_xlfn.XLOOKUP(tblOrders[[#This Row],[ProductID]],tblProducts[ProductID],tblProducts[ProductName],"not found")</f>
        <v>They</v>
      </c>
      <c r="I996" t="str">
        <f>_xlfn.XLOOKUP(tblOrders[[#This Row],[ProductID]],tblProducts[ProductID],tblProducts[Category],"not found")</f>
        <v>Beauty</v>
      </c>
      <c r="J996">
        <f>_xlfn.XLOOKUP(tblOrders[[#This Row],[ProductID]],tblProducts[ProductID],tblProducts[UnitPrice],"not found")</f>
        <v>111.79</v>
      </c>
      <c r="K996" t="str">
        <f>_xlfn.XLOOKUP(tblOrders[[#This Row],[ProductID]],tblProducts[ProductID],tblProducts[Supplier],"not found")</f>
        <v>Johnson and Sons</v>
      </c>
      <c r="L996" s="1" t="s">
        <v>2113</v>
      </c>
      <c r="M9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44881</v>
      </c>
      <c r="N996">
        <v>4</v>
      </c>
      <c r="O996">
        <v>447.16</v>
      </c>
      <c r="P996">
        <f>tblOrders[[#This Row],[Quantity]]*tblOrders[[#This Row],[Unit Price]]</f>
        <v>447.16</v>
      </c>
      <c r="Q996">
        <f>tblOrders[[#This Row],[TotalSales]]-tblOrders[[#This Row],[Calculated Sales]]</f>
        <v>0</v>
      </c>
    </row>
    <row r="997" spans="1:17" x14ac:dyDescent="0.25">
      <c r="A997">
        <v>287</v>
      </c>
      <c r="B997">
        <v>64</v>
      </c>
      <c r="C997" t="str">
        <f>_xlfn.XLOOKUP(tblOrders[[#This Row],[CustomerID]],tblCustomers[CustomerID],tblCustomers[CustomerName],"not found")</f>
        <v>Edward Hill</v>
      </c>
      <c r="D997">
        <f>_xlfn.XLOOKUP(tblOrders[[#This Row],[CustomerID]],tblCustomers[CustomerID],tblCustomers[Age],"not found")</f>
        <v>49</v>
      </c>
      <c r="E997" t="str">
        <f>_xlfn.XLOOKUP(tblOrders[[#This Row],[CustomerID]],tblCustomers[CustomerID],tblCustomers[Gender],"not found")</f>
        <v>Male</v>
      </c>
      <c r="F997" t="str">
        <f>_xlfn.XLOOKUP(tblOrders[[#This Row],[CustomerID]],tblCustomers[CustomerID],tblCustomers[Region],"not found")</f>
        <v>West</v>
      </c>
      <c r="G997">
        <v>1006</v>
      </c>
      <c r="H997" t="str">
        <f>_xlfn.XLOOKUP(tblOrders[[#This Row],[ProductID]],tblProducts[ProductID],tblProducts[ProductName],"not found")</f>
        <v>They</v>
      </c>
      <c r="I997" t="str">
        <f>_xlfn.XLOOKUP(tblOrders[[#This Row],[ProductID]],tblProducts[ProductID],tblProducts[Category],"not found")</f>
        <v>Beauty</v>
      </c>
      <c r="J997">
        <f>_xlfn.XLOOKUP(tblOrders[[#This Row],[ProductID]],tblProducts[ProductID],tblProducts[UnitPrice],"not found")</f>
        <v>111.79</v>
      </c>
      <c r="K997" t="str">
        <f>_xlfn.XLOOKUP(tblOrders[[#This Row],[ProductID]],tblProducts[ProductID],tblProducts[Supplier],"not found")</f>
        <v>Johnson and Sons</v>
      </c>
      <c r="L997" s="1" t="s">
        <v>2292</v>
      </c>
      <c r="M9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45586</v>
      </c>
      <c r="N997">
        <v>9</v>
      </c>
      <c r="O997">
        <v>1006.11</v>
      </c>
      <c r="P997">
        <f>tblOrders[[#This Row],[Quantity]]*tblOrders[[#This Row],[Unit Price]]</f>
        <v>1006.11</v>
      </c>
      <c r="Q997">
        <f>tblOrders[[#This Row],[TotalSales]]-tblOrders[[#This Row],[Calculated Sales]]</f>
        <v>0</v>
      </c>
    </row>
    <row r="998" spans="1:17" x14ac:dyDescent="0.25">
      <c r="A998">
        <v>389</v>
      </c>
      <c r="B998">
        <v>200</v>
      </c>
      <c r="C998" t="str">
        <f>_xlfn.XLOOKUP(tblOrders[[#This Row],[CustomerID]],tblCustomers[CustomerID],tblCustomers[CustomerName],"not found")</f>
        <v>Melissa Bonilla</v>
      </c>
      <c r="D998">
        <f>_xlfn.XLOOKUP(tblOrders[[#This Row],[CustomerID]],tblCustomers[CustomerID],tblCustomers[Age],"not found")</f>
        <v>54</v>
      </c>
      <c r="E998" t="str">
        <f>_xlfn.XLOOKUP(tblOrders[[#This Row],[CustomerID]],tblCustomers[CustomerID],tblCustomers[Gender],"not found")</f>
        <v>Male</v>
      </c>
      <c r="F998" t="str">
        <f>_xlfn.XLOOKUP(tblOrders[[#This Row],[CustomerID]],tblCustomers[CustomerID],tblCustomers[Region],"not found")</f>
        <v>South</v>
      </c>
      <c r="G998">
        <v>1006</v>
      </c>
      <c r="H998" t="str">
        <f>_xlfn.XLOOKUP(tblOrders[[#This Row],[ProductID]],tblProducts[ProductID],tblProducts[ProductName],"not found")</f>
        <v>They</v>
      </c>
      <c r="I998" t="str">
        <f>_xlfn.XLOOKUP(tblOrders[[#This Row],[ProductID]],tblProducts[ProductID],tblProducts[Category],"not found")</f>
        <v>Beauty</v>
      </c>
      <c r="J998">
        <f>_xlfn.XLOOKUP(tblOrders[[#This Row],[ProductID]],tblProducts[ProductID],tblProducts[UnitPrice],"not found")</f>
        <v>111.79</v>
      </c>
      <c r="K998" t="str">
        <f>_xlfn.XLOOKUP(tblOrders[[#This Row],[ProductID]],tblProducts[ProductID],tblProducts[Supplier],"not found")</f>
        <v>Johnson and Sons</v>
      </c>
      <c r="L998" s="1" t="s">
        <v>2261</v>
      </c>
      <c r="M9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45126</v>
      </c>
      <c r="N998">
        <v>1</v>
      </c>
      <c r="O998">
        <v>111.79</v>
      </c>
      <c r="P998">
        <f>tblOrders[[#This Row],[Quantity]]*tblOrders[[#This Row],[Unit Price]]</f>
        <v>111.79</v>
      </c>
      <c r="Q998">
        <f>tblOrders[[#This Row],[TotalSales]]-tblOrders[[#This Row],[Calculated Sales]]</f>
        <v>0</v>
      </c>
    </row>
    <row r="999" spans="1:17" x14ac:dyDescent="0.25">
      <c r="A999">
        <v>515</v>
      </c>
      <c r="B999">
        <v>504</v>
      </c>
      <c r="C999" t="str">
        <f>_xlfn.XLOOKUP(tblOrders[[#This Row],[CustomerID]],tblCustomers[CustomerID],tblCustomers[CustomerName],"not found")</f>
        <v>Debra Lee</v>
      </c>
      <c r="D999">
        <f>_xlfn.XLOOKUP(tblOrders[[#This Row],[CustomerID]],tblCustomers[CustomerID],tblCustomers[Age],"not found")</f>
        <v>35</v>
      </c>
      <c r="E999" t="str">
        <f>_xlfn.XLOOKUP(tblOrders[[#This Row],[CustomerID]],tblCustomers[CustomerID],tblCustomers[Gender],"not found")</f>
        <v>Male</v>
      </c>
      <c r="F999" t="str">
        <f>_xlfn.XLOOKUP(tblOrders[[#This Row],[CustomerID]],tblCustomers[CustomerID],tblCustomers[Region],"not found")</f>
        <v>Central</v>
      </c>
      <c r="G999">
        <v>1006</v>
      </c>
      <c r="H999" t="str">
        <f>_xlfn.XLOOKUP(tblOrders[[#This Row],[ProductID]],tblProducts[ProductID],tblProducts[ProductName],"not found")</f>
        <v>They</v>
      </c>
      <c r="I999" t="str">
        <f>_xlfn.XLOOKUP(tblOrders[[#This Row],[ProductID]],tblProducts[ProductID],tblProducts[Category],"not found")</f>
        <v>Beauty</v>
      </c>
      <c r="J999">
        <f>_xlfn.XLOOKUP(tblOrders[[#This Row],[ProductID]],tblProducts[ProductID],tblProducts[UnitPrice],"not found")</f>
        <v>111.79</v>
      </c>
      <c r="K999" t="str">
        <f>_xlfn.XLOOKUP(tblOrders[[#This Row],[ProductID]],tblProducts[ProductID],tblProducts[Supplier],"not found")</f>
        <v>Johnson and Sons</v>
      </c>
      <c r="L999" s="1" t="s">
        <v>2340</v>
      </c>
      <c r="M9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45554</v>
      </c>
      <c r="N999">
        <v>6</v>
      </c>
      <c r="O999">
        <v>670.74</v>
      </c>
      <c r="P999">
        <f>tblOrders[[#This Row],[Quantity]]*tblOrders[[#This Row],[Unit Price]]</f>
        <v>670.74</v>
      </c>
      <c r="Q999">
        <f>tblOrders[[#This Row],[TotalSales]]-tblOrders[[#This Row],[Calculated Sales]]</f>
        <v>0</v>
      </c>
    </row>
    <row r="1000" spans="1:17" x14ac:dyDescent="0.25">
      <c r="A1000">
        <v>569</v>
      </c>
      <c r="B1000">
        <v>349</v>
      </c>
      <c r="C1000" t="str">
        <f>_xlfn.XLOOKUP(tblOrders[[#This Row],[CustomerID]],tblCustomers[CustomerID],tblCustomers[CustomerName],"not found")</f>
        <v>Gabriel Coleman</v>
      </c>
      <c r="D1000">
        <f>_xlfn.XLOOKUP(tblOrders[[#This Row],[CustomerID]],tblCustomers[CustomerID],tblCustomers[Age],"not found")</f>
        <v>30</v>
      </c>
      <c r="E1000" t="str">
        <f>_xlfn.XLOOKUP(tblOrders[[#This Row],[CustomerID]],tblCustomers[CustomerID],tblCustomers[Gender],"not found")</f>
        <v>Female</v>
      </c>
      <c r="F1000" t="str">
        <f>_xlfn.XLOOKUP(tblOrders[[#This Row],[CustomerID]],tblCustomers[CustomerID],tblCustomers[Region],"not found")</f>
        <v>East</v>
      </c>
      <c r="G1000">
        <v>1006</v>
      </c>
      <c r="H1000" t="str">
        <f>_xlfn.XLOOKUP(tblOrders[[#This Row],[ProductID]],tblProducts[ProductID],tblProducts[ProductName],"not found")</f>
        <v>They</v>
      </c>
      <c r="I1000" t="str">
        <f>_xlfn.XLOOKUP(tblOrders[[#This Row],[ProductID]],tblProducts[ProductID],tblProducts[Category],"not found")</f>
        <v>Beauty</v>
      </c>
      <c r="J1000">
        <f>_xlfn.XLOOKUP(tblOrders[[#This Row],[ProductID]],tblProducts[ProductID],tblProducts[UnitPrice],"not found")</f>
        <v>111.79</v>
      </c>
      <c r="K1000" t="str">
        <f>_xlfn.XLOOKUP(tblOrders[[#This Row],[ProductID]],tblProducts[ProductID],tblProducts[Supplier],"not found")</f>
        <v>Johnson and Sons</v>
      </c>
      <c r="L1000" s="1" t="s">
        <v>2171</v>
      </c>
      <c r="M10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45593</v>
      </c>
      <c r="N1000">
        <v>2</v>
      </c>
      <c r="O1000">
        <v>223.58</v>
      </c>
      <c r="P1000">
        <f>tblOrders[[#This Row],[Quantity]]*tblOrders[[#This Row],[Unit Price]]</f>
        <v>223.58</v>
      </c>
      <c r="Q1000">
        <f>tblOrders[[#This Row],[TotalSales]]-tblOrders[[#This Row],[Calculated Sales]]</f>
        <v>0</v>
      </c>
    </row>
    <row r="1001" spans="1:17" x14ac:dyDescent="0.25">
      <c r="A1001">
        <v>769</v>
      </c>
      <c r="B1001">
        <v>450</v>
      </c>
      <c r="C1001" t="str">
        <f>_xlfn.XLOOKUP(tblOrders[[#This Row],[CustomerID]],tblCustomers[CustomerID],tblCustomers[CustomerName],"not found")</f>
        <v>Megan Trevino</v>
      </c>
      <c r="D1001">
        <f>_xlfn.XLOOKUP(tblOrders[[#This Row],[CustomerID]],tblCustomers[CustomerID],tblCustomers[Age],"not found")</f>
        <v>19</v>
      </c>
      <c r="E1001" t="str">
        <f>_xlfn.XLOOKUP(tblOrders[[#This Row],[CustomerID]],tblCustomers[CustomerID],tblCustomers[Gender],"not found")</f>
        <v>Female</v>
      </c>
      <c r="F1001" t="str">
        <f>_xlfn.XLOOKUP(tblOrders[[#This Row],[CustomerID]],tblCustomers[CustomerID],tblCustomers[Region],"not found")</f>
        <v>West</v>
      </c>
      <c r="G1001">
        <v>1006</v>
      </c>
      <c r="H1001" t="str">
        <f>_xlfn.XLOOKUP(tblOrders[[#This Row],[ProductID]],tblProducts[ProductID],tblProducts[ProductName],"not found")</f>
        <v>They</v>
      </c>
      <c r="I1001" t="str">
        <f>_xlfn.XLOOKUP(tblOrders[[#This Row],[ProductID]],tblProducts[ProductID],tblProducts[Category],"not found")</f>
        <v>Beauty</v>
      </c>
      <c r="J1001">
        <f>_xlfn.XLOOKUP(tblOrders[[#This Row],[ProductID]],tblProducts[ProductID],tblProducts[UnitPrice],"not found")</f>
        <v>111.79</v>
      </c>
      <c r="K1001" t="str">
        <f>_xlfn.XLOOKUP(tblOrders[[#This Row],[ProductID]],tblProducts[ProductID],tblProducts[Supplier],"not found")</f>
        <v>Johnson and Sons</v>
      </c>
      <c r="L1001" s="1" t="s">
        <v>2012</v>
      </c>
      <c r="M10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44911</v>
      </c>
      <c r="N1001">
        <v>7</v>
      </c>
      <c r="O1001">
        <v>782.53</v>
      </c>
      <c r="P1001">
        <f>tblOrders[[#This Row],[Quantity]]*tblOrders[[#This Row],[Unit Price]]</f>
        <v>782.53000000000009</v>
      </c>
      <c r="Q1001">
        <f>tblOrders[[#This Row],[TotalSales]]-tblOrders[[#This Row],[Calculated Sales]]</f>
        <v>0</v>
      </c>
    </row>
    <row r="1002" spans="1:17" x14ac:dyDescent="0.25">
      <c r="A1002">
        <v>803</v>
      </c>
      <c r="B1002">
        <v>391</v>
      </c>
      <c r="C1002" t="str">
        <f>_xlfn.XLOOKUP(tblOrders[[#This Row],[CustomerID]],tblCustomers[CustomerID],tblCustomers[CustomerName],"not found")</f>
        <v>Phyllis Bennett</v>
      </c>
      <c r="D1002">
        <f>_xlfn.XLOOKUP(tblOrders[[#This Row],[CustomerID]],tblCustomers[CustomerID],tblCustomers[Age],"not found")</f>
        <v>61</v>
      </c>
      <c r="E1002" t="str">
        <f>_xlfn.XLOOKUP(tblOrders[[#This Row],[CustomerID]],tblCustomers[CustomerID],tblCustomers[Gender],"not found")</f>
        <v>Female</v>
      </c>
      <c r="F1002" t="str">
        <f>_xlfn.XLOOKUP(tblOrders[[#This Row],[CustomerID]],tblCustomers[CustomerID],tblCustomers[Region],"not found")</f>
        <v>South</v>
      </c>
      <c r="G1002">
        <v>1006</v>
      </c>
      <c r="H1002" t="str">
        <f>_xlfn.XLOOKUP(tblOrders[[#This Row],[ProductID]],tblProducts[ProductID],tblProducts[ProductName],"not found")</f>
        <v>They</v>
      </c>
      <c r="I1002" t="str">
        <f>_xlfn.XLOOKUP(tblOrders[[#This Row],[ProductID]],tblProducts[ProductID],tblProducts[Category],"not found")</f>
        <v>Beauty</v>
      </c>
      <c r="J1002">
        <f>_xlfn.XLOOKUP(tblOrders[[#This Row],[ProductID]],tblProducts[ProductID],tblProducts[UnitPrice],"not found")</f>
        <v>111.79</v>
      </c>
      <c r="K1002" t="str">
        <f>_xlfn.XLOOKUP(tblOrders[[#This Row],[ProductID]],tblProducts[ProductID],tblProducts[Supplier],"not found")</f>
        <v>Johnson and Sons</v>
      </c>
      <c r="L1002" s="1">
        <v>44960</v>
      </c>
      <c r="M10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44960</v>
      </c>
      <c r="N1002">
        <v>4</v>
      </c>
      <c r="O1002">
        <v>447.16</v>
      </c>
      <c r="P1002">
        <f>tblOrders[[#This Row],[Quantity]]*tblOrders[[#This Row],[Unit Price]]</f>
        <v>447.16</v>
      </c>
      <c r="Q1002">
        <f>tblOrders[[#This Row],[TotalSales]]-tblOrders[[#This Row],[Calculated Sales]]</f>
        <v>0</v>
      </c>
    </row>
    <row r="1003" spans="1:17" x14ac:dyDescent="0.25">
      <c r="A1003">
        <v>907</v>
      </c>
      <c r="B1003">
        <v>587</v>
      </c>
      <c r="C1003" t="str">
        <f>_xlfn.XLOOKUP(tblOrders[[#This Row],[CustomerID]],tblCustomers[CustomerID],tblCustomers[CustomerName],"not found")</f>
        <v>Allison Rodriguez</v>
      </c>
      <c r="D1003">
        <f>_xlfn.XLOOKUP(tblOrders[[#This Row],[CustomerID]],tblCustomers[CustomerID],tblCustomers[Age],"not found")</f>
        <v>61</v>
      </c>
      <c r="E1003" t="str">
        <f>_xlfn.XLOOKUP(tblOrders[[#This Row],[CustomerID]],tblCustomers[CustomerID],tblCustomers[Gender],"not found")</f>
        <v>Female</v>
      </c>
      <c r="F1003" t="str">
        <f>_xlfn.XLOOKUP(tblOrders[[#This Row],[CustomerID]],tblCustomers[CustomerID],tblCustomers[Region],"not found")</f>
        <v>Central</v>
      </c>
      <c r="G1003">
        <v>1006</v>
      </c>
      <c r="H1003" t="str">
        <f>_xlfn.XLOOKUP(tblOrders[[#This Row],[ProductID]],tblProducts[ProductID],tblProducts[ProductName],"not found")</f>
        <v>They</v>
      </c>
      <c r="I1003" t="str">
        <f>_xlfn.XLOOKUP(tblOrders[[#This Row],[ProductID]],tblProducts[ProductID],tblProducts[Category],"not found")</f>
        <v>Beauty</v>
      </c>
      <c r="J1003">
        <f>_xlfn.XLOOKUP(tblOrders[[#This Row],[ProductID]],tblProducts[ProductID],tblProducts[UnitPrice],"not found")</f>
        <v>111.79</v>
      </c>
      <c r="K1003" t="str">
        <f>_xlfn.XLOOKUP(tblOrders[[#This Row],[ProductID]],tblProducts[ProductID],tblProducts[Supplier],"not found")</f>
        <v>Johnson and Sons</v>
      </c>
      <c r="L1003" s="1" t="s">
        <v>2014</v>
      </c>
      <c r="M10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45373</v>
      </c>
      <c r="N1003">
        <v>6</v>
      </c>
      <c r="O1003">
        <v>670.74</v>
      </c>
      <c r="P1003">
        <f>tblOrders[[#This Row],[Quantity]]*tblOrders[[#This Row],[Unit Price]]</f>
        <v>670.74</v>
      </c>
      <c r="Q1003">
        <f>tblOrders[[#This Row],[TotalSales]]-tblOrders[[#This Row],[Calculated Sales]]</f>
        <v>0</v>
      </c>
    </row>
    <row r="1004" spans="1:17" x14ac:dyDescent="0.25">
      <c r="A1004">
        <v>920</v>
      </c>
      <c r="B1004">
        <v>923</v>
      </c>
      <c r="C1004" t="str">
        <f>_xlfn.XLOOKUP(tblOrders[[#This Row],[CustomerID]],tblCustomers[CustomerID],tblCustomers[CustomerName],"not found")</f>
        <v>Bethany Anderson</v>
      </c>
      <c r="D1004">
        <f>_xlfn.XLOOKUP(tblOrders[[#This Row],[CustomerID]],tblCustomers[CustomerID],tblCustomers[Age],"not found")</f>
        <v>50</v>
      </c>
      <c r="E1004" t="str">
        <f>_xlfn.XLOOKUP(tblOrders[[#This Row],[CustomerID]],tblCustomers[CustomerID],tblCustomers[Gender],"not found")</f>
        <v>Male</v>
      </c>
      <c r="F1004" t="str">
        <f>_xlfn.XLOOKUP(tblOrders[[#This Row],[CustomerID]],tblCustomers[CustomerID],tblCustomers[Region],"not found")</f>
        <v>West</v>
      </c>
      <c r="G1004">
        <v>1006</v>
      </c>
      <c r="H1004" t="str">
        <f>_xlfn.XLOOKUP(tblOrders[[#This Row],[ProductID]],tblProducts[ProductID],tblProducts[ProductName],"not found")</f>
        <v>They</v>
      </c>
      <c r="I1004" t="str">
        <f>_xlfn.XLOOKUP(tblOrders[[#This Row],[ProductID]],tblProducts[ProductID],tblProducts[Category],"not found")</f>
        <v>Beauty</v>
      </c>
      <c r="J1004">
        <f>_xlfn.XLOOKUP(tblOrders[[#This Row],[ProductID]],tblProducts[ProductID],tblProducts[UnitPrice],"not found")</f>
        <v>111.79</v>
      </c>
      <c r="K1004" t="str">
        <f>_xlfn.XLOOKUP(tblOrders[[#This Row],[ProductID]],tblProducts[ProductID],tblProducts[Supplier],"not found")</f>
        <v>Johnson and Sons</v>
      </c>
      <c r="L1004" s="1">
        <v>44969</v>
      </c>
      <c r="M10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1004">
        <v>9</v>
      </c>
      <c r="O1004">
        <v>1006.11</v>
      </c>
      <c r="P1004">
        <f>tblOrders[[#This Row],[Quantity]]*tblOrders[[#This Row],[Unit Price]]</f>
        <v>1006.11</v>
      </c>
      <c r="Q1004">
        <f>tblOrders[[#This Row],[TotalSales]]-tblOrders[[#This Row],[Calculated Sales]]</f>
        <v>0</v>
      </c>
    </row>
    <row r="1005" spans="1:17" x14ac:dyDescent="0.25">
      <c r="A1005">
        <v>946</v>
      </c>
      <c r="B1005">
        <v>149</v>
      </c>
      <c r="C1005" t="str">
        <f>_xlfn.XLOOKUP(tblOrders[[#This Row],[CustomerID]],tblCustomers[CustomerID],tblCustomers[CustomerName],"not found")</f>
        <v>Sandra Lane</v>
      </c>
      <c r="D1005">
        <f>_xlfn.XLOOKUP(tblOrders[[#This Row],[CustomerID]],tblCustomers[CustomerID],tblCustomers[Age],"not found")</f>
        <v>28</v>
      </c>
      <c r="E1005" t="str">
        <f>_xlfn.XLOOKUP(tblOrders[[#This Row],[CustomerID]],tblCustomers[CustomerID],tblCustomers[Gender],"not found")</f>
        <v>Female</v>
      </c>
      <c r="F1005" t="str">
        <f>_xlfn.XLOOKUP(tblOrders[[#This Row],[CustomerID]],tblCustomers[CustomerID],tblCustomers[Region],"not found")</f>
        <v>East</v>
      </c>
      <c r="G1005">
        <v>1006</v>
      </c>
      <c r="H1005" t="str">
        <f>_xlfn.XLOOKUP(tblOrders[[#This Row],[ProductID]],tblProducts[ProductID],tblProducts[ProductName],"not found")</f>
        <v>They</v>
      </c>
      <c r="I1005" t="str">
        <f>_xlfn.XLOOKUP(tblOrders[[#This Row],[ProductID]],tblProducts[ProductID],tblProducts[Category],"not found")</f>
        <v>Beauty</v>
      </c>
      <c r="J1005">
        <f>_xlfn.XLOOKUP(tblOrders[[#This Row],[ProductID]],tblProducts[ProductID],tblProducts[UnitPrice],"not found")</f>
        <v>111.79</v>
      </c>
      <c r="K1005" t="str">
        <f>_xlfn.XLOOKUP(tblOrders[[#This Row],[ProductID]],tblProducts[ProductID],tblProducts[Supplier],"not found")</f>
        <v>Johnson and Sons</v>
      </c>
      <c r="L1005" s="1">
        <v>45444</v>
      </c>
      <c r="M10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45444</v>
      </c>
      <c r="N1005">
        <v>3</v>
      </c>
      <c r="O1005">
        <v>335.37</v>
      </c>
      <c r="P1005">
        <f>tblOrders[[#This Row],[Quantity]]*tblOrders[[#This Row],[Unit Price]]</f>
        <v>335.37</v>
      </c>
      <c r="Q1005">
        <f>tblOrders[[#This Row],[TotalSales]]-tblOrders[[#This Row],[Calculated Sales]]</f>
        <v>0</v>
      </c>
    </row>
    <row r="1006" spans="1:17" x14ac:dyDescent="0.25">
      <c r="A1006">
        <v>1111</v>
      </c>
      <c r="B1006">
        <v>296</v>
      </c>
      <c r="C1006" t="str">
        <f>_xlfn.XLOOKUP(tblOrders[[#This Row],[CustomerID]],tblCustomers[CustomerID],tblCustomers[CustomerName],"not found")</f>
        <v>Kelly Williams</v>
      </c>
      <c r="D1006">
        <f>_xlfn.XLOOKUP(tblOrders[[#This Row],[CustomerID]],tblCustomers[CustomerID],tblCustomers[Age],"not found")</f>
        <v>30</v>
      </c>
      <c r="E1006" t="str">
        <f>_xlfn.XLOOKUP(tblOrders[[#This Row],[CustomerID]],tblCustomers[CustomerID],tblCustomers[Gender],"not found")</f>
        <v>Male</v>
      </c>
      <c r="F1006" t="str">
        <f>_xlfn.XLOOKUP(tblOrders[[#This Row],[CustomerID]],tblCustomers[CustomerID],tblCustomers[Region],"not found")</f>
        <v>North</v>
      </c>
      <c r="G1006">
        <v>1006</v>
      </c>
      <c r="H1006" t="str">
        <f>_xlfn.XLOOKUP(tblOrders[[#This Row],[ProductID]],tblProducts[ProductID],tblProducts[ProductName],"not found")</f>
        <v>They</v>
      </c>
      <c r="I1006" t="str">
        <f>_xlfn.XLOOKUP(tblOrders[[#This Row],[ProductID]],tblProducts[ProductID],tblProducts[Category],"not found")</f>
        <v>Beauty</v>
      </c>
      <c r="J1006">
        <f>_xlfn.XLOOKUP(tblOrders[[#This Row],[ProductID]],tblProducts[ProductID],tblProducts[UnitPrice],"not found")</f>
        <v>111.79</v>
      </c>
      <c r="K1006" t="str">
        <f>_xlfn.XLOOKUP(tblOrders[[#This Row],[ProductID]],tblProducts[ProductID],tblProducts[Supplier],"not found")</f>
        <v>Johnson and Sons</v>
      </c>
      <c r="L1006" s="1">
        <v>45210</v>
      </c>
      <c r="M10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45210</v>
      </c>
      <c r="N1006">
        <v>5</v>
      </c>
      <c r="O1006">
        <v>558.95000000000005</v>
      </c>
      <c r="P1006">
        <f>tblOrders[[#This Row],[Quantity]]*tblOrders[[#This Row],[Unit Price]]</f>
        <v>558.95000000000005</v>
      </c>
      <c r="Q1006">
        <f>tblOrders[[#This Row],[TotalSales]]-tblOrders[[#This Row],[Calculated Sales]]</f>
        <v>0</v>
      </c>
    </row>
    <row r="1007" spans="1:17" x14ac:dyDescent="0.25">
      <c r="A1007">
        <v>1114</v>
      </c>
      <c r="B1007">
        <v>271</v>
      </c>
      <c r="C1007" t="str">
        <f>_xlfn.XLOOKUP(tblOrders[[#This Row],[CustomerID]],tblCustomers[CustomerID],tblCustomers[CustomerName],"not found")</f>
        <v>Katherine Bowman</v>
      </c>
      <c r="D1007">
        <f>_xlfn.XLOOKUP(tblOrders[[#This Row],[CustomerID]],tblCustomers[CustomerID],tblCustomers[Age],"not found")</f>
        <v>37</v>
      </c>
      <c r="E1007" t="str">
        <f>_xlfn.XLOOKUP(tblOrders[[#This Row],[CustomerID]],tblCustomers[CustomerID],tblCustomers[Gender],"not found")</f>
        <v>Female</v>
      </c>
      <c r="F1007" t="str">
        <f>_xlfn.XLOOKUP(tblOrders[[#This Row],[CustomerID]],tblCustomers[CustomerID],tblCustomers[Region],"not found")</f>
        <v>North</v>
      </c>
      <c r="G1007">
        <v>1006</v>
      </c>
      <c r="H1007" t="str">
        <f>_xlfn.XLOOKUP(tblOrders[[#This Row],[ProductID]],tblProducts[ProductID],tblProducts[ProductName],"not found")</f>
        <v>They</v>
      </c>
      <c r="I1007" t="str">
        <f>_xlfn.XLOOKUP(tblOrders[[#This Row],[ProductID]],tblProducts[ProductID],tblProducts[Category],"not found")</f>
        <v>Beauty</v>
      </c>
      <c r="J1007">
        <f>_xlfn.XLOOKUP(tblOrders[[#This Row],[ProductID]],tblProducts[ProductID],tblProducts[UnitPrice],"not found")</f>
        <v>111.79</v>
      </c>
      <c r="K1007" t="str">
        <f>_xlfn.XLOOKUP(tblOrders[[#This Row],[ProductID]],tblProducts[ProductID],tblProducts[Supplier],"not found")</f>
        <v>Johnson and Sons</v>
      </c>
      <c r="L1007" s="1" t="s">
        <v>2341</v>
      </c>
      <c r="M10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44883</v>
      </c>
      <c r="N1007">
        <v>2</v>
      </c>
      <c r="O1007">
        <v>223.58</v>
      </c>
      <c r="P1007">
        <f>tblOrders[[#This Row],[Quantity]]*tblOrders[[#This Row],[Unit Price]]</f>
        <v>223.58</v>
      </c>
      <c r="Q1007">
        <f>tblOrders[[#This Row],[TotalSales]]-tblOrders[[#This Row],[Calculated Sales]]</f>
        <v>0</v>
      </c>
    </row>
    <row r="1008" spans="1:17" x14ac:dyDescent="0.25">
      <c r="A1008">
        <v>1565</v>
      </c>
      <c r="B1008">
        <v>61</v>
      </c>
      <c r="C1008" t="str">
        <f>_xlfn.XLOOKUP(tblOrders[[#This Row],[CustomerID]],tblCustomers[CustomerID],tblCustomers[CustomerName],"not found")</f>
        <v>Connor Huang</v>
      </c>
      <c r="D1008">
        <f>_xlfn.XLOOKUP(tblOrders[[#This Row],[CustomerID]],tblCustomers[CustomerID],tblCustomers[Age],"not found")</f>
        <v>22</v>
      </c>
      <c r="E1008" t="str">
        <f>_xlfn.XLOOKUP(tblOrders[[#This Row],[CustomerID]],tblCustomers[CustomerID],tblCustomers[Gender],"not found")</f>
        <v>Male</v>
      </c>
      <c r="F1008" t="str">
        <f>_xlfn.XLOOKUP(tblOrders[[#This Row],[CustomerID]],tblCustomers[CustomerID],tblCustomers[Region],"not found")</f>
        <v>West</v>
      </c>
      <c r="G1008">
        <v>1006</v>
      </c>
      <c r="H1008" t="str">
        <f>_xlfn.XLOOKUP(tblOrders[[#This Row],[ProductID]],tblProducts[ProductID],tblProducts[ProductName],"not found")</f>
        <v>They</v>
      </c>
      <c r="I1008" t="str">
        <f>_xlfn.XLOOKUP(tblOrders[[#This Row],[ProductID]],tblProducts[ProductID],tblProducts[Category],"not found")</f>
        <v>Beauty</v>
      </c>
      <c r="J1008">
        <f>_xlfn.XLOOKUP(tblOrders[[#This Row],[ProductID]],tblProducts[ProductID],tblProducts[UnitPrice],"not found")</f>
        <v>111.79</v>
      </c>
      <c r="K1008" t="str">
        <f>_xlfn.XLOOKUP(tblOrders[[#This Row],[ProductID]],tblProducts[ProductID],tblProducts[Supplier],"not found")</f>
        <v>Johnson and Sons</v>
      </c>
      <c r="L1008" s="1">
        <v>44993</v>
      </c>
      <c r="M10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44993</v>
      </c>
      <c r="N1008">
        <v>5</v>
      </c>
      <c r="O1008">
        <v>558.95000000000005</v>
      </c>
      <c r="P1008">
        <f>tblOrders[[#This Row],[Quantity]]*tblOrders[[#This Row],[Unit Price]]</f>
        <v>558.95000000000005</v>
      </c>
      <c r="Q1008">
        <f>tblOrders[[#This Row],[TotalSales]]-tblOrders[[#This Row],[Calculated Sales]]</f>
        <v>0</v>
      </c>
    </row>
    <row r="1009" spans="1:17" x14ac:dyDescent="0.25">
      <c r="A1009">
        <v>1647</v>
      </c>
      <c r="B1009">
        <v>647</v>
      </c>
      <c r="C1009" t="str">
        <f>_xlfn.XLOOKUP(tblOrders[[#This Row],[CustomerID]],tblCustomers[CustomerID],tblCustomers[CustomerName],"not found")</f>
        <v>Sherry Dickerson</v>
      </c>
      <c r="D1009">
        <f>_xlfn.XLOOKUP(tblOrders[[#This Row],[CustomerID]],tblCustomers[CustomerID],tblCustomers[Age],"not found")</f>
        <v>58</v>
      </c>
      <c r="E1009" t="str">
        <f>_xlfn.XLOOKUP(tblOrders[[#This Row],[CustomerID]],tblCustomers[CustomerID],tblCustomers[Gender],"not found")</f>
        <v>Female</v>
      </c>
      <c r="F1009" t="str">
        <f>_xlfn.XLOOKUP(tblOrders[[#This Row],[CustomerID]],tblCustomers[CustomerID],tblCustomers[Region],"not found")</f>
        <v>West</v>
      </c>
      <c r="G1009">
        <v>1006</v>
      </c>
      <c r="H1009" t="str">
        <f>_xlfn.XLOOKUP(tblOrders[[#This Row],[ProductID]],tblProducts[ProductID],tblProducts[ProductName],"not found")</f>
        <v>They</v>
      </c>
      <c r="I1009" t="str">
        <f>_xlfn.XLOOKUP(tblOrders[[#This Row],[ProductID]],tblProducts[ProductID],tblProducts[Category],"not found")</f>
        <v>Beauty</v>
      </c>
      <c r="J1009">
        <f>_xlfn.XLOOKUP(tblOrders[[#This Row],[ProductID]],tblProducts[ProductID],tblProducts[UnitPrice],"not found")</f>
        <v>111.79</v>
      </c>
      <c r="K1009" t="str">
        <f>_xlfn.XLOOKUP(tblOrders[[#This Row],[ProductID]],tblProducts[ProductID],tblProducts[Supplier],"not found")</f>
        <v>Johnson and Sons</v>
      </c>
      <c r="L1009" s="1">
        <v>45570</v>
      </c>
      <c r="M10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45570</v>
      </c>
      <c r="N1009">
        <v>6</v>
      </c>
      <c r="O1009">
        <v>670.74</v>
      </c>
      <c r="P1009">
        <f>tblOrders[[#This Row],[Quantity]]*tblOrders[[#This Row],[Unit Price]]</f>
        <v>670.74</v>
      </c>
      <c r="Q1009">
        <f>tblOrders[[#This Row],[TotalSales]]-tblOrders[[#This Row],[Calculated Sales]]</f>
        <v>0</v>
      </c>
    </row>
    <row r="1010" spans="1:17" x14ac:dyDescent="0.25">
      <c r="A1010">
        <v>1872</v>
      </c>
      <c r="B1010">
        <v>239</v>
      </c>
      <c r="C1010" t="str">
        <f>_xlfn.XLOOKUP(tblOrders[[#This Row],[CustomerID]],tblCustomers[CustomerID],tblCustomers[CustomerName],"not found")</f>
        <v>Haley Jordan</v>
      </c>
      <c r="D1010">
        <f>_xlfn.XLOOKUP(tblOrders[[#This Row],[CustomerID]],tblCustomers[CustomerID],tblCustomers[Age],"not found")</f>
        <v>37</v>
      </c>
      <c r="E1010" t="str">
        <f>_xlfn.XLOOKUP(tblOrders[[#This Row],[CustomerID]],tblCustomers[CustomerID],tblCustomers[Gender],"not found")</f>
        <v>Male</v>
      </c>
      <c r="F1010" t="str">
        <f>_xlfn.XLOOKUP(tblOrders[[#This Row],[CustomerID]],tblCustomers[CustomerID],tblCustomers[Region],"not found")</f>
        <v>West</v>
      </c>
      <c r="G1010">
        <v>1006</v>
      </c>
      <c r="H1010" t="str">
        <f>_xlfn.XLOOKUP(tblOrders[[#This Row],[ProductID]],tblProducts[ProductID],tblProducts[ProductName],"not found")</f>
        <v>They</v>
      </c>
      <c r="I1010" t="str">
        <f>_xlfn.XLOOKUP(tblOrders[[#This Row],[ProductID]],tblProducts[ProductID],tblProducts[Category],"not found")</f>
        <v>Beauty</v>
      </c>
      <c r="J1010">
        <f>_xlfn.XLOOKUP(tblOrders[[#This Row],[ProductID]],tblProducts[ProductID],tblProducts[UnitPrice],"not found")</f>
        <v>111.79</v>
      </c>
      <c r="K1010" t="str">
        <f>_xlfn.XLOOKUP(tblOrders[[#This Row],[ProductID]],tblProducts[ProductID],tblProducts[Supplier],"not found")</f>
        <v>Johnson and Sons</v>
      </c>
      <c r="L1010" s="1">
        <v>44994</v>
      </c>
      <c r="M10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44994</v>
      </c>
      <c r="N1010">
        <v>8</v>
      </c>
      <c r="O1010">
        <v>894.32</v>
      </c>
      <c r="P1010">
        <f>tblOrders[[#This Row],[Quantity]]*tblOrders[[#This Row],[Unit Price]]</f>
        <v>894.32</v>
      </c>
      <c r="Q1010">
        <f>tblOrders[[#This Row],[TotalSales]]-tblOrders[[#This Row],[Calculated Sales]]</f>
        <v>0</v>
      </c>
    </row>
    <row r="1011" spans="1:17" x14ac:dyDescent="0.25">
      <c r="A1011">
        <v>1942</v>
      </c>
      <c r="B1011">
        <v>452</v>
      </c>
      <c r="C1011" t="str">
        <f>_xlfn.XLOOKUP(tblOrders[[#This Row],[CustomerID]],tblCustomers[CustomerID],tblCustomers[CustomerName],"not found")</f>
        <v>Jennifer Morgan</v>
      </c>
      <c r="D1011">
        <f>_xlfn.XLOOKUP(tblOrders[[#This Row],[CustomerID]],tblCustomers[CustomerID],tblCustomers[Age],"not found")</f>
        <v>69</v>
      </c>
      <c r="E1011" t="str">
        <f>_xlfn.XLOOKUP(tblOrders[[#This Row],[CustomerID]],tblCustomers[CustomerID],tblCustomers[Gender],"not found")</f>
        <v>Male</v>
      </c>
      <c r="F1011" t="str">
        <f>_xlfn.XLOOKUP(tblOrders[[#This Row],[CustomerID]],tblCustomers[CustomerID],tblCustomers[Region],"not found")</f>
        <v>East</v>
      </c>
      <c r="G1011">
        <v>1006</v>
      </c>
      <c r="H1011" t="str">
        <f>_xlfn.XLOOKUP(tblOrders[[#This Row],[ProductID]],tblProducts[ProductID],tblProducts[ProductName],"not found")</f>
        <v>They</v>
      </c>
      <c r="I1011" t="str">
        <f>_xlfn.XLOOKUP(tblOrders[[#This Row],[ProductID]],tblProducts[ProductID],tblProducts[Category],"not found")</f>
        <v>Beauty</v>
      </c>
      <c r="J1011">
        <f>_xlfn.XLOOKUP(tblOrders[[#This Row],[ProductID]],tblProducts[ProductID],tblProducts[UnitPrice],"not found")</f>
        <v>111.79</v>
      </c>
      <c r="K1011" t="str">
        <f>_xlfn.XLOOKUP(tblOrders[[#This Row],[ProductID]],tblProducts[ProductID],tblProducts[Supplier],"not found")</f>
        <v>Johnson and Sons</v>
      </c>
      <c r="L1011" s="1">
        <v>45200</v>
      </c>
      <c r="M10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45200</v>
      </c>
      <c r="N1011">
        <v>1</v>
      </c>
      <c r="O1011">
        <v>111.79</v>
      </c>
      <c r="P1011">
        <f>tblOrders[[#This Row],[Quantity]]*tblOrders[[#This Row],[Unit Price]]</f>
        <v>111.79</v>
      </c>
      <c r="Q1011">
        <f>tblOrders[[#This Row],[TotalSales]]-tblOrders[[#This Row],[Calculated Sales]]</f>
        <v>0</v>
      </c>
    </row>
    <row r="1012" spans="1:17" x14ac:dyDescent="0.25">
      <c r="A1012">
        <v>63</v>
      </c>
      <c r="B1012">
        <v>497</v>
      </c>
      <c r="C1012" t="str">
        <f>_xlfn.XLOOKUP(tblOrders[[#This Row],[CustomerID]],tblCustomers[CustomerID],tblCustomers[CustomerName],"not found")</f>
        <v>Sarah Perez</v>
      </c>
      <c r="D1012">
        <f>_xlfn.XLOOKUP(tblOrders[[#This Row],[CustomerID]],tblCustomers[CustomerID],tblCustomers[Age],"not found")</f>
        <v>33</v>
      </c>
      <c r="E1012" t="str">
        <f>_xlfn.XLOOKUP(tblOrders[[#This Row],[CustomerID]],tblCustomers[CustomerID],tblCustomers[Gender],"not found")</f>
        <v>Female</v>
      </c>
      <c r="F1012" t="str">
        <f>_xlfn.XLOOKUP(tblOrders[[#This Row],[CustomerID]],tblCustomers[CustomerID],tblCustomers[Region],"not found")</f>
        <v>West</v>
      </c>
      <c r="G1012">
        <v>1027</v>
      </c>
      <c r="H1012" t="str">
        <f>_xlfn.XLOOKUP(tblOrders[[#This Row],[ProductID]],tblProducts[ProductID],tblProducts[ProductName],"not found")</f>
        <v>Debate</v>
      </c>
      <c r="I1012" t="str">
        <f>_xlfn.XLOOKUP(tblOrders[[#This Row],[ProductID]],tblProducts[ProductID],tblProducts[Category],"not found")</f>
        <v>Beauty</v>
      </c>
      <c r="J1012">
        <f>_xlfn.XLOOKUP(tblOrders[[#This Row],[ProductID]],tblProducts[ProductID],tblProducts[UnitPrice],"not found")</f>
        <v>32.61</v>
      </c>
      <c r="K1012" t="str">
        <f>_xlfn.XLOOKUP(tblOrders[[#This Row],[ProductID]],tblProducts[ProductID],tblProducts[Supplier],"not found")</f>
        <v>Faulkner, Wilson and Richards</v>
      </c>
      <c r="L1012" s="1" t="s">
        <v>2174</v>
      </c>
      <c r="M10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45010</v>
      </c>
      <c r="N1012">
        <v>4</v>
      </c>
      <c r="O1012">
        <v>130.44</v>
      </c>
      <c r="P1012">
        <f>tblOrders[[#This Row],[Quantity]]*tblOrders[[#This Row],[Unit Price]]</f>
        <v>130.44</v>
      </c>
      <c r="Q1012">
        <f>tblOrders[[#This Row],[TotalSales]]-tblOrders[[#This Row],[Calculated Sales]]</f>
        <v>0</v>
      </c>
    </row>
    <row r="1013" spans="1:17" x14ac:dyDescent="0.25">
      <c r="A1013">
        <v>69</v>
      </c>
      <c r="B1013">
        <v>891</v>
      </c>
      <c r="C1013" t="str">
        <f>_xlfn.XLOOKUP(tblOrders[[#This Row],[CustomerID]],tblCustomers[CustomerID],tblCustomers[CustomerName],"not found")</f>
        <v>Kimberly Gillespie</v>
      </c>
      <c r="D1013">
        <f>_xlfn.XLOOKUP(tblOrders[[#This Row],[CustomerID]],tblCustomers[CustomerID],tblCustomers[Age],"not found")</f>
        <v>19</v>
      </c>
      <c r="E1013" t="str">
        <f>_xlfn.XLOOKUP(tblOrders[[#This Row],[CustomerID]],tblCustomers[CustomerID],tblCustomers[Gender],"not found")</f>
        <v>Female</v>
      </c>
      <c r="F1013" t="str">
        <f>_xlfn.XLOOKUP(tblOrders[[#This Row],[CustomerID]],tblCustomers[CustomerID],tblCustomers[Region],"not found")</f>
        <v>North</v>
      </c>
      <c r="G1013">
        <v>1027</v>
      </c>
      <c r="H1013" t="str">
        <f>_xlfn.XLOOKUP(tblOrders[[#This Row],[ProductID]],tblProducts[ProductID],tblProducts[ProductName],"not found")</f>
        <v>Debate</v>
      </c>
      <c r="I1013" t="str">
        <f>_xlfn.XLOOKUP(tblOrders[[#This Row],[ProductID]],tblProducts[ProductID],tblProducts[Category],"not found")</f>
        <v>Beauty</v>
      </c>
      <c r="J1013">
        <f>_xlfn.XLOOKUP(tblOrders[[#This Row],[ProductID]],tblProducts[ProductID],tblProducts[UnitPrice],"not found")</f>
        <v>32.61</v>
      </c>
      <c r="K1013" t="str">
        <f>_xlfn.XLOOKUP(tblOrders[[#This Row],[ProductID]],tblProducts[ProductID],tblProducts[Supplier],"not found")</f>
        <v>Faulkner, Wilson and Richards</v>
      </c>
      <c r="L1013" s="1" t="s">
        <v>2101</v>
      </c>
      <c r="M10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45456</v>
      </c>
      <c r="N1013">
        <v>1</v>
      </c>
      <c r="O1013">
        <v>32.61</v>
      </c>
      <c r="P1013">
        <f>tblOrders[[#This Row],[Quantity]]*tblOrders[[#This Row],[Unit Price]]</f>
        <v>32.61</v>
      </c>
      <c r="Q1013">
        <f>tblOrders[[#This Row],[TotalSales]]-tblOrders[[#This Row],[Calculated Sales]]</f>
        <v>0</v>
      </c>
    </row>
    <row r="1014" spans="1:17" x14ac:dyDescent="0.25">
      <c r="A1014">
        <v>175</v>
      </c>
      <c r="B1014">
        <v>440</v>
      </c>
      <c r="C1014" t="str">
        <f>_xlfn.XLOOKUP(tblOrders[[#This Row],[CustomerID]],tblCustomers[CustomerID],tblCustomers[CustomerName],"not found")</f>
        <v>Michael Fisher</v>
      </c>
      <c r="D1014">
        <f>_xlfn.XLOOKUP(tblOrders[[#This Row],[CustomerID]],tblCustomers[CustomerID],tblCustomers[Age],"not found")</f>
        <v>47</v>
      </c>
      <c r="E1014" t="str">
        <f>_xlfn.XLOOKUP(tblOrders[[#This Row],[CustomerID]],tblCustomers[CustomerID],tblCustomers[Gender],"not found")</f>
        <v>Female</v>
      </c>
      <c r="F1014" t="str">
        <f>_xlfn.XLOOKUP(tblOrders[[#This Row],[CustomerID]],tblCustomers[CustomerID],tblCustomers[Region],"not found")</f>
        <v>West</v>
      </c>
      <c r="G1014">
        <v>1027</v>
      </c>
      <c r="H1014" t="str">
        <f>_xlfn.XLOOKUP(tblOrders[[#This Row],[ProductID]],tblProducts[ProductID],tblProducts[ProductName],"not found")</f>
        <v>Debate</v>
      </c>
      <c r="I1014" t="str">
        <f>_xlfn.XLOOKUP(tblOrders[[#This Row],[ProductID]],tblProducts[ProductID],tblProducts[Category],"not found")</f>
        <v>Beauty</v>
      </c>
      <c r="J1014">
        <f>_xlfn.XLOOKUP(tblOrders[[#This Row],[ProductID]],tblProducts[ProductID],tblProducts[UnitPrice],"not found")</f>
        <v>32.61</v>
      </c>
      <c r="K1014" t="str">
        <f>_xlfn.XLOOKUP(tblOrders[[#This Row],[ProductID]],tblProducts[ProductID],tblProducts[Supplier],"not found")</f>
        <v>Faulkner, Wilson and Richards</v>
      </c>
      <c r="L1014" s="1" t="s">
        <v>2076</v>
      </c>
      <c r="M10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45376</v>
      </c>
      <c r="N1014">
        <v>9</v>
      </c>
      <c r="O1014">
        <v>293.49</v>
      </c>
      <c r="P1014">
        <f>tblOrders[[#This Row],[Quantity]]*tblOrders[[#This Row],[Unit Price]]</f>
        <v>293.49</v>
      </c>
      <c r="Q1014">
        <f>tblOrders[[#This Row],[TotalSales]]-tblOrders[[#This Row],[Calculated Sales]]</f>
        <v>0</v>
      </c>
    </row>
    <row r="1015" spans="1:17" x14ac:dyDescent="0.25">
      <c r="A1015">
        <v>200</v>
      </c>
      <c r="B1015">
        <v>33</v>
      </c>
      <c r="C1015" t="str">
        <f>_xlfn.XLOOKUP(tblOrders[[#This Row],[CustomerID]],tblCustomers[CustomerID],tblCustomers[CustomerName],"not found")</f>
        <v>Jared Hudson</v>
      </c>
      <c r="D1015">
        <f>_xlfn.XLOOKUP(tblOrders[[#This Row],[CustomerID]],tblCustomers[CustomerID],tblCustomers[Age],"not found")</f>
        <v>39</v>
      </c>
      <c r="E1015" t="str">
        <f>_xlfn.XLOOKUP(tblOrders[[#This Row],[CustomerID]],tblCustomers[CustomerID],tblCustomers[Gender],"not found")</f>
        <v>Female</v>
      </c>
      <c r="F1015" t="str">
        <f>_xlfn.XLOOKUP(tblOrders[[#This Row],[CustomerID]],tblCustomers[CustomerID],tblCustomers[Region],"not found")</f>
        <v>North</v>
      </c>
      <c r="G1015">
        <v>1027</v>
      </c>
      <c r="H1015" t="str">
        <f>_xlfn.XLOOKUP(tblOrders[[#This Row],[ProductID]],tblProducts[ProductID],tblProducts[ProductName],"not found")</f>
        <v>Debate</v>
      </c>
      <c r="I1015" t="str">
        <f>_xlfn.XLOOKUP(tblOrders[[#This Row],[ProductID]],tblProducts[ProductID],tblProducts[Category],"not found")</f>
        <v>Beauty</v>
      </c>
      <c r="J1015">
        <f>_xlfn.XLOOKUP(tblOrders[[#This Row],[ProductID]],tblProducts[ProductID],tblProducts[UnitPrice],"not found")</f>
        <v>32.61</v>
      </c>
      <c r="K1015" t="str">
        <f>_xlfn.XLOOKUP(tblOrders[[#This Row],[ProductID]],tblProducts[ProductID],tblProducts[Supplier],"not found")</f>
        <v>Faulkner, Wilson and Richards</v>
      </c>
      <c r="L1015" s="1">
        <v>45264</v>
      </c>
      <c r="M10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45264</v>
      </c>
      <c r="N1015">
        <v>1</v>
      </c>
      <c r="O1015">
        <v>32.61</v>
      </c>
      <c r="P1015">
        <f>tblOrders[[#This Row],[Quantity]]*tblOrders[[#This Row],[Unit Price]]</f>
        <v>32.61</v>
      </c>
      <c r="Q1015">
        <f>tblOrders[[#This Row],[TotalSales]]-tblOrders[[#This Row],[Calculated Sales]]</f>
        <v>0</v>
      </c>
    </row>
    <row r="1016" spans="1:17" x14ac:dyDescent="0.25">
      <c r="A1016">
        <v>253</v>
      </c>
      <c r="B1016">
        <v>763</v>
      </c>
      <c r="C1016" t="str">
        <f>_xlfn.XLOOKUP(tblOrders[[#This Row],[CustomerID]],tblCustomers[CustomerID],tblCustomers[CustomerName],"not found")</f>
        <v>Mario Thomas</v>
      </c>
      <c r="D1016">
        <f>_xlfn.XLOOKUP(tblOrders[[#This Row],[CustomerID]],tblCustomers[CustomerID],tblCustomers[Age],"not found")</f>
        <v>45</v>
      </c>
      <c r="E1016" t="str">
        <f>_xlfn.XLOOKUP(tblOrders[[#This Row],[CustomerID]],tblCustomers[CustomerID],tblCustomers[Gender],"not found")</f>
        <v>Male</v>
      </c>
      <c r="F1016" t="str">
        <f>_xlfn.XLOOKUP(tblOrders[[#This Row],[CustomerID]],tblCustomers[CustomerID],tblCustomers[Region],"not found")</f>
        <v>Central</v>
      </c>
      <c r="G1016">
        <v>1027</v>
      </c>
      <c r="H1016" t="str">
        <f>_xlfn.XLOOKUP(tblOrders[[#This Row],[ProductID]],tblProducts[ProductID],tblProducts[ProductName],"not found")</f>
        <v>Debate</v>
      </c>
      <c r="I1016" t="str">
        <f>_xlfn.XLOOKUP(tblOrders[[#This Row],[ProductID]],tblProducts[ProductID],tblProducts[Category],"not found")</f>
        <v>Beauty</v>
      </c>
      <c r="J1016">
        <f>_xlfn.XLOOKUP(tblOrders[[#This Row],[ProductID]],tblProducts[ProductID],tblProducts[UnitPrice],"not found")</f>
        <v>32.61</v>
      </c>
      <c r="K1016" t="str">
        <f>_xlfn.XLOOKUP(tblOrders[[#This Row],[ProductID]],tblProducts[ProductID],tblProducts[Supplier],"not found")</f>
        <v>Faulkner, Wilson and Richards</v>
      </c>
      <c r="L1016" s="1" t="s">
        <v>2342</v>
      </c>
      <c r="M10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45064</v>
      </c>
      <c r="N1016">
        <v>1</v>
      </c>
      <c r="O1016">
        <v>32.61</v>
      </c>
      <c r="P1016">
        <f>tblOrders[[#This Row],[Quantity]]*tblOrders[[#This Row],[Unit Price]]</f>
        <v>32.61</v>
      </c>
      <c r="Q1016">
        <f>tblOrders[[#This Row],[TotalSales]]-tblOrders[[#This Row],[Calculated Sales]]</f>
        <v>0</v>
      </c>
    </row>
    <row r="1017" spans="1:17" x14ac:dyDescent="0.25">
      <c r="A1017">
        <v>436</v>
      </c>
      <c r="B1017">
        <v>485</v>
      </c>
      <c r="C1017" t="str">
        <f>_xlfn.XLOOKUP(tblOrders[[#This Row],[CustomerID]],tblCustomers[CustomerID],tblCustomers[CustomerName],"not found")</f>
        <v>Christina Stewart</v>
      </c>
      <c r="D1017">
        <f>_xlfn.XLOOKUP(tblOrders[[#This Row],[CustomerID]],tblCustomers[CustomerID],tblCustomers[Age],"not found")</f>
        <v>51</v>
      </c>
      <c r="E1017" t="str">
        <f>_xlfn.XLOOKUP(tblOrders[[#This Row],[CustomerID]],tblCustomers[CustomerID],tblCustomers[Gender],"not found")</f>
        <v>Female</v>
      </c>
      <c r="F1017" t="str">
        <f>_xlfn.XLOOKUP(tblOrders[[#This Row],[CustomerID]],tblCustomers[CustomerID],tblCustomers[Region],"not found")</f>
        <v>Central</v>
      </c>
      <c r="G1017">
        <v>1027</v>
      </c>
      <c r="H1017" t="str">
        <f>_xlfn.XLOOKUP(tblOrders[[#This Row],[ProductID]],tblProducts[ProductID],tblProducts[ProductName],"not found")</f>
        <v>Debate</v>
      </c>
      <c r="I1017" t="str">
        <f>_xlfn.XLOOKUP(tblOrders[[#This Row],[ProductID]],tblProducts[ProductID],tblProducts[Category],"not found")</f>
        <v>Beauty</v>
      </c>
      <c r="J1017">
        <f>_xlfn.XLOOKUP(tblOrders[[#This Row],[ProductID]],tblProducts[ProductID],tblProducts[UnitPrice],"not found")</f>
        <v>32.61</v>
      </c>
      <c r="K1017" t="str">
        <f>_xlfn.XLOOKUP(tblOrders[[#This Row],[ProductID]],tblProducts[ProductID],tblProducts[Supplier],"not found")</f>
        <v>Faulkner, Wilson and Richards</v>
      </c>
      <c r="L1017" s="1">
        <v>45264</v>
      </c>
      <c r="M10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45264</v>
      </c>
      <c r="N1017">
        <v>4</v>
      </c>
      <c r="O1017">
        <v>130.44</v>
      </c>
      <c r="P1017">
        <f>tblOrders[[#This Row],[Quantity]]*tblOrders[[#This Row],[Unit Price]]</f>
        <v>130.44</v>
      </c>
      <c r="Q1017">
        <f>tblOrders[[#This Row],[TotalSales]]-tblOrders[[#This Row],[Calculated Sales]]</f>
        <v>0</v>
      </c>
    </row>
    <row r="1018" spans="1:17" x14ac:dyDescent="0.25">
      <c r="A1018">
        <v>456</v>
      </c>
      <c r="B1018">
        <v>356</v>
      </c>
      <c r="C1018" t="str">
        <f>_xlfn.XLOOKUP(tblOrders[[#This Row],[CustomerID]],tblCustomers[CustomerID],tblCustomers[CustomerName],"not found")</f>
        <v>Justin Moreno</v>
      </c>
      <c r="D1018">
        <f>_xlfn.XLOOKUP(tblOrders[[#This Row],[CustomerID]],tblCustomers[CustomerID],tblCustomers[Age],"not found")</f>
        <v>35</v>
      </c>
      <c r="E1018" t="str">
        <f>_xlfn.XLOOKUP(tblOrders[[#This Row],[CustomerID]],tblCustomers[CustomerID],tblCustomers[Gender],"not found")</f>
        <v>Female</v>
      </c>
      <c r="F1018" t="str">
        <f>_xlfn.XLOOKUP(tblOrders[[#This Row],[CustomerID]],tblCustomers[CustomerID],tblCustomers[Region],"not found")</f>
        <v>East</v>
      </c>
      <c r="G1018">
        <v>1027</v>
      </c>
      <c r="H1018" t="str">
        <f>_xlfn.XLOOKUP(tblOrders[[#This Row],[ProductID]],tblProducts[ProductID],tblProducts[ProductName],"not found")</f>
        <v>Debate</v>
      </c>
      <c r="I1018" t="str">
        <f>_xlfn.XLOOKUP(tblOrders[[#This Row],[ProductID]],tblProducts[ProductID],tblProducts[Category],"not found")</f>
        <v>Beauty</v>
      </c>
      <c r="J1018">
        <f>_xlfn.XLOOKUP(tblOrders[[#This Row],[ProductID]],tblProducts[ProductID],tblProducts[UnitPrice],"not found")</f>
        <v>32.61</v>
      </c>
      <c r="K1018" t="str">
        <f>_xlfn.XLOOKUP(tblOrders[[#This Row],[ProductID]],tblProducts[ProductID],tblProducts[Supplier],"not found")</f>
        <v>Faulkner, Wilson and Richards</v>
      </c>
      <c r="L1018" s="1" t="s">
        <v>2240</v>
      </c>
      <c r="M10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45037</v>
      </c>
      <c r="N1018">
        <v>5</v>
      </c>
      <c r="O1018">
        <v>163.05000000000001</v>
      </c>
      <c r="P1018">
        <f>tblOrders[[#This Row],[Quantity]]*tblOrders[[#This Row],[Unit Price]]</f>
        <v>163.05000000000001</v>
      </c>
      <c r="Q1018">
        <f>tblOrders[[#This Row],[TotalSales]]-tblOrders[[#This Row],[Calculated Sales]]</f>
        <v>0</v>
      </c>
    </row>
    <row r="1019" spans="1:17" x14ac:dyDescent="0.25">
      <c r="A1019">
        <v>731</v>
      </c>
      <c r="B1019">
        <v>918</v>
      </c>
      <c r="C1019" t="str">
        <f>_xlfn.XLOOKUP(tblOrders[[#This Row],[CustomerID]],tblCustomers[CustomerID],tblCustomers[CustomerName],"not found")</f>
        <v>Erin Robinson</v>
      </c>
      <c r="D1019">
        <f>_xlfn.XLOOKUP(tblOrders[[#This Row],[CustomerID]],tblCustomers[CustomerID],tblCustomers[Age],"not found")</f>
        <v>67</v>
      </c>
      <c r="E1019" t="str">
        <f>_xlfn.XLOOKUP(tblOrders[[#This Row],[CustomerID]],tblCustomers[CustomerID],tblCustomers[Gender],"not found")</f>
        <v>Male</v>
      </c>
      <c r="F1019" t="str">
        <f>_xlfn.XLOOKUP(tblOrders[[#This Row],[CustomerID]],tblCustomers[CustomerID],tblCustomers[Region],"not found")</f>
        <v>South</v>
      </c>
      <c r="G1019">
        <v>1027</v>
      </c>
      <c r="H1019" t="str">
        <f>_xlfn.XLOOKUP(tblOrders[[#This Row],[ProductID]],tblProducts[ProductID],tblProducts[ProductName],"not found")</f>
        <v>Debate</v>
      </c>
      <c r="I1019" t="str">
        <f>_xlfn.XLOOKUP(tblOrders[[#This Row],[ProductID]],tblProducts[ProductID],tblProducts[Category],"not found")</f>
        <v>Beauty</v>
      </c>
      <c r="J1019">
        <f>_xlfn.XLOOKUP(tblOrders[[#This Row],[ProductID]],tblProducts[ProductID],tblProducts[UnitPrice],"not found")</f>
        <v>32.61</v>
      </c>
      <c r="K1019" t="str">
        <f>_xlfn.XLOOKUP(tblOrders[[#This Row],[ProductID]],tblProducts[ProductID],tblProducts[Supplier],"not found")</f>
        <v>Faulkner, Wilson and Richards</v>
      </c>
      <c r="L1019" s="1" t="s">
        <v>2343</v>
      </c>
      <c r="M10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44957</v>
      </c>
      <c r="N1019">
        <v>9</v>
      </c>
      <c r="O1019">
        <v>293.49</v>
      </c>
      <c r="P1019">
        <f>tblOrders[[#This Row],[Quantity]]*tblOrders[[#This Row],[Unit Price]]</f>
        <v>293.49</v>
      </c>
      <c r="Q1019">
        <f>tblOrders[[#This Row],[TotalSales]]-tblOrders[[#This Row],[Calculated Sales]]</f>
        <v>0</v>
      </c>
    </row>
    <row r="1020" spans="1:17" x14ac:dyDescent="0.25">
      <c r="A1020">
        <v>895</v>
      </c>
      <c r="B1020">
        <v>452</v>
      </c>
      <c r="C1020" t="str">
        <f>_xlfn.XLOOKUP(tblOrders[[#This Row],[CustomerID]],tblCustomers[CustomerID],tblCustomers[CustomerName],"not found")</f>
        <v>Jennifer Morgan</v>
      </c>
      <c r="D1020">
        <f>_xlfn.XLOOKUP(tblOrders[[#This Row],[CustomerID]],tblCustomers[CustomerID],tblCustomers[Age],"not found")</f>
        <v>69</v>
      </c>
      <c r="E1020" t="str">
        <f>_xlfn.XLOOKUP(tblOrders[[#This Row],[CustomerID]],tblCustomers[CustomerID],tblCustomers[Gender],"not found")</f>
        <v>Male</v>
      </c>
      <c r="F1020" t="str">
        <f>_xlfn.XLOOKUP(tblOrders[[#This Row],[CustomerID]],tblCustomers[CustomerID],tblCustomers[Region],"not found")</f>
        <v>East</v>
      </c>
      <c r="G1020">
        <v>1027</v>
      </c>
      <c r="H1020" t="str">
        <f>_xlfn.XLOOKUP(tblOrders[[#This Row],[ProductID]],tblProducts[ProductID],tblProducts[ProductName],"not found")</f>
        <v>Debate</v>
      </c>
      <c r="I1020" t="str">
        <f>_xlfn.XLOOKUP(tblOrders[[#This Row],[ProductID]],tblProducts[ProductID],tblProducts[Category],"not found")</f>
        <v>Beauty</v>
      </c>
      <c r="J1020">
        <f>_xlfn.XLOOKUP(tblOrders[[#This Row],[ProductID]],tblProducts[ProductID],tblProducts[UnitPrice],"not found")</f>
        <v>32.61</v>
      </c>
      <c r="K1020" t="str">
        <f>_xlfn.XLOOKUP(tblOrders[[#This Row],[ProductID]],tblProducts[ProductID],tblProducts[Supplier],"not found")</f>
        <v>Faulkner, Wilson and Richards</v>
      </c>
      <c r="L1020" s="1" t="s">
        <v>2344</v>
      </c>
      <c r="M10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45347</v>
      </c>
      <c r="N1020">
        <v>6</v>
      </c>
      <c r="O1020">
        <v>195.66</v>
      </c>
      <c r="P1020">
        <f>tblOrders[[#This Row],[Quantity]]*tblOrders[[#This Row],[Unit Price]]</f>
        <v>195.66</v>
      </c>
      <c r="Q1020">
        <f>tblOrders[[#This Row],[TotalSales]]-tblOrders[[#This Row],[Calculated Sales]]</f>
        <v>0</v>
      </c>
    </row>
    <row r="1021" spans="1:17" x14ac:dyDescent="0.25">
      <c r="A1021">
        <v>967</v>
      </c>
      <c r="B1021">
        <v>659</v>
      </c>
      <c r="C1021" t="str">
        <f>_xlfn.XLOOKUP(tblOrders[[#This Row],[CustomerID]],tblCustomers[CustomerID],tblCustomers[CustomerName],"not found")</f>
        <v>Tommy Haas</v>
      </c>
      <c r="D1021">
        <f>_xlfn.XLOOKUP(tblOrders[[#This Row],[CustomerID]],tblCustomers[CustomerID],tblCustomers[Age],"not found")</f>
        <v>28</v>
      </c>
      <c r="E1021" t="str">
        <f>_xlfn.XLOOKUP(tblOrders[[#This Row],[CustomerID]],tblCustomers[CustomerID],tblCustomers[Gender],"not found")</f>
        <v>Female</v>
      </c>
      <c r="F1021" t="str">
        <f>_xlfn.XLOOKUP(tblOrders[[#This Row],[CustomerID]],tblCustomers[CustomerID],tblCustomers[Region],"not found")</f>
        <v>Central</v>
      </c>
      <c r="G1021">
        <v>1027</v>
      </c>
      <c r="H1021" t="str">
        <f>_xlfn.XLOOKUP(tblOrders[[#This Row],[ProductID]],tblProducts[ProductID],tblProducts[ProductName],"not found")</f>
        <v>Debate</v>
      </c>
      <c r="I1021" t="str">
        <f>_xlfn.XLOOKUP(tblOrders[[#This Row],[ProductID]],tblProducts[ProductID],tblProducts[Category],"not found")</f>
        <v>Beauty</v>
      </c>
      <c r="J1021">
        <f>_xlfn.XLOOKUP(tblOrders[[#This Row],[ProductID]],tblProducts[ProductID],tblProducts[UnitPrice],"not found")</f>
        <v>32.61</v>
      </c>
      <c r="K1021" t="str">
        <f>_xlfn.XLOOKUP(tblOrders[[#This Row],[ProductID]],tblProducts[ProductID],tblProducts[Supplier],"not found")</f>
        <v>Faulkner, Wilson and Richards</v>
      </c>
      <c r="L1021" s="1" t="s">
        <v>2194</v>
      </c>
      <c r="M10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45531</v>
      </c>
      <c r="N1021">
        <v>2</v>
      </c>
      <c r="O1021">
        <v>65.22</v>
      </c>
      <c r="P1021">
        <f>tblOrders[[#This Row],[Quantity]]*tblOrders[[#This Row],[Unit Price]]</f>
        <v>65.22</v>
      </c>
      <c r="Q1021">
        <f>tblOrders[[#This Row],[TotalSales]]-tblOrders[[#This Row],[Calculated Sales]]</f>
        <v>0</v>
      </c>
    </row>
    <row r="1022" spans="1:17" x14ac:dyDescent="0.25">
      <c r="A1022">
        <v>991</v>
      </c>
      <c r="B1022">
        <v>718</v>
      </c>
      <c r="C1022" t="str">
        <f>_xlfn.XLOOKUP(tblOrders[[#This Row],[CustomerID]],tblCustomers[CustomerID],tblCustomers[CustomerName],"not found")</f>
        <v>Mike Mcknight</v>
      </c>
      <c r="D1022">
        <f>_xlfn.XLOOKUP(tblOrders[[#This Row],[CustomerID]],tblCustomers[CustomerID],tblCustomers[Age],"not found")</f>
        <v>65</v>
      </c>
      <c r="E1022" t="str">
        <f>_xlfn.XLOOKUP(tblOrders[[#This Row],[CustomerID]],tblCustomers[CustomerID],tblCustomers[Gender],"not found")</f>
        <v>Male</v>
      </c>
      <c r="F1022" t="str">
        <f>_xlfn.XLOOKUP(tblOrders[[#This Row],[CustomerID]],tblCustomers[CustomerID],tblCustomers[Region],"not found")</f>
        <v>West</v>
      </c>
      <c r="G1022">
        <v>1027</v>
      </c>
      <c r="H1022" t="str">
        <f>_xlfn.XLOOKUP(tblOrders[[#This Row],[ProductID]],tblProducts[ProductID],tblProducts[ProductName],"not found")</f>
        <v>Debate</v>
      </c>
      <c r="I1022" t="str">
        <f>_xlfn.XLOOKUP(tblOrders[[#This Row],[ProductID]],tblProducts[ProductID],tblProducts[Category],"not found")</f>
        <v>Beauty</v>
      </c>
      <c r="J1022">
        <f>_xlfn.XLOOKUP(tblOrders[[#This Row],[ProductID]],tblProducts[ProductID],tblProducts[UnitPrice],"not found")</f>
        <v>32.61</v>
      </c>
      <c r="K1022" t="str">
        <f>_xlfn.XLOOKUP(tblOrders[[#This Row],[ProductID]],tblProducts[ProductID],tblProducts[Supplier],"not found")</f>
        <v>Faulkner, Wilson and Richards</v>
      </c>
      <c r="L1022" s="1" t="s">
        <v>2264</v>
      </c>
      <c r="M10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45527</v>
      </c>
      <c r="N1022">
        <v>8</v>
      </c>
      <c r="O1022">
        <v>260.88</v>
      </c>
      <c r="P1022">
        <f>tblOrders[[#This Row],[Quantity]]*tblOrders[[#This Row],[Unit Price]]</f>
        <v>260.88</v>
      </c>
      <c r="Q1022">
        <f>tblOrders[[#This Row],[TotalSales]]-tblOrders[[#This Row],[Calculated Sales]]</f>
        <v>0</v>
      </c>
    </row>
    <row r="1023" spans="1:17" x14ac:dyDescent="0.25">
      <c r="A1023">
        <v>1025</v>
      </c>
      <c r="B1023">
        <v>68</v>
      </c>
      <c r="C1023" t="str">
        <f>_xlfn.XLOOKUP(tblOrders[[#This Row],[CustomerID]],tblCustomers[CustomerID],tblCustomers[CustomerName],"not found")</f>
        <v>Alex Walker</v>
      </c>
      <c r="D1023">
        <f>_xlfn.XLOOKUP(tblOrders[[#This Row],[CustomerID]],tblCustomers[CustomerID],tblCustomers[Age],"not found")</f>
        <v>54</v>
      </c>
      <c r="E1023" t="str">
        <f>_xlfn.XLOOKUP(tblOrders[[#This Row],[CustomerID]],tblCustomers[CustomerID],tblCustomers[Gender],"not found")</f>
        <v>Male</v>
      </c>
      <c r="F1023" t="str">
        <f>_xlfn.XLOOKUP(tblOrders[[#This Row],[CustomerID]],tblCustomers[CustomerID],tblCustomers[Region],"not found")</f>
        <v>West</v>
      </c>
      <c r="G1023">
        <v>1027</v>
      </c>
      <c r="H1023" t="str">
        <f>_xlfn.XLOOKUP(tblOrders[[#This Row],[ProductID]],tblProducts[ProductID],tblProducts[ProductName],"not found")</f>
        <v>Debate</v>
      </c>
      <c r="I1023" t="str">
        <f>_xlfn.XLOOKUP(tblOrders[[#This Row],[ProductID]],tblProducts[ProductID],tblProducts[Category],"not found")</f>
        <v>Beauty</v>
      </c>
      <c r="J1023">
        <f>_xlfn.XLOOKUP(tblOrders[[#This Row],[ProductID]],tblProducts[ProductID],tblProducts[UnitPrice],"not found")</f>
        <v>32.61</v>
      </c>
      <c r="K1023" t="str">
        <f>_xlfn.XLOOKUP(tblOrders[[#This Row],[ProductID]],tblProducts[ProductID],tblProducts[Supplier],"not found")</f>
        <v>Faulkner, Wilson and Richards</v>
      </c>
      <c r="L1023" s="1">
        <v>45052</v>
      </c>
      <c r="M10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45052</v>
      </c>
      <c r="N1023">
        <v>2</v>
      </c>
      <c r="O1023">
        <v>65.22</v>
      </c>
      <c r="P1023">
        <f>tblOrders[[#This Row],[Quantity]]*tblOrders[[#This Row],[Unit Price]]</f>
        <v>65.22</v>
      </c>
      <c r="Q1023">
        <f>tblOrders[[#This Row],[TotalSales]]-tblOrders[[#This Row],[Calculated Sales]]</f>
        <v>0</v>
      </c>
    </row>
    <row r="1024" spans="1:17" x14ac:dyDescent="0.25">
      <c r="A1024">
        <v>1040</v>
      </c>
      <c r="B1024">
        <v>524</v>
      </c>
      <c r="C1024" t="str">
        <f>_xlfn.XLOOKUP(tblOrders[[#This Row],[CustomerID]],tblCustomers[CustomerID],tblCustomers[CustomerName],"not found")</f>
        <v>Tracey Tyler</v>
      </c>
      <c r="D1024">
        <f>_xlfn.XLOOKUP(tblOrders[[#This Row],[CustomerID]],tblCustomers[CustomerID],tblCustomers[Age],"not found")</f>
        <v>42</v>
      </c>
      <c r="E1024" t="str">
        <f>_xlfn.XLOOKUP(tblOrders[[#This Row],[CustomerID]],tblCustomers[CustomerID],tblCustomers[Gender],"not found")</f>
        <v>Female</v>
      </c>
      <c r="F1024" t="str">
        <f>_xlfn.XLOOKUP(tblOrders[[#This Row],[CustomerID]],tblCustomers[CustomerID],tblCustomers[Region],"not found")</f>
        <v>Central</v>
      </c>
      <c r="G1024">
        <v>1027</v>
      </c>
      <c r="H1024" t="str">
        <f>_xlfn.XLOOKUP(tblOrders[[#This Row],[ProductID]],tblProducts[ProductID],tblProducts[ProductName],"not found")</f>
        <v>Debate</v>
      </c>
      <c r="I1024" t="str">
        <f>_xlfn.XLOOKUP(tblOrders[[#This Row],[ProductID]],tblProducts[ProductID],tblProducts[Category],"not found")</f>
        <v>Beauty</v>
      </c>
      <c r="J1024">
        <f>_xlfn.XLOOKUP(tblOrders[[#This Row],[ProductID]],tblProducts[ProductID],tblProducts[UnitPrice],"not found")</f>
        <v>32.61</v>
      </c>
      <c r="K1024" t="str">
        <f>_xlfn.XLOOKUP(tblOrders[[#This Row],[ProductID]],tblProducts[ProductID],tblProducts[Supplier],"not found")</f>
        <v>Faulkner, Wilson and Richards</v>
      </c>
      <c r="L1024" s="1" t="s">
        <v>2159</v>
      </c>
      <c r="M10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45130</v>
      </c>
      <c r="N1024">
        <v>4</v>
      </c>
      <c r="O1024">
        <v>130.44</v>
      </c>
      <c r="P1024">
        <f>tblOrders[[#This Row],[Quantity]]*tblOrders[[#This Row],[Unit Price]]</f>
        <v>130.44</v>
      </c>
      <c r="Q1024">
        <f>tblOrders[[#This Row],[TotalSales]]-tblOrders[[#This Row],[Calculated Sales]]</f>
        <v>0</v>
      </c>
    </row>
    <row r="1025" spans="1:17" x14ac:dyDescent="0.25">
      <c r="A1025">
        <v>1072</v>
      </c>
      <c r="B1025">
        <v>393</v>
      </c>
      <c r="C1025" t="str">
        <f>_xlfn.XLOOKUP(tblOrders[[#This Row],[CustomerID]],tblCustomers[CustomerID],tblCustomers[CustomerName],"not found")</f>
        <v>Kenneth Stone</v>
      </c>
      <c r="D1025">
        <f>_xlfn.XLOOKUP(tblOrders[[#This Row],[CustomerID]],tblCustomers[CustomerID],tblCustomers[Age],"not found")</f>
        <v>20</v>
      </c>
      <c r="E1025" t="str">
        <f>_xlfn.XLOOKUP(tblOrders[[#This Row],[CustomerID]],tblCustomers[CustomerID],tblCustomers[Gender],"not found")</f>
        <v>Female</v>
      </c>
      <c r="F1025" t="str">
        <f>_xlfn.XLOOKUP(tblOrders[[#This Row],[CustomerID]],tblCustomers[CustomerID],tblCustomers[Region],"not found")</f>
        <v>South</v>
      </c>
      <c r="G1025">
        <v>1027</v>
      </c>
      <c r="H1025" t="str">
        <f>_xlfn.XLOOKUP(tblOrders[[#This Row],[ProductID]],tblProducts[ProductID],tblProducts[ProductName],"not found")</f>
        <v>Debate</v>
      </c>
      <c r="I1025" t="str">
        <f>_xlfn.XLOOKUP(tblOrders[[#This Row],[ProductID]],tblProducts[ProductID],tblProducts[Category],"not found")</f>
        <v>Beauty</v>
      </c>
      <c r="J1025">
        <f>_xlfn.XLOOKUP(tblOrders[[#This Row],[ProductID]],tblProducts[ProductID],tblProducts[UnitPrice],"not found")</f>
        <v>32.61</v>
      </c>
      <c r="K1025" t="str">
        <f>_xlfn.XLOOKUP(tblOrders[[#This Row],[ProductID]],tblProducts[ProductID],tblProducts[Supplier],"not found")</f>
        <v>Faulkner, Wilson and Richards</v>
      </c>
      <c r="L1025" s="1" t="s">
        <v>2345</v>
      </c>
      <c r="M10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45585</v>
      </c>
      <c r="N1025">
        <v>1</v>
      </c>
      <c r="O1025">
        <v>32.61</v>
      </c>
      <c r="P1025">
        <f>tblOrders[[#This Row],[Quantity]]*tblOrders[[#This Row],[Unit Price]]</f>
        <v>32.61</v>
      </c>
      <c r="Q1025">
        <f>tblOrders[[#This Row],[TotalSales]]-tblOrders[[#This Row],[Calculated Sales]]</f>
        <v>0</v>
      </c>
    </row>
    <row r="1026" spans="1:17" x14ac:dyDescent="0.25">
      <c r="A1026">
        <v>1121</v>
      </c>
      <c r="B1026">
        <v>169</v>
      </c>
      <c r="C1026" t="str">
        <f>_xlfn.XLOOKUP(tblOrders[[#This Row],[CustomerID]],tblCustomers[CustomerID],tblCustomers[CustomerName],"not found")</f>
        <v>Susan Li</v>
      </c>
      <c r="D1026">
        <f>_xlfn.XLOOKUP(tblOrders[[#This Row],[CustomerID]],tblCustomers[CustomerID],tblCustomers[Age],"not found")</f>
        <v>40</v>
      </c>
      <c r="E1026" t="str">
        <f>_xlfn.XLOOKUP(tblOrders[[#This Row],[CustomerID]],tblCustomers[CustomerID],tblCustomers[Gender],"not found")</f>
        <v>Female</v>
      </c>
      <c r="F1026" t="str">
        <f>_xlfn.XLOOKUP(tblOrders[[#This Row],[CustomerID]],tblCustomers[CustomerID],tblCustomers[Region],"not found")</f>
        <v>East</v>
      </c>
      <c r="G1026">
        <v>1027</v>
      </c>
      <c r="H1026" t="str">
        <f>_xlfn.XLOOKUP(tblOrders[[#This Row],[ProductID]],tblProducts[ProductID],tblProducts[ProductName],"not found")</f>
        <v>Debate</v>
      </c>
      <c r="I1026" t="str">
        <f>_xlfn.XLOOKUP(tblOrders[[#This Row],[ProductID]],tblProducts[ProductID],tblProducts[Category],"not found")</f>
        <v>Beauty</v>
      </c>
      <c r="J1026">
        <f>_xlfn.XLOOKUP(tblOrders[[#This Row],[ProductID]],tblProducts[ProductID],tblProducts[UnitPrice],"not found")</f>
        <v>32.61</v>
      </c>
      <c r="K1026" t="str">
        <f>_xlfn.XLOOKUP(tblOrders[[#This Row],[ProductID]],tblProducts[ProductID],tblProducts[Supplier],"not found")</f>
        <v>Faulkner, Wilson and Richards</v>
      </c>
      <c r="L1026" s="1" t="s">
        <v>2216</v>
      </c>
      <c r="M10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45526</v>
      </c>
      <c r="N1026">
        <v>1</v>
      </c>
      <c r="O1026">
        <v>32.61</v>
      </c>
      <c r="P1026">
        <f>tblOrders[[#This Row],[Quantity]]*tblOrders[[#This Row],[Unit Price]]</f>
        <v>32.61</v>
      </c>
      <c r="Q1026">
        <f>tblOrders[[#This Row],[TotalSales]]-tblOrders[[#This Row],[Calculated Sales]]</f>
        <v>0</v>
      </c>
    </row>
    <row r="1027" spans="1:17" x14ac:dyDescent="0.25">
      <c r="A1027">
        <v>1122</v>
      </c>
      <c r="B1027">
        <v>661</v>
      </c>
      <c r="C1027" t="str">
        <f>_xlfn.XLOOKUP(tblOrders[[#This Row],[CustomerID]],tblCustomers[CustomerID],tblCustomers[CustomerName],"not found")</f>
        <v>Eric Sanchez</v>
      </c>
      <c r="D1027">
        <f>_xlfn.XLOOKUP(tblOrders[[#This Row],[CustomerID]],tblCustomers[CustomerID],tblCustomers[Age],"not found")</f>
        <v>24</v>
      </c>
      <c r="E1027" t="str">
        <f>_xlfn.XLOOKUP(tblOrders[[#This Row],[CustomerID]],tblCustomers[CustomerID],tblCustomers[Gender],"not found")</f>
        <v>Female</v>
      </c>
      <c r="F1027" t="str">
        <f>_xlfn.XLOOKUP(tblOrders[[#This Row],[CustomerID]],tblCustomers[CustomerID],tblCustomers[Region],"not found")</f>
        <v>East</v>
      </c>
      <c r="G1027">
        <v>1027</v>
      </c>
      <c r="H1027" t="str">
        <f>_xlfn.XLOOKUP(tblOrders[[#This Row],[ProductID]],tblProducts[ProductID],tblProducts[ProductName],"not found")</f>
        <v>Debate</v>
      </c>
      <c r="I1027" t="str">
        <f>_xlfn.XLOOKUP(tblOrders[[#This Row],[ProductID]],tblProducts[ProductID],tblProducts[Category],"not found")</f>
        <v>Beauty</v>
      </c>
      <c r="J1027">
        <f>_xlfn.XLOOKUP(tblOrders[[#This Row],[ProductID]],tblProducts[ProductID],tblProducts[UnitPrice],"not found")</f>
        <v>32.61</v>
      </c>
      <c r="K1027" t="str">
        <f>_xlfn.XLOOKUP(tblOrders[[#This Row],[ProductID]],tblProducts[ProductID],tblProducts[Supplier],"not found")</f>
        <v>Faulkner, Wilson and Richards</v>
      </c>
      <c r="L1027" s="1" t="s">
        <v>2188</v>
      </c>
      <c r="M10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1027">
        <v>4</v>
      </c>
      <c r="O1027">
        <v>130.44</v>
      </c>
      <c r="P1027">
        <f>tblOrders[[#This Row],[Quantity]]*tblOrders[[#This Row],[Unit Price]]</f>
        <v>130.44</v>
      </c>
      <c r="Q1027">
        <f>tblOrders[[#This Row],[TotalSales]]-tblOrders[[#This Row],[Calculated Sales]]</f>
        <v>0</v>
      </c>
    </row>
    <row r="1028" spans="1:17" x14ac:dyDescent="0.25">
      <c r="A1028">
        <v>1151</v>
      </c>
      <c r="B1028">
        <v>986</v>
      </c>
      <c r="C1028" t="str">
        <f>_xlfn.XLOOKUP(tblOrders[[#This Row],[CustomerID]],tblCustomers[CustomerID],tblCustomers[CustomerName],"not found")</f>
        <v>Jonathan Miller</v>
      </c>
      <c r="D1028">
        <f>_xlfn.XLOOKUP(tblOrders[[#This Row],[CustomerID]],tblCustomers[CustomerID],tblCustomers[Age],"not found")</f>
        <v>38</v>
      </c>
      <c r="E1028" t="str">
        <f>_xlfn.XLOOKUP(tblOrders[[#This Row],[CustomerID]],tblCustomers[CustomerID],tblCustomers[Gender],"not found")</f>
        <v>Male</v>
      </c>
      <c r="F1028" t="str">
        <f>_xlfn.XLOOKUP(tblOrders[[#This Row],[CustomerID]],tblCustomers[CustomerID],tblCustomers[Region],"not found")</f>
        <v>Central</v>
      </c>
      <c r="G1028">
        <v>1027</v>
      </c>
      <c r="H1028" t="str">
        <f>_xlfn.XLOOKUP(tblOrders[[#This Row],[ProductID]],tblProducts[ProductID],tblProducts[ProductName],"not found")</f>
        <v>Debate</v>
      </c>
      <c r="I1028" t="str">
        <f>_xlfn.XLOOKUP(tblOrders[[#This Row],[ProductID]],tblProducts[ProductID],tblProducts[Category],"not found")</f>
        <v>Beauty</v>
      </c>
      <c r="J1028">
        <f>_xlfn.XLOOKUP(tblOrders[[#This Row],[ProductID]],tblProducts[ProductID],tblProducts[UnitPrice],"not found")</f>
        <v>32.61</v>
      </c>
      <c r="K1028" t="str">
        <f>_xlfn.XLOOKUP(tblOrders[[#This Row],[ProductID]],tblProducts[ProductID],tblProducts[Supplier],"not found")</f>
        <v>Faulkner, Wilson and Richards</v>
      </c>
      <c r="L1028" s="1">
        <v>44784</v>
      </c>
      <c r="M10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44784</v>
      </c>
      <c r="N1028">
        <v>9</v>
      </c>
      <c r="O1028">
        <v>293.49</v>
      </c>
      <c r="P1028">
        <f>tblOrders[[#This Row],[Quantity]]*tblOrders[[#This Row],[Unit Price]]</f>
        <v>293.49</v>
      </c>
      <c r="Q1028">
        <f>tblOrders[[#This Row],[TotalSales]]-tblOrders[[#This Row],[Calculated Sales]]</f>
        <v>0</v>
      </c>
    </row>
    <row r="1029" spans="1:17" x14ac:dyDescent="0.25">
      <c r="A1029">
        <v>1154</v>
      </c>
      <c r="B1029">
        <v>866</v>
      </c>
      <c r="C1029" t="str">
        <f>_xlfn.XLOOKUP(tblOrders[[#This Row],[CustomerID]],tblCustomers[CustomerID],tblCustomers[CustomerName],"not found")</f>
        <v>Mrs. Linda Harrison MD</v>
      </c>
      <c r="D1029">
        <f>_xlfn.XLOOKUP(tblOrders[[#This Row],[CustomerID]],tblCustomers[CustomerID],tblCustomers[Age],"not found")</f>
        <v>27</v>
      </c>
      <c r="E1029" t="str">
        <f>_xlfn.XLOOKUP(tblOrders[[#This Row],[CustomerID]],tblCustomers[CustomerID],tblCustomers[Gender],"not found")</f>
        <v>Male</v>
      </c>
      <c r="F1029" t="str">
        <f>_xlfn.XLOOKUP(tblOrders[[#This Row],[CustomerID]],tblCustomers[CustomerID],tblCustomers[Region],"not found")</f>
        <v>North</v>
      </c>
      <c r="G1029">
        <v>1027</v>
      </c>
      <c r="H1029" t="str">
        <f>_xlfn.XLOOKUP(tblOrders[[#This Row],[ProductID]],tblProducts[ProductID],tblProducts[ProductName],"not found")</f>
        <v>Debate</v>
      </c>
      <c r="I1029" t="str">
        <f>_xlfn.XLOOKUP(tblOrders[[#This Row],[ProductID]],tblProducts[ProductID],tblProducts[Category],"not found")</f>
        <v>Beauty</v>
      </c>
      <c r="J1029">
        <f>_xlfn.XLOOKUP(tblOrders[[#This Row],[ProductID]],tblProducts[ProductID],tblProducts[UnitPrice],"not found")</f>
        <v>32.61</v>
      </c>
      <c r="K1029" t="str">
        <f>_xlfn.XLOOKUP(tblOrders[[#This Row],[ProductID]],tblProducts[ProductID],tblProducts[Supplier],"not found")</f>
        <v>Faulkner, Wilson and Richards</v>
      </c>
      <c r="L1029" s="1" t="s">
        <v>2081</v>
      </c>
      <c r="M10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1029">
        <v>4</v>
      </c>
      <c r="O1029">
        <v>130.44</v>
      </c>
      <c r="P1029">
        <f>tblOrders[[#This Row],[Quantity]]*tblOrders[[#This Row],[Unit Price]]</f>
        <v>130.44</v>
      </c>
      <c r="Q1029">
        <f>tblOrders[[#This Row],[TotalSales]]-tblOrders[[#This Row],[Calculated Sales]]</f>
        <v>0</v>
      </c>
    </row>
    <row r="1030" spans="1:17" x14ac:dyDescent="0.25">
      <c r="A1030">
        <v>1486</v>
      </c>
      <c r="B1030">
        <v>114</v>
      </c>
      <c r="C1030" t="str">
        <f>_xlfn.XLOOKUP(tblOrders[[#This Row],[CustomerID]],tblCustomers[CustomerID],tblCustomers[CustomerName],"not found")</f>
        <v>Daniel Perez</v>
      </c>
      <c r="D1030">
        <f>_xlfn.XLOOKUP(tblOrders[[#This Row],[CustomerID]],tblCustomers[CustomerID],tblCustomers[Age],"not found")</f>
        <v>45</v>
      </c>
      <c r="E1030" t="str">
        <f>_xlfn.XLOOKUP(tblOrders[[#This Row],[CustomerID]],tblCustomers[CustomerID],tblCustomers[Gender],"not found")</f>
        <v>Female</v>
      </c>
      <c r="F1030" t="str">
        <f>_xlfn.XLOOKUP(tblOrders[[#This Row],[CustomerID]],tblCustomers[CustomerID],tblCustomers[Region],"not found")</f>
        <v>East</v>
      </c>
      <c r="G1030">
        <v>1027</v>
      </c>
      <c r="H1030" t="str">
        <f>_xlfn.XLOOKUP(tblOrders[[#This Row],[ProductID]],tblProducts[ProductID],tblProducts[ProductName],"not found")</f>
        <v>Debate</v>
      </c>
      <c r="I1030" t="str">
        <f>_xlfn.XLOOKUP(tblOrders[[#This Row],[ProductID]],tblProducts[ProductID],tblProducts[Category],"not found")</f>
        <v>Beauty</v>
      </c>
      <c r="J1030">
        <f>_xlfn.XLOOKUP(tblOrders[[#This Row],[ProductID]],tblProducts[ProductID],tblProducts[UnitPrice],"not found")</f>
        <v>32.61</v>
      </c>
      <c r="K1030" t="str">
        <f>_xlfn.XLOOKUP(tblOrders[[#This Row],[ProductID]],tblProducts[ProductID],tblProducts[Supplier],"not found")</f>
        <v>Faulkner, Wilson and Richards</v>
      </c>
      <c r="L1030" s="1" t="s">
        <v>2274</v>
      </c>
      <c r="M10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44915</v>
      </c>
      <c r="N1030">
        <v>2</v>
      </c>
      <c r="O1030">
        <v>65.22</v>
      </c>
      <c r="P1030">
        <f>tblOrders[[#This Row],[Quantity]]*tblOrders[[#This Row],[Unit Price]]</f>
        <v>65.22</v>
      </c>
      <c r="Q1030">
        <f>tblOrders[[#This Row],[TotalSales]]-tblOrders[[#This Row],[Calculated Sales]]</f>
        <v>0</v>
      </c>
    </row>
    <row r="1031" spans="1:17" x14ac:dyDescent="0.25">
      <c r="A1031">
        <v>1523</v>
      </c>
      <c r="B1031">
        <v>597</v>
      </c>
      <c r="C1031" t="str">
        <f>_xlfn.XLOOKUP(tblOrders[[#This Row],[CustomerID]],tblCustomers[CustomerID],tblCustomers[CustomerName],"not found")</f>
        <v>Pamela Zamora DDS</v>
      </c>
      <c r="D1031">
        <f>_xlfn.XLOOKUP(tblOrders[[#This Row],[CustomerID]],tblCustomers[CustomerID],tblCustomers[Age],"not found")</f>
        <v>67</v>
      </c>
      <c r="E1031" t="str">
        <f>_xlfn.XLOOKUP(tblOrders[[#This Row],[CustomerID]],tblCustomers[CustomerID],tblCustomers[Gender],"not found")</f>
        <v>Female</v>
      </c>
      <c r="F1031" t="str">
        <f>_xlfn.XLOOKUP(tblOrders[[#This Row],[CustomerID]],tblCustomers[CustomerID],tblCustomers[Region],"not found")</f>
        <v>North</v>
      </c>
      <c r="G1031">
        <v>1027</v>
      </c>
      <c r="H1031" t="str">
        <f>_xlfn.XLOOKUP(tblOrders[[#This Row],[ProductID]],tblProducts[ProductID],tblProducts[ProductName],"not found")</f>
        <v>Debate</v>
      </c>
      <c r="I1031" t="str">
        <f>_xlfn.XLOOKUP(tblOrders[[#This Row],[ProductID]],tblProducts[ProductID],tblProducts[Category],"not found")</f>
        <v>Beauty</v>
      </c>
      <c r="J1031">
        <f>_xlfn.XLOOKUP(tblOrders[[#This Row],[ProductID]],tblProducts[ProductID],tblProducts[UnitPrice],"not found")</f>
        <v>32.61</v>
      </c>
      <c r="K1031" t="str">
        <f>_xlfn.XLOOKUP(tblOrders[[#This Row],[ProductID]],tblProducts[ProductID],tblProducts[Supplier],"not found")</f>
        <v>Faulkner, Wilson and Richards</v>
      </c>
      <c r="L1031" s="1">
        <v>45453</v>
      </c>
      <c r="M10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45453</v>
      </c>
      <c r="N1031">
        <v>7</v>
      </c>
      <c r="O1031">
        <v>228.27</v>
      </c>
      <c r="P1031">
        <f>tblOrders[[#This Row],[Quantity]]*tblOrders[[#This Row],[Unit Price]]</f>
        <v>228.26999999999998</v>
      </c>
      <c r="Q1031">
        <f>tblOrders[[#This Row],[TotalSales]]-tblOrders[[#This Row],[Calculated Sales]]</f>
        <v>0</v>
      </c>
    </row>
    <row r="1032" spans="1:17" x14ac:dyDescent="0.25">
      <c r="A1032">
        <v>1619</v>
      </c>
      <c r="B1032">
        <v>910</v>
      </c>
      <c r="C1032" t="str">
        <f>_xlfn.XLOOKUP(tblOrders[[#This Row],[CustomerID]],tblCustomers[CustomerID],tblCustomers[CustomerName],"not found")</f>
        <v>Spencer Bates</v>
      </c>
      <c r="D1032">
        <f>_xlfn.XLOOKUP(tblOrders[[#This Row],[CustomerID]],tblCustomers[CustomerID],tblCustomers[Age],"not found")</f>
        <v>53</v>
      </c>
      <c r="E1032" t="str">
        <f>_xlfn.XLOOKUP(tblOrders[[#This Row],[CustomerID]],tblCustomers[CustomerID],tblCustomers[Gender],"not found")</f>
        <v>Female</v>
      </c>
      <c r="F1032" t="str">
        <f>_xlfn.XLOOKUP(tblOrders[[#This Row],[CustomerID]],tblCustomers[CustomerID],tblCustomers[Region],"not found")</f>
        <v>West</v>
      </c>
      <c r="G1032">
        <v>1027</v>
      </c>
      <c r="H1032" t="str">
        <f>_xlfn.XLOOKUP(tblOrders[[#This Row],[ProductID]],tblProducts[ProductID],tblProducts[ProductName],"not found")</f>
        <v>Debate</v>
      </c>
      <c r="I1032" t="str">
        <f>_xlfn.XLOOKUP(tblOrders[[#This Row],[ProductID]],tblProducts[ProductID],tblProducts[Category],"not found")</f>
        <v>Beauty</v>
      </c>
      <c r="J1032">
        <f>_xlfn.XLOOKUP(tblOrders[[#This Row],[ProductID]],tblProducts[ProductID],tblProducts[UnitPrice],"not found")</f>
        <v>32.61</v>
      </c>
      <c r="K1032" t="str">
        <f>_xlfn.XLOOKUP(tblOrders[[#This Row],[ProductID]],tblProducts[ProductID],tblProducts[Supplier],"not found")</f>
        <v>Faulkner, Wilson and Richards</v>
      </c>
      <c r="L1032" s="1">
        <v>45205</v>
      </c>
      <c r="M10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45205</v>
      </c>
      <c r="N1032">
        <v>6</v>
      </c>
      <c r="O1032">
        <v>195.66</v>
      </c>
      <c r="P1032">
        <f>tblOrders[[#This Row],[Quantity]]*tblOrders[[#This Row],[Unit Price]]</f>
        <v>195.66</v>
      </c>
      <c r="Q1032">
        <f>tblOrders[[#This Row],[TotalSales]]-tblOrders[[#This Row],[Calculated Sales]]</f>
        <v>0</v>
      </c>
    </row>
    <row r="1033" spans="1:17" x14ac:dyDescent="0.25">
      <c r="A1033">
        <v>1652</v>
      </c>
      <c r="B1033">
        <v>162</v>
      </c>
      <c r="C1033" t="str">
        <f>_xlfn.XLOOKUP(tblOrders[[#This Row],[CustomerID]],tblCustomers[CustomerID],tblCustomers[CustomerName],"not found")</f>
        <v>Melanie Pollard</v>
      </c>
      <c r="D1033">
        <f>_xlfn.XLOOKUP(tblOrders[[#This Row],[CustomerID]],tblCustomers[CustomerID],tblCustomers[Age],"not found")</f>
        <v>59</v>
      </c>
      <c r="E1033" t="str">
        <f>_xlfn.XLOOKUP(tblOrders[[#This Row],[CustomerID]],tblCustomers[CustomerID],tblCustomers[Gender],"not found")</f>
        <v>Male</v>
      </c>
      <c r="F1033" t="str">
        <f>_xlfn.XLOOKUP(tblOrders[[#This Row],[CustomerID]],tblCustomers[CustomerID],tblCustomers[Region],"not found")</f>
        <v>West</v>
      </c>
      <c r="G1033">
        <v>1027</v>
      </c>
      <c r="H1033" t="str">
        <f>_xlfn.XLOOKUP(tblOrders[[#This Row],[ProductID]],tblProducts[ProductID],tblProducts[ProductName],"not found")</f>
        <v>Debate</v>
      </c>
      <c r="I1033" t="str">
        <f>_xlfn.XLOOKUP(tblOrders[[#This Row],[ProductID]],tblProducts[ProductID],tblProducts[Category],"not found")</f>
        <v>Beauty</v>
      </c>
      <c r="J1033">
        <f>_xlfn.XLOOKUP(tblOrders[[#This Row],[ProductID]],tblProducts[ProductID],tblProducts[UnitPrice],"not found")</f>
        <v>32.61</v>
      </c>
      <c r="K1033" t="str">
        <f>_xlfn.XLOOKUP(tblOrders[[#This Row],[ProductID]],tblProducts[ProductID],tblProducts[Supplier],"not found")</f>
        <v>Faulkner, Wilson and Richards</v>
      </c>
      <c r="L1033" s="1" t="s">
        <v>2107</v>
      </c>
      <c r="M10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1033">
        <v>1</v>
      </c>
      <c r="O1033">
        <v>32.61</v>
      </c>
      <c r="P1033">
        <f>tblOrders[[#This Row],[Quantity]]*tblOrders[[#This Row],[Unit Price]]</f>
        <v>32.61</v>
      </c>
      <c r="Q1033">
        <f>tblOrders[[#This Row],[TotalSales]]-tblOrders[[#This Row],[Calculated Sales]]</f>
        <v>0</v>
      </c>
    </row>
    <row r="1034" spans="1:17" x14ac:dyDescent="0.25">
      <c r="A1034">
        <v>1668</v>
      </c>
      <c r="B1034">
        <v>869</v>
      </c>
      <c r="C1034" t="str">
        <f>_xlfn.XLOOKUP(tblOrders[[#This Row],[CustomerID]],tblCustomers[CustomerID],tblCustomers[CustomerName],"not found")</f>
        <v>Lori Swanson</v>
      </c>
      <c r="D1034">
        <f>_xlfn.XLOOKUP(tblOrders[[#This Row],[CustomerID]],tblCustomers[CustomerID],tblCustomers[Age],"not found")</f>
        <v>69</v>
      </c>
      <c r="E1034" t="str">
        <f>_xlfn.XLOOKUP(tblOrders[[#This Row],[CustomerID]],tblCustomers[CustomerID],tblCustomers[Gender],"not found")</f>
        <v>Female</v>
      </c>
      <c r="F1034" t="str">
        <f>_xlfn.XLOOKUP(tblOrders[[#This Row],[CustomerID]],tblCustomers[CustomerID],tblCustomers[Region],"not found")</f>
        <v>East</v>
      </c>
      <c r="G1034">
        <v>1027</v>
      </c>
      <c r="H1034" t="str">
        <f>_xlfn.XLOOKUP(tblOrders[[#This Row],[ProductID]],tblProducts[ProductID],tblProducts[ProductName],"not found")</f>
        <v>Debate</v>
      </c>
      <c r="I1034" t="str">
        <f>_xlfn.XLOOKUP(tblOrders[[#This Row],[ProductID]],tblProducts[ProductID],tblProducts[Category],"not found")</f>
        <v>Beauty</v>
      </c>
      <c r="J1034">
        <f>_xlfn.XLOOKUP(tblOrders[[#This Row],[ProductID]],tblProducts[ProductID],tblProducts[UnitPrice],"not found")</f>
        <v>32.61</v>
      </c>
      <c r="K1034" t="str">
        <f>_xlfn.XLOOKUP(tblOrders[[#This Row],[ProductID]],tblProducts[ProductID],tblProducts[Supplier],"not found")</f>
        <v>Faulkner, Wilson and Richards</v>
      </c>
      <c r="L1034" s="1" t="s">
        <v>2279</v>
      </c>
      <c r="M10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45521</v>
      </c>
      <c r="N1034">
        <v>5</v>
      </c>
      <c r="O1034">
        <v>163.05000000000001</v>
      </c>
      <c r="P1034">
        <f>tblOrders[[#This Row],[Quantity]]*tblOrders[[#This Row],[Unit Price]]</f>
        <v>163.05000000000001</v>
      </c>
      <c r="Q1034">
        <f>tblOrders[[#This Row],[TotalSales]]-tblOrders[[#This Row],[Calculated Sales]]</f>
        <v>0</v>
      </c>
    </row>
    <row r="1035" spans="1:17" x14ac:dyDescent="0.25">
      <c r="A1035">
        <v>1688</v>
      </c>
      <c r="B1035">
        <v>199</v>
      </c>
      <c r="C1035" t="str">
        <f>_xlfn.XLOOKUP(tblOrders[[#This Row],[CustomerID]],tblCustomers[CustomerID],tblCustomers[CustomerName],"not found")</f>
        <v>Bianca Olson</v>
      </c>
      <c r="D1035">
        <f>_xlfn.XLOOKUP(tblOrders[[#This Row],[CustomerID]],tblCustomers[CustomerID],tblCustomers[Age],"not found")</f>
        <v>45</v>
      </c>
      <c r="E1035" t="str">
        <f>_xlfn.XLOOKUP(tblOrders[[#This Row],[CustomerID]],tblCustomers[CustomerID],tblCustomers[Gender],"not found")</f>
        <v>Female</v>
      </c>
      <c r="F1035" t="str">
        <f>_xlfn.XLOOKUP(tblOrders[[#This Row],[CustomerID]],tblCustomers[CustomerID],tblCustomers[Region],"not found")</f>
        <v>East</v>
      </c>
      <c r="G1035">
        <v>1027</v>
      </c>
      <c r="H1035" t="str">
        <f>_xlfn.XLOOKUP(tblOrders[[#This Row],[ProductID]],tblProducts[ProductID],tblProducts[ProductName],"not found")</f>
        <v>Debate</v>
      </c>
      <c r="I1035" t="str">
        <f>_xlfn.XLOOKUP(tblOrders[[#This Row],[ProductID]],tblProducts[ProductID],tblProducts[Category],"not found")</f>
        <v>Beauty</v>
      </c>
      <c r="J1035">
        <f>_xlfn.XLOOKUP(tblOrders[[#This Row],[ProductID]],tblProducts[ProductID],tblProducts[UnitPrice],"not found")</f>
        <v>32.61</v>
      </c>
      <c r="K1035" t="str">
        <f>_xlfn.XLOOKUP(tblOrders[[#This Row],[ProductID]],tblProducts[ProductID],tblProducts[Supplier],"not found")</f>
        <v>Faulkner, Wilson and Richards</v>
      </c>
      <c r="L1035" s="1" t="s">
        <v>2346</v>
      </c>
      <c r="M10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44970</v>
      </c>
      <c r="N1035">
        <v>6</v>
      </c>
      <c r="O1035">
        <v>195.66</v>
      </c>
      <c r="P1035">
        <f>tblOrders[[#This Row],[Quantity]]*tblOrders[[#This Row],[Unit Price]]</f>
        <v>195.66</v>
      </c>
      <c r="Q1035">
        <f>tblOrders[[#This Row],[TotalSales]]-tblOrders[[#This Row],[Calculated Sales]]</f>
        <v>0</v>
      </c>
    </row>
    <row r="1036" spans="1:17" x14ac:dyDescent="0.25">
      <c r="A1036">
        <v>1705</v>
      </c>
      <c r="B1036">
        <v>962</v>
      </c>
      <c r="C1036" t="str">
        <f>_xlfn.XLOOKUP(tblOrders[[#This Row],[CustomerID]],tblCustomers[CustomerID],tblCustomers[CustomerName],"not found")</f>
        <v>Barbara Gutierrez</v>
      </c>
      <c r="D1036">
        <f>_xlfn.XLOOKUP(tblOrders[[#This Row],[CustomerID]],tblCustomers[CustomerID],tblCustomers[Age],"not found")</f>
        <v>18</v>
      </c>
      <c r="E1036" t="str">
        <f>_xlfn.XLOOKUP(tblOrders[[#This Row],[CustomerID]],tblCustomers[CustomerID],tblCustomers[Gender],"not found")</f>
        <v>Female</v>
      </c>
      <c r="F1036" t="str">
        <f>_xlfn.XLOOKUP(tblOrders[[#This Row],[CustomerID]],tblCustomers[CustomerID],tblCustomers[Region],"not found")</f>
        <v>North</v>
      </c>
      <c r="G1036">
        <v>1027</v>
      </c>
      <c r="H1036" t="str">
        <f>_xlfn.XLOOKUP(tblOrders[[#This Row],[ProductID]],tblProducts[ProductID],tblProducts[ProductName],"not found")</f>
        <v>Debate</v>
      </c>
      <c r="I1036" t="str">
        <f>_xlfn.XLOOKUP(tblOrders[[#This Row],[ProductID]],tblProducts[ProductID],tblProducts[Category],"not found")</f>
        <v>Beauty</v>
      </c>
      <c r="J1036">
        <f>_xlfn.XLOOKUP(tblOrders[[#This Row],[ProductID]],tblProducts[ProductID],tblProducts[UnitPrice],"not found")</f>
        <v>32.61</v>
      </c>
      <c r="K1036" t="str">
        <f>_xlfn.XLOOKUP(tblOrders[[#This Row],[ProductID]],tblProducts[ProductID],tblProducts[Supplier],"not found")</f>
        <v>Faulkner, Wilson and Richards</v>
      </c>
      <c r="L1036" s="1" t="s">
        <v>2260</v>
      </c>
      <c r="M10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44910</v>
      </c>
      <c r="N1036">
        <v>9</v>
      </c>
      <c r="O1036">
        <v>293.49</v>
      </c>
      <c r="P1036">
        <f>tblOrders[[#This Row],[Quantity]]*tblOrders[[#This Row],[Unit Price]]</f>
        <v>293.49</v>
      </c>
      <c r="Q1036">
        <f>tblOrders[[#This Row],[TotalSales]]-tblOrders[[#This Row],[Calculated Sales]]</f>
        <v>0</v>
      </c>
    </row>
    <row r="1037" spans="1:17" x14ac:dyDescent="0.25">
      <c r="A1037">
        <v>1719</v>
      </c>
      <c r="B1037">
        <v>574</v>
      </c>
      <c r="C1037" t="str">
        <f>_xlfn.XLOOKUP(tblOrders[[#This Row],[CustomerID]],tblCustomers[CustomerID],tblCustomers[CustomerName],"not found")</f>
        <v>Emily Frazier</v>
      </c>
      <c r="D1037">
        <f>_xlfn.XLOOKUP(tblOrders[[#This Row],[CustomerID]],tblCustomers[CustomerID],tblCustomers[Age],"not found")</f>
        <v>59</v>
      </c>
      <c r="E1037" t="str">
        <f>_xlfn.XLOOKUP(tblOrders[[#This Row],[CustomerID]],tblCustomers[CustomerID],tblCustomers[Gender],"not found")</f>
        <v>Male</v>
      </c>
      <c r="F1037" t="str">
        <f>_xlfn.XLOOKUP(tblOrders[[#This Row],[CustomerID]],tblCustomers[CustomerID],tblCustomers[Region],"not found")</f>
        <v>East</v>
      </c>
      <c r="G1037">
        <v>1027</v>
      </c>
      <c r="H1037" t="str">
        <f>_xlfn.XLOOKUP(tblOrders[[#This Row],[ProductID]],tblProducts[ProductID],tblProducts[ProductName],"not found")</f>
        <v>Debate</v>
      </c>
      <c r="I1037" t="str">
        <f>_xlfn.XLOOKUP(tblOrders[[#This Row],[ProductID]],tblProducts[ProductID],tblProducts[Category],"not found")</f>
        <v>Beauty</v>
      </c>
      <c r="J1037">
        <f>_xlfn.XLOOKUP(tblOrders[[#This Row],[ProductID]],tblProducts[ProductID],tblProducts[UnitPrice],"not found")</f>
        <v>32.61</v>
      </c>
      <c r="K1037" t="str">
        <f>_xlfn.XLOOKUP(tblOrders[[#This Row],[ProductID]],tblProducts[ProductID],tblProducts[Supplier],"not found")</f>
        <v>Faulkner, Wilson and Richards</v>
      </c>
      <c r="L1037" s="1" t="s">
        <v>2347</v>
      </c>
      <c r="M10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45188</v>
      </c>
      <c r="N1037">
        <v>8</v>
      </c>
      <c r="O1037">
        <v>260.88</v>
      </c>
      <c r="P1037">
        <f>tblOrders[[#This Row],[Quantity]]*tblOrders[[#This Row],[Unit Price]]</f>
        <v>260.88</v>
      </c>
      <c r="Q1037">
        <f>tblOrders[[#This Row],[TotalSales]]-tblOrders[[#This Row],[Calculated Sales]]</f>
        <v>0</v>
      </c>
    </row>
    <row r="1038" spans="1:17" x14ac:dyDescent="0.25">
      <c r="A1038">
        <v>1885</v>
      </c>
      <c r="B1038">
        <v>646</v>
      </c>
      <c r="C1038" t="str">
        <f>_xlfn.XLOOKUP(tblOrders[[#This Row],[CustomerID]],tblCustomers[CustomerID],tblCustomers[CustomerName],"not found")</f>
        <v>Donald Smith</v>
      </c>
      <c r="D1038">
        <f>_xlfn.XLOOKUP(tblOrders[[#This Row],[CustomerID]],tblCustomers[CustomerID],tblCustomers[Age],"not found")</f>
        <v>47</v>
      </c>
      <c r="E1038" t="str">
        <f>_xlfn.XLOOKUP(tblOrders[[#This Row],[CustomerID]],tblCustomers[CustomerID],tblCustomers[Gender],"not found")</f>
        <v>Female</v>
      </c>
      <c r="F1038" t="str">
        <f>_xlfn.XLOOKUP(tblOrders[[#This Row],[CustomerID]],tblCustomers[CustomerID],tblCustomers[Region],"not found")</f>
        <v>East</v>
      </c>
      <c r="G1038">
        <v>1027</v>
      </c>
      <c r="H1038" t="str">
        <f>_xlfn.XLOOKUP(tblOrders[[#This Row],[ProductID]],tblProducts[ProductID],tblProducts[ProductName],"not found")</f>
        <v>Debate</v>
      </c>
      <c r="I1038" t="str">
        <f>_xlfn.XLOOKUP(tblOrders[[#This Row],[ProductID]],tblProducts[ProductID],tblProducts[Category],"not found")</f>
        <v>Beauty</v>
      </c>
      <c r="J1038">
        <f>_xlfn.XLOOKUP(tblOrders[[#This Row],[ProductID]],tblProducts[ProductID],tblProducts[UnitPrice],"not found")</f>
        <v>32.61</v>
      </c>
      <c r="K1038" t="str">
        <f>_xlfn.XLOOKUP(tblOrders[[#This Row],[ProductID]],tblProducts[ProductID],tblProducts[Supplier],"not found")</f>
        <v>Faulkner, Wilson and Richards</v>
      </c>
      <c r="L1038" s="1" t="s">
        <v>2348</v>
      </c>
      <c r="M10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45552</v>
      </c>
      <c r="N1038">
        <v>3</v>
      </c>
      <c r="O1038">
        <v>97.83</v>
      </c>
      <c r="P1038">
        <f>tblOrders[[#This Row],[Quantity]]*tblOrders[[#This Row],[Unit Price]]</f>
        <v>97.83</v>
      </c>
      <c r="Q1038">
        <f>tblOrders[[#This Row],[TotalSales]]-tblOrders[[#This Row],[Calculated Sales]]</f>
        <v>0</v>
      </c>
    </row>
    <row r="1039" spans="1:17" x14ac:dyDescent="0.25">
      <c r="A1039">
        <v>1918</v>
      </c>
      <c r="B1039">
        <v>551</v>
      </c>
      <c r="C1039" t="str">
        <f>_xlfn.XLOOKUP(tblOrders[[#This Row],[CustomerID]],tblCustomers[CustomerID],tblCustomers[CustomerName],"not found")</f>
        <v>Cynthia Hall</v>
      </c>
      <c r="D1039">
        <f>_xlfn.XLOOKUP(tblOrders[[#This Row],[CustomerID]],tblCustomers[CustomerID],tblCustomers[Age],"not found")</f>
        <v>42</v>
      </c>
      <c r="E1039" t="str">
        <f>_xlfn.XLOOKUP(tblOrders[[#This Row],[CustomerID]],tblCustomers[CustomerID],tblCustomers[Gender],"not found")</f>
        <v>Male</v>
      </c>
      <c r="F1039" t="str">
        <f>_xlfn.XLOOKUP(tblOrders[[#This Row],[CustomerID]],tblCustomers[CustomerID],tblCustomers[Region],"not found")</f>
        <v>West</v>
      </c>
      <c r="G1039">
        <v>1027</v>
      </c>
      <c r="H1039" t="str">
        <f>_xlfn.XLOOKUP(tblOrders[[#This Row],[ProductID]],tblProducts[ProductID],tblProducts[ProductName],"not found")</f>
        <v>Debate</v>
      </c>
      <c r="I1039" t="str">
        <f>_xlfn.XLOOKUP(tblOrders[[#This Row],[ProductID]],tblProducts[ProductID],tblProducts[Category],"not found")</f>
        <v>Beauty</v>
      </c>
      <c r="J1039">
        <f>_xlfn.XLOOKUP(tblOrders[[#This Row],[ProductID]],tblProducts[ProductID],tblProducts[UnitPrice],"not found")</f>
        <v>32.61</v>
      </c>
      <c r="K1039" t="str">
        <f>_xlfn.XLOOKUP(tblOrders[[#This Row],[ProductID]],tblProducts[ProductID],tblProducts[Supplier],"not found")</f>
        <v>Faulkner, Wilson and Richards</v>
      </c>
      <c r="L1039" s="1" t="s">
        <v>2302</v>
      </c>
      <c r="M10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45336</v>
      </c>
      <c r="N1039">
        <v>3</v>
      </c>
      <c r="O1039">
        <v>97.83</v>
      </c>
      <c r="P1039">
        <f>tblOrders[[#This Row],[Quantity]]*tblOrders[[#This Row],[Unit Price]]</f>
        <v>97.83</v>
      </c>
      <c r="Q1039">
        <f>tblOrders[[#This Row],[TotalSales]]-tblOrders[[#This Row],[Calculated Sales]]</f>
        <v>0</v>
      </c>
    </row>
    <row r="1040" spans="1:17" x14ac:dyDescent="0.25">
      <c r="A1040">
        <v>64</v>
      </c>
      <c r="B1040">
        <v>374</v>
      </c>
      <c r="C1040" t="str">
        <f>_xlfn.XLOOKUP(tblOrders[[#This Row],[CustomerID]],tblCustomers[CustomerID],tblCustomers[CustomerName],"not found")</f>
        <v>Jennifer Castro</v>
      </c>
      <c r="D1040">
        <f>_xlfn.XLOOKUP(tblOrders[[#This Row],[CustomerID]],tblCustomers[CustomerID],tblCustomers[Age],"not found")</f>
        <v>46</v>
      </c>
      <c r="E1040" t="str">
        <f>_xlfn.XLOOKUP(tblOrders[[#This Row],[CustomerID]],tblCustomers[CustomerID],tblCustomers[Gender],"not found")</f>
        <v>Female</v>
      </c>
      <c r="F1040" t="str">
        <f>_xlfn.XLOOKUP(tblOrders[[#This Row],[CustomerID]],tblCustomers[CustomerID],tblCustomers[Region],"not found")</f>
        <v>East</v>
      </c>
      <c r="G1040">
        <v>1099</v>
      </c>
      <c r="H1040" t="str">
        <f>_xlfn.XLOOKUP(tblOrders[[#This Row],[ProductID]],tblProducts[ProductID],tblProducts[ProductName],"not found")</f>
        <v>Once</v>
      </c>
      <c r="I1040" t="str">
        <f>_xlfn.XLOOKUP(tblOrders[[#This Row],[ProductID]],tblProducts[ProductID],tblProducts[Category],"not found")</f>
        <v>Apparel</v>
      </c>
      <c r="J1040">
        <f>_xlfn.XLOOKUP(tblOrders[[#This Row],[ProductID]],tblProducts[ProductID],tblProducts[UnitPrice],"not found")</f>
        <v>183.29</v>
      </c>
      <c r="K1040" t="str">
        <f>_xlfn.XLOOKUP(tblOrders[[#This Row],[ProductID]],tblProducts[ProductID],tblProducts[Supplier],"not found")</f>
        <v>Roberts, Walker and Jones</v>
      </c>
      <c r="L1040" s="1">
        <v>45543</v>
      </c>
      <c r="M10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45543</v>
      </c>
      <c r="N1040">
        <v>7</v>
      </c>
      <c r="O1040">
        <v>1283.03</v>
      </c>
      <c r="P1040">
        <f>tblOrders[[#This Row],[Quantity]]*tblOrders[[#This Row],[Unit Price]]</f>
        <v>1283.03</v>
      </c>
      <c r="Q1040">
        <f>tblOrders[[#This Row],[TotalSales]]-tblOrders[[#This Row],[Calculated Sales]]</f>
        <v>0</v>
      </c>
    </row>
    <row r="1041" spans="1:17" x14ac:dyDescent="0.25">
      <c r="A1041">
        <v>116</v>
      </c>
      <c r="B1041">
        <v>35</v>
      </c>
      <c r="C1041" t="str">
        <f>_xlfn.XLOOKUP(tblOrders[[#This Row],[CustomerID]],tblCustomers[CustomerID],tblCustomers[CustomerName],"not found")</f>
        <v>John Hubbard</v>
      </c>
      <c r="D1041">
        <f>_xlfn.XLOOKUP(tblOrders[[#This Row],[CustomerID]],tblCustomers[CustomerID],tblCustomers[Age],"not found")</f>
        <v>63</v>
      </c>
      <c r="E1041" t="str">
        <f>_xlfn.XLOOKUP(tblOrders[[#This Row],[CustomerID]],tblCustomers[CustomerID],tblCustomers[Gender],"not found")</f>
        <v>Female</v>
      </c>
      <c r="F1041" t="str">
        <f>_xlfn.XLOOKUP(tblOrders[[#This Row],[CustomerID]],tblCustomers[CustomerID],tblCustomers[Region],"not found")</f>
        <v>South</v>
      </c>
      <c r="G1041">
        <v>1099</v>
      </c>
      <c r="H1041" t="str">
        <f>_xlfn.XLOOKUP(tblOrders[[#This Row],[ProductID]],tblProducts[ProductID],tblProducts[ProductName],"not found")</f>
        <v>Once</v>
      </c>
      <c r="I1041" t="str">
        <f>_xlfn.XLOOKUP(tblOrders[[#This Row],[ProductID]],tblProducts[ProductID],tblProducts[Category],"not found")</f>
        <v>Apparel</v>
      </c>
      <c r="J1041">
        <f>_xlfn.XLOOKUP(tblOrders[[#This Row],[ProductID]],tblProducts[ProductID],tblProducts[UnitPrice],"not found")</f>
        <v>183.29</v>
      </c>
      <c r="K1041" t="str">
        <f>_xlfn.XLOOKUP(tblOrders[[#This Row],[ProductID]],tblProducts[ProductID],tblProducts[Supplier],"not found")</f>
        <v>Roberts, Walker and Jones</v>
      </c>
      <c r="L1041" s="1" t="s">
        <v>2280</v>
      </c>
      <c r="M10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45346</v>
      </c>
      <c r="N1041">
        <v>8</v>
      </c>
      <c r="O1041">
        <v>1466.32</v>
      </c>
      <c r="P1041">
        <f>tblOrders[[#This Row],[Quantity]]*tblOrders[[#This Row],[Unit Price]]</f>
        <v>1466.32</v>
      </c>
      <c r="Q1041">
        <f>tblOrders[[#This Row],[TotalSales]]-tblOrders[[#This Row],[Calculated Sales]]</f>
        <v>0</v>
      </c>
    </row>
    <row r="1042" spans="1:17" x14ac:dyDescent="0.25">
      <c r="A1042">
        <v>189</v>
      </c>
      <c r="B1042">
        <v>982</v>
      </c>
      <c r="C1042" t="str">
        <f>_xlfn.XLOOKUP(tblOrders[[#This Row],[CustomerID]],tblCustomers[CustomerID],tblCustomers[CustomerName],"not found")</f>
        <v>George Hutchinson</v>
      </c>
      <c r="D1042">
        <f>_xlfn.XLOOKUP(tblOrders[[#This Row],[CustomerID]],tblCustomers[CustomerID],tblCustomers[Age],"not found")</f>
        <v>19</v>
      </c>
      <c r="E1042" t="str">
        <f>_xlfn.XLOOKUP(tblOrders[[#This Row],[CustomerID]],tblCustomers[CustomerID],tblCustomers[Gender],"not found")</f>
        <v>Female</v>
      </c>
      <c r="F1042" t="str">
        <f>_xlfn.XLOOKUP(tblOrders[[#This Row],[CustomerID]],tblCustomers[CustomerID],tblCustomers[Region],"not found")</f>
        <v>North</v>
      </c>
      <c r="G1042">
        <v>1099</v>
      </c>
      <c r="H1042" t="str">
        <f>_xlfn.XLOOKUP(tblOrders[[#This Row],[ProductID]],tblProducts[ProductID],tblProducts[ProductName],"not found")</f>
        <v>Once</v>
      </c>
      <c r="I1042" t="str">
        <f>_xlfn.XLOOKUP(tblOrders[[#This Row],[ProductID]],tblProducts[ProductID],tblProducts[Category],"not found")</f>
        <v>Apparel</v>
      </c>
      <c r="J1042">
        <f>_xlfn.XLOOKUP(tblOrders[[#This Row],[ProductID]],tblProducts[ProductID],tblProducts[UnitPrice],"not found")</f>
        <v>183.29</v>
      </c>
      <c r="K1042" t="str">
        <f>_xlfn.XLOOKUP(tblOrders[[#This Row],[ProductID]],tblProducts[ProductID],tblProducts[Supplier],"not found")</f>
        <v>Roberts, Walker and Jones</v>
      </c>
      <c r="L1042" s="1" t="s">
        <v>2210</v>
      </c>
      <c r="M10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45374</v>
      </c>
      <c r="N1042">
        <v>2</v>
      </c>
      <c r="O1042">
        <v>366.58</v>
      </c>
      <c r="P1042">
        <f>tblOrders[[#This Row],[Quantity]]*tblOrders[[#This Row],[Unit Price]]</f>
        <v>366.58</v>
      </c>
      <c r="Q1042">
        <f>tblOrders[[#This Row],[TotalSales]]-tblOrders[[#This Row],[Calculated Sales]]</f>
        <v>0</v>
      </c>
    </row>
    <row r="1043" spans="1:17" x14ac:dyDescent="0.25">
      <c r="A1043">
        <v>391</v>
      </c>
      <c r="B1043">
        <v>465</v>
      </c>
      <c r="C1043" t="str">
        <f>_xlfn.XLOOKUP(tblOrders[[#This Row],[CustomerID]],tblCustomers[CustomerID],tblCustomers[CustomerName],"not found")</f>
        <v>Jeffrey Strickland</v>
      </c>
      <c r="D1043">
        <f>_xlfn.XLOOKUP(tblOrders[[#This Row],[CustomerID]],tblCustomers[CustomerID],tblCustomers[Age],"not found")</f>
        <v>69</v>
      </c>
      <c r="E1043" t="str">
        <f>_xlfn.XLOOKUP(tblOrders[[#This Row],[CustomerID]],tblCustomers[CustomerID],tblCustomers[Gender],"not found")</f>
        <v>Female</v>
      </c>
      <c r="F1043" t="str">
        <f>_xlfn.XLOOKUP(tblOrders[[#This Row],[CustomerID]],tblCustomers[CustomerID],tblCustomers[Region],"not found")</f>
        <v>West</v>
      </c>
      <c r="G1043">
        <v>1099</v>
      </c>
      <c r="H1043" t="str">
        <f>_xlfn.XLOOKUP(tblOrders[[#This Row],[ProductID]],tblProducts[ProductID],tblProducts[ProductName],"not found")</f>
        <v>Once</v>
      </c>
      <c r="I1043" t="str">
        <f>_xlfn.XLOOKUP(tblOrders[[#This Row],[ProductID]],tblProducts[ProductID],tblProducts[Category],"not found")</f>
        <v>Apparel</v>
      </c>
      <c r="J1043">
        <f>_xlfn.XLOOKUP(tblOrders[[#This Row],[ProductID]],tblProducts[ProductID],tblProducts[UnitPrice],"not found")</f>
        <v>183.29</v>
      </c>
      <c r="K1043" t="str">
        <f>_xlfn.XLOOKUP(tblOrders[[#This Row],[ProductID]],tblProducts[ProductID],tblProducts[Supplier],"not found")</f>
        <v>Roberts, Walker and Jones</v>
      </c>
      <c r="L1043" s="1" t="s">
        <v>2303</v>
      </c>
      <c r="M10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45583</v>
      </c>
      <c r="N1043">
        <v>9</v>
      </c>
      <c r="O1043">
        <v>1649.61</v>
      </c>
      <c r="P1043">
        <f>tblOrders[[#This Row],[Quantity]]*tblOrders[[#This Row],[Unit Price]]</f>
        <v>1649.61</v>
      </c>
      <c r="Q1043">
        <f>tblOrders[[#This Row],[TotalSales]]-tblOrders[[#This Row],[Calculated Sales]]</f>
        <v>0</v>
      </c>
    </row>
    <row r="1044" spans="1:17" x14ac:dyDescent="0.25">
      <c r="A1044">
        <v>891</v>
      </c>
      <c r="B1044">
        <v>781</v>
      </c>
      <c r="C1044" t="str">
        <f>_xlfn.XLOOKUP(tblOrders[[#This Row],[CustomerID]],tblCustomers[CustomerID],tblCustomers[CustomerName],"not found")</f>
        <v>Jennifer Allen</v>
      </c>
      <c r="D1044">
        <f>_xlfn.XLOOKUP(tblOrders[[#This Row],[CustomerID]],tblCustomers[CustomerID],tblCustomers[Age],"not found")</f>
        <v>20</v>
      </c>
      <c r="E1044" t="str">
        <f>_xlfn.XLOOKUP(tblOrders[[#This Row],[CustomerID]],tblCustomers[CustomerID],tblCustomers[Gender],"not found")</f>
        <v>Female</v>
      </c>
      <c r="F1044" t="str">
        <f>_xlfn.XLOOKUP(tblOrders[[#This Row],[CustomerID]],tblCustomers[CustomerID],tblCustomers[Region],"not found")</f>
        <v>North</v>
      </c>
      <c r="G1044">
        <v>1099</v>
      </c>
      <c r="H1044" t="str">
        <f>_xlfn.XLOOKUP(tblOrders[[#This Row],[ProductID]],tblProducts[ProductID],tblProducts[ProductName],"not found")</f>
        <v>Once</v>
      </c>
      <c r="I1044" t="str">
        <f>_xlfn.XLOOKUP(tblOrders[[#This Row],[ProductID]],tblProducts[ProductID],tblProducts[Category],"not found")</f>
        <v>Apparel</v>
      </c>
      <c r="J1044">
        <f>_xlfn.XLOOKUP(tblOrders[[#This Row],[ProductID]],tblProducts[ProductID],tblProducts[UnitPrice],"not found")</f>
        <v>183.29</v>
      </c>
      <c r="K1044" t="str">
        <f>_xlfn.XLOOKUP(tblOrders[[#This Row],[ProductID]],tblProducts[ProductID],tblProducts[Supplier],"not found")</f>
        <v>Roberts, Walker and Jones</v>
      </c>
      <c r="L1044" s="1">
        <v>45140</v>
      </c>
      <c r="M10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45140</v>
      </c>
      <c r="N1044">
        <v>2</v>
      </c>
      <c r="O1044">
        <v>366.58</v>
      </c>
      <c r="P1044">
        <f>tblOrders[[#This Row],[Quantity]]*tblOrders[[#This Row],[Unit Price]]</f>
        <v>366.58</v>
      </c>
      <c r="Q1044">
        <f>tblOrders[[#This Row],[TotalSales]]-tblOrders[[#This Row],[Calculated Sales]]</f>
        <v>0</v>
      </c>
    </row>
    <row r="1045" spans="1:17" x14ac:dyDescent="0.25">
      <c r="A1045">
        <v>969</v>
      </c>
      <c r="B1045">
        <v>860</v>
      </c>
      <c r="C1045" t="str">
        <f>_xlfn.XLOOKUP(tblOrders[[#This Row],[CustomerID]],tblCustomers[CustomerID],tblCustomers[CustomerName],"not found")</f>
        <v>Michael Evans</v>
      </c>
      <c r="D1045">
        <f>_xlfn.XLOOKUP(tblOrders[[#This Row],[CustomerID]],tblCustomers[CustomerID],tblCustomers[Age],"not found")</f>
        <v>40</v>
      </c>
      <c r="E1045" t="str">
        <f>_xlfn.XLOOKUP(tblOrders[[#This Row],[CustomerID]],tblCustomers[CustomerID],tblCustomers[Gender],"not found")</f>
        <v>Male</v>
      </c>
      <c r="F1045" t="str">
        <f>_xlfn.XLOOKUP(tblOrders[[#This Row],[CustomerID]],tblCustomers[CustomerID],tblCustomers[Region],"not found")</f>
        <v>West</v>
      </c>
      <c r="G1045">
        <v>1099</v>
      </c>
      <c r="H1045" t="str">
        <f>_xlfn.XLOOKUP(tblOrders[[#This Row],[ProductID]],tblProducts[ProductID],tblProducts[ProductName],"not found")</f>
        <v>Once</v>
      </c>
      <c r="I1045" t="str">
        <f>_xlfn.XLOOKUP(tblOrders[[#This Row],[ProductID]],tblProducts[ProductID],tblProducts[Category],"not found")</f>
        <v>Apparel</v>
      </c>
      <c r="J1045">
        <f>_xlfn.XLOOKUP(tblOrders[[#This Row],[ProductID]],tblProducts[ProductID],tblProducts[UnitPrice],"not found")</f>
        <v>183.29</v>
      </c>
      <c r="K1045" t="str">
        <f>_xlfn.XLOOKUP(tblOrders[[#This Row],[ProductID]],tblProducts[ProductID],tblProducts[Supplier],"not found")</f>
        <v>Roberts, Walker and Jones</v>
      </c>
      <c r="L1045" s="1">
        <v>45085</v>
      </c>
      <c r="M10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45085</v>
      </c>
      <c r="N1045">
        <v>3</v>
      </c>
      <c r="O1045">
        <v>549.87</v>
      </c>
      <c r="P1045">
        <f>tblOrders[[#This Row],[Quantity]]*tblOrders[[#This Row],[Unit Price]]</f>
        <v>549.87</v>
      </c>
      <c r="Q1045">
        <f>tblOrders[[#This Row],[TotalSales]]-tblOrders[[#This Row],[Calculated Sales]]</f>
        <v>0</v>
      </c>
    </row>
    <row r="1046" spans="1:17" x14ac:dyDescent="0.25">
      <c r="A1046">
        <v>1051</v>
      </c>
      <c r="B1046">
        <v>647</v>
      </c>
      <c r="C1046" t="str">
        <f>_xlfn.XLOOKUP(tblOrders[[#This Row],[CustomerID]],tblCustomers[CustomerID],tblCustomers[CustomerName],"not found")</f>
        <v>Sherry Dickerson</v>
      </c>
      <c r="D1046">
        <f>_xlfn.XLOOKUP(tblOrders[[#This Row],[CustomerID]],tblCustomers[CustomerID],tblCustomers[Age],"not found")</f>
        <v>58</v>
      </c>
      <c r="E1046" t="str">
        <f>_xlfn.XLOOKUP(tblOrders[[#This Row],[CustomerID]],tblCustomers[CustomerID],tblCustomers[Gender],"not found")</f>
        <v>Female</v>
      </c>
      <c r="F1046" t="str">
        <f>_xlfn.XLOOKUP(tblOrders[[#This Row],[CustomerID]],tblCustomers[CustomerID],tblCustomers[Region],"not found")</f>
        <v>West</v>
      </c>
      <c r="G1046">
        <v>1099</v>
      </c>
      <c r="H1046" t="str">
        <f>_xlfn.XLOOKUP(tblOrders[[#This Row],[ProductID]],tblProducts[ProductID],tblProducts[ProductName],"not found")</f>
        <v>Once</v>
      </c>
      <c r="I1046" t="str">
        <f>_xlfn.XLOOKUP(tblOrders[[#This Row],[ProductID]],tblProducts[ProductID],tblProducts[Category],"not found")</f>
        <v>Apparel</v>
      </c>
      <c r="J1046">
        <f>_xlfn.XLOOKUP(tblOrders[[#This Row],[ProductID]],tblProducts[ProductID],tblProducts[UnitPrice],"not found")</f>
        <v>183.29</v>
      </c>
      <c r="K1046" t="str">
        <f>_xlfn.XLOOKUP(tblOrders[[#This Row],[ProductID]],tblProducts[ProductID],tblProducts[Supplier],"not found")</f>
        <v>Roberts, Walker and Jones</v>
      </c>
      <c r="L1046" s="1">
        <v>45240</v>
      </c>
      <c r="M10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45240</v>
      </c>
      <c r="N1046">
        <v>5</v>
      </c>
      <c r="O1046">
        <v>916.45</v>
      </c>
      <c r="P1046">
        <f>tblOrders[[#This Row],[Quantity]]*tblOrders[[#This Row],[Unit Price]]</f>
        <v>916.44999999999993</v>
      </c>
      <c r="Q1046">
        <f>tblOrders[[#This Row],[TotalSales]]-tblOrders[[#This Row],[Calculated Sales]]</f>
        <v>0</v>
      </c>
    </row>
    <row r="1047" spans="1:17" x14ac:dyDescent="0.25">
      <c r="A1047">
        <v>1073</v>
      </c>
      <c r="B1047">
        <v>999</v>
      </c>
      <c r="C1047" t="str">
        <f>_xlfn.XLOOKUP(tblOrders[[#This Row],[CustomerID]],tblCustomers[CustomerID],tblCustomers[CustomerName],"not found")</f>
        <v>Amy Jackson</v>
      </c>
      <c r="D1047">
        <f>_xlfn.XLOOKUP(tblOrders[[#This Row],[CustomerID]],tblCustomers[CustomerID],tblCustomers[Age],"not found")</f>
        <v>65</v>
      </c>
      <c r="E1047" t="str">
        <f>_xlfn.XLOOKUP(tblOrders[[#This Row],[CustomerID]],tblCustomers[CustomerID],tblCustomers[Gender],"not found")</f>
        <v>Male</v>
      </c>
      <c r="F1047" t="str">
        <f>_xlfn.XLOOKUP(tblOrders[[#This Row],[CustomerID]],tblCustomers[CustomerID],tblCustomers[Region],"not found")</f>
        <v>Central</v>
      </c>
      <c r="G1047">
        <v>1099</v>
      </c>
      <c r="H1047" t="str">
        <f>_xlfn.XLOOKUP(tblOrders[[#This Row],[ProductID]],tblProducts[ProductID],tblProducts[ProductName],"not found")</f>
        <v>Once</v>
      </c>
      <c r="I1047" t="str">
        <f>_xlfn.XLOOKUP(tblOrders[[#This Row],[ProductID]],tblProducts[ProductID],tblProducts[Category],"not found")</f>
        <v>Apparel</v>
      </c>
      <c r="J1047">
        <f>_xlfn.XLOOKUP(tblOrders[[#This Row],[ProductID]],tblProducts[ProductID],tblProducts[UnitPrice],"not found")</f>
        <v>183.29</v>
      </c>
      <c r="K1047" t="str">
        <f>_xlfn.XLOOKUP(tblOrders[[#This Row],[ProductID]],tblProducts[ProductID],tblProducts[Supplier],"not found")</f>
        <v>Roberts, Walker and Jones</v>
      </c>
      <c r="L1047" s="1">
        <v>45048</v>
      </c>
      <c r="M10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45048</v>
      </c>
      <c r="N1047">
        <v>2</v>
      </c>
      <c r="O1047">
        <v>366.58</v>
      </c>
      <c r="P1047">
        <f>tblOrders[[#This Row],[Quantity]]*tblOrders[[#This Row],[Unit Price]]</f>
        <v>366.58</v>
      </c>
      <c r="Q1047">
        <f>tblOrders[[#This Row],[TotalSales]]-tblOrders[[#This Row],[Calculated Sales]]</f>
        <v>0</v>
      </c>
    </row>
    <row r="1048" spans="1:17" x14ac:dyDescent="0.25">
      <c r="A1048">
        <v>1314</v>
      </c>
      <c r="B1048">
        <v>424</v>
      </c>
      <c r="C1048" t="str">
        <f>_xlfn.XLOOKUP(tblOrders[[#This Row],[CustomerID]],tblCustomers[CustomerID],tblCustomers[CustomerName],"not found")</f>
        <v>Thomas Sanchez</v>
      </c>
      <c r="D1048">
        <f>_xlfn.XLOOKUP(tblOrders[[#This Row],[CustomerID]],tblCustomers[CustomerID],tblCustomers[Age],"not found")</f>
        <v>27</v>
      </c>
      <c r="E1048" t="str">
        <f>_xlfn.XLOOKUP(tblOrders[[#This Row],[CustomerID]],tblCustomers[CustomerID],tblCustomers[Gender],"not found")</f>
        <v>Male</v>
      </c>
      <c r="F1048" t="str">
        <f>_xlfn.XLOOKUP(tblOrders[[#This Row],[CustomerID]],tblCustomers[CustomerID],tblCustomers[Region],"not found")</f>
        <v>South</v>
      </c>
      <c r="G1048">
        <v>1099</v>
      </c>
      <c r="H1048" t="str">
        <f>_xlfn.XLOOKUP(tblOrders[[#This Row],[ProductID]],tblProducts[ProductID],tblProducts[ProductName],"not found")</f>
        <v>Once</v>
      </c>
      <c r="I1048" t="str">
        <f>_xlfn.XLOOKUP(tblOrders[[#This Row],[ProductID]],tblProducts[ProductID],tblProducts[Category],"not found")</f>
        <v>Apparel</v>
      </c>
      <c r="J1048">
        <f>_xlfn.XLOOKUP(tblOrders[[#This Row],[ProductID]],tblProducts[ProductID],tblProducts[UnitPrice],"not found")</f>
        <v>183.29</v>
      </c>
      <c r="K1048" t="str">
        <f>_xlfn.XLOOKUP(tblOrders[[#This Row],[ProductID]],tblProducts[ProductID],tblProducts[Supplier],"not found")</f>
        <v>Roberts, Walker and Jones</v>
      </c>
      <c r="L1048" s="1" t="s">
        <v>2349</v>
      </c>
      <c r="M10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45287</v>
      </c>
      <c r="N1048">
        <v>6</v>
      </c>
      <c r="O1048">
        <v>1099.74</v>
      </c>
      <c r="P1048">
        <f>tblOrders[[#This Row],[Quantity]]*tblOrders[[#This Row],[Unit Price]]</f>
        <v>1099.74</v>
      </c>
      <c r="Q1048">
        <f>tblOrders[[#This Row],[TotalSales]]-tblOrders[[#This Row],[Calculated Sales]]</f>
        <v>0</v>
      </c>
    </row>
    <row r="1049" spans="1:17" x14ac:dyDescent="0.25">
      <c r="A1049">
        <v>1321</v>
      </c>
      <c r="B1049">
        <v>883</v>
      </c>
      <c r="C1049" t="str">
        <f>_xlfn.XLOOKUP(tblOrders[[#This Row],[CustomerID]],tblCustomers[CustomerID],tblCustomers[CustomerName],"not found")</f>
        <v>Madison Wilson</v>
      </c>
      <c r="D1049">
        <f>_xlfn.XLOOKUP(tblOrders[[#This Row],[CustomerID]],tblCustomers[CustomerID],tblCustomers[Age],"not found")</f>
        <v>66</v>
      </c>
      <c r="E1049" t="str">
        <f>_xlfn.XLOOKUP(tblOrders[[#This Row],[CustomerID]],tblCustomers[CustomerID],tblCustomers[Gender],"not found")</f>
        <v>Male</v>
      </c>
      <c r="F1049" t="str">
        <f>_xlfn.XLOOKUP(tblOrders[[#This Row],[CustomerID]],tblCustomers[CustomerID],tblCustomers[Region],"not found")</f>
        <v>Central</v>
      </c>
      <c r="G1049">
        <v>1099</v>
      </c>
      <c r="H1049" t="str">
        <f>_xlfn.XLOOKUP(tblOrders[[#This Row],[ProductID]],tblProducts[ProductID],tblProducts[ProductName],"not found")</f>
        <v>Once</v>
      </c>
      <c r="I1049" t="str">
        <f>_xlfn.XLOOKUP(tblOrders[[#This Row],[ProductID]],tblProducts[ProductID],tblProducts[Category],"not found")</f>
        <v>Apparel</v>
      </c>
      <c r="J1049">
        <f>_xlfn.XLOOKUP(tblOrders[[#This Row],[ProductID]],tblProducts[ProductID],tblProducts[UnitPrice],"not found")</f>
        <v>183.29</v>
      </c>
      <c r="K1049" t="str">
        <f>_xlfn.XLOOKUP(tblOrders[[#This Row],[ProductID]],tblProducts[ProductID],tblProducts[Supplier],"not found")</f>
        <v>Roberts, Walker and Jones</v>
      </c>
      <c r="L1049" s="1" t="s">
        <v>2156</v>
      </c>
      <c r="M10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45013</v>
      </c>
      <c r="N1049">
        <v>9</v>
      </c>
      <c r="O1049">
        <v>1649.61</v>
      </c>
      <c r="P1049">
        <f>tblOrders[[#This Row],[Quantity]]*tblOrders[[#This Row],[Unit Price]]</f>
        <v>1649.61</v>
      </c>
      <c r="Q1049">
        <f>tblOrders[[#This Row],[TotalSales]]-tblOrders[[#This Row],[Calculated Sales]]</f>
        <v>0</v>
      </c>
    </row>
    <row r="1050" spans="1:17" x14ac:dyDescent="0.25">
      <c r="A1050">
        <v>1331</v>
      </c>
      <c r="B1050">
        <v>149</v>
      </c>
      <c r="C1050" t="str">
        <f>_xlfn.XLOOKUP(tblOrders[[#This Row],[CustomerID]],tblCustomers[CustomerID],tblCustomers[CustomerName],"not found")</f>
        <v>Sandra Lane</v>
      </c>
      <c r="D1050">
        <f>_xlfn.XLOOKUP(tblOrders[[#This Row],[CustomerID]],tblCustomers[CustomerID],tblCustomers[Age],"not found")</f>
        <v>28</v>
      </c>
      <c r="E1050" t="str">
        <f>_xlfn.XLOOKUP(tblOrders[[#This Row],[CustomerID]],tblCustomers[CustomerID],tblCustomers[Gender],"not found")</f>
        <v>Female</v>
      </c>
      <c r="F1050" t="str">
        <f>_xlfn.XLOOKUP(tblOrders[[#This Row],[CustomerID]],tblCustomers[CustomerID],tblCustomers[Region],"not found")</f>
        <v>East</v>
      </c>
      <c r="G1050">
        <v>1099</v>
      </c>
      <c r="H1050" t="str">
        <f>_xlfn.XLOOKUP(tblOrders[[#This Row],[ProductID]],tblProducts[ProductID],tblProducts[ProductName],"not found")</f>
        <v>Once</v>
      </c>
      <c r="I1050" t="str">
        <f>_xlfn.XLOOKUP(tblOrders[[#This Row],[ProductID]],tblProducts[ProductID],tblProducts[Category],"not found")</f>
        <v>Apparel</v>
      </c>
      <c r="J1050">
        <f>_xlfn.XLOOKUP(tblOrders[[#This Row],[ProductID]],tblProducts[ProductID],tblProducts[UnitPrice],"not found")</f>
        <v>183.29</v>
      </c>
      <c r="K1050" t="str">
        <f>_xlfn.XLOOKUP(tblOrders[[#This Row],[ProductID]],tblProducts[ProductID],tblProducts[Supplier],"not found")</f>
        <v>Roberts, Walker and Jones</v>
      </c>
      <c r="L1050" s="1">
        <v>45387</v>
      </c>
      <c r="M10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45387</v>
      </c>
      <c r="N1050">
        <v>6</v>
      </c>
      <c r="O1050">
        <v>1099.74</v>
      </c>
      <c r="P1050">
        <f>tblOrders[[#This Row],[Quantity]]*tblOrders[[#This Row],[Unit Price]]</f>
        <v>1099.74</v>
      </c>
      <c r="Q1050">
        <f>tblOrders[[#This Row],[TotalSales]]-tblOrders[[#This Row],[Calculated Sales]]</f>
        <v>0</v>
      </c>
    </row>
    <row r="1051" spans="1:17" x14ac:dyDescent="0.25">
      <c r="A1051">
        <v>1416</v>
      </c>
      <c r="B1051">
        <v>379</v>
      </c>
      <c r="C1051" t="str">
        <f>_xlfn.XLOOKUP(tblOrders[[#This Row],[CustomerID]],tblCustomers[CustomerID],tblCustomers[CustomerName],"not found")</f>
        <v>Mary Johnson</v>
      </c>
      <c r="D1051">
        <f>_xlfn.XLOOKUP(tblOrders[[#This Row],[CustomerID]],tblCustomers[CustomerID],tblCustomers[Age],"not found")</f>
        <v>44</v>
      </c>
      <c r="E1051" t="str">
        <f>_xlfn.XLOOKUP(tblOrders[[#This Row],[CustomerID]],tblCustomers[CustomerID],tblCustomers[Gender],"not found")</f>
        <v>Female</v>
      </c>
      <c r="F1051" t="str">
        <f>_xlfn.XLOOKUP(tblOrders[[#This Row],[CustomerID]],tblCustomers[CustomerID],tblCustomers[Region],"not found")</f>
        <v>West</v>
      </c>
      <c r="G1051">
        <v>1099</v>
      </c>
      <c r="H1051" t="str">
        <f>_xlfn.XLOOKUP(tblOrders[[#This Row],[ProductID]],tblProducts[ProductID],tblProducts[ProductName],"not found")</f>
        <v>Once</v>
      </c>
      <c r="I1051" t="str">
        <f>_xlfn.XLOOKUP(tblOrders[[#This Row],[ProductID]],tblProducts[ProductID],tblProducts[Category],"not found")</f>
        <v>Apparel</v>
      </c>
      <c r="J1051">
        <f>_xlfn.XLOOKUP(tblOrders[[#This Row],[ProductID]],tblProducts[ProductID],tblProducts[UnitPrice],"not found")</f>
        <v>183.29</v>
      </c>
      <c r="K1051" t="str">
        <f>_xlfn.XLOOKUP(tblOrders[[#This Row],[ProductID]],tblProducts[ProductID],tblProducts[Supplier],"not found")</f>
        <v>Roberts, Walker and Jones</v>
      </c>
      <c r="L1051" s="1" t="s">
        <v>2214</v>
      </c>
      <c r="M10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45219</v>
      </c>
      <c r="N1051">
        <v>5</v>
      </c>
      <c r="O1051">
        <v>916.45</v>
      </c>
      <c r="P1051">
        <f>tblOrders[[#This Row],[Quantity]]*tblOrders[[#This Row],[Unit Price]]</f>
        <v>916.44999999999993</v>
      </c>
      <c r="Q1051">
        <f>tblOrders[[#This Row],[TotalSales]]-tblOrders[[#This Row],[Calculated Sales]]</f>
        <v>0</v>
      </c>
    </row>
    <row r="1052" spans="1:17" x14ac:dyDescent="0.25">
      <c r="A1052">
        <v>1546</v>
      </c>
      <c r="B1052">
        <v>381</v>
      </c>
      <c r="C1052" t="str">
        <f>_xlfn.XLOOKUP(tblOrders[[#This Row],[CustomerID]],tblCustomers[CustomerID],tblCustomers[CustomerName],"not found")</f>
        <v>Alan Choi</v>
      </c>
      <c r="D1052">
        <f>_xlfn.XLOOKUP(tblOrders[[#This Row],[CustomerID]],tblCustomers[CustomerID],tblCustomers[Age],"not found")</f>
        <v>26</v>
      </c>
      <c r="E1052" t="str">
        <f>_xlfn.XLOOKUP(tblOrders[[#This Row],[CustomerID]],tblCustomers[CustomerID],tblCustomers[Gender],"not found")</f>
        <v>Female</v>
      </c>
      <c r="F1052" t="str">
        <f>_xlfn.XLOOKUP(tblOrders[[#This Row],[CustomerID]],tblCustomers[CustomerID],tblCustomers[Region],"not found")</f>
        <v>Central</v>
      </c>
      <c r="G1052">
        <v>1099</v>
      </c>
      <c r="H1052" t="str">
        <f>_xlfn.XLOOKUP(tblOrders[[#This Row],[ProductID]],tblProducts[ProductID],tblProducts[ProductName],"not found")</f>
        <v>Once</v>
      </c>
      <c r="I1052" t="str">
        <f>_xlfn.XLOOKUP(tblOrders[[#This Row],[ProductID]],tblProducts[ProductID],tblProducts[Category],"not found")</f>
        <v>Apparel</v>
      </c>
      <c r="J1052">
        <f>_xlfn.XLOOKUP(tblOrders[[#This Row],[ProductID]],tblProducts[ProductID],tblProducts[UnitPrice],"not found")</f>
        <v>183.29</v>
      </c>
      <c r="K1052" t="str">
        <f>_xlfn.XLOOKUP(tblOrders[[#This Row],[ProductID]],tblProducts[ProductID],tblProducts[Supplier],"not found")</f>
        <v>Roberts, Walker and Jones</v>
      </c>
      <c r="L1052" s="1">
        <v>44932</v>
      </c>
      <c r="M10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44932</v>
      </c>
      <c r="N1052">
        <v>3</v>
      </c>
      <c r="O1052">
        <v>549.87</v>
      </c>
      <c r="P1052">
        <f>tblOrders[[#This Row],[Quantity]]*tblOrders[[#This Row],[Unit Price]]</f>
        <v>549.87</v>
      </c>
      <c r="Q1052">
        <f>tblOrders[[#This Row],[TotalSales]]-tblOrders[[#This Row],[Calculated Sales]]</f>
        <v>0</v>
      </c>
    </row>
    <row r="1053" spans="1:17" x14ac:dyDescent="0.25">
      <c r="A1053">
        <v>1721</v>
      </c>
      <c r="B1053">
        <v>586</v>
      </c>
      <c r="C1053" t="str">
        <f>_xlfn.XLOOKUP(tblOrders[[#This Row],[CustomerID]],tblCustomers[CustomerID],tblCustomers[CustomerName],"not found")</f>
        <v>Lauren King</v>
      </c>
      <c r="D1053">
        <f>_xlfn.XLOOKUP(tblOrders[[#This Row],[CustomerID]],tblCustomers[CustomerID],tblCustomers[Age],"not found")</f>
        <v>60</v>
      </c>
      <c r="E1053" t="str">
        <f>_xlfn.XLOOKUP(tblOrders[[#This Row],[CustomerID]],tblCustomers[CustomerID],tblCustomers[Gender],"not found")</f>
        <v>Female</v>
      </c>
      <c r="F1053" t="str">
        <f>_xlfn.XLOOKUP(tblOrders[[#This Row],[CustomerID]],tblCustomers[CustomerID],tblCustomers[Region],"not found")</f>
        <v>North</v>
      </c>
      <c r="G1053">
        <v>1099</v>
      </c>
      <c r="H1053" t="str">
        <f>_xlfn.XLOOKUP(tblOrders[[#This Row],[ProductID]],tblProducts[ProductID],tblProducts[ProductName],"not found")</f>
        <v>Once</v>
      </c>
      <c r="I1053" t="str">
        <f>_xlfn.XLOOKUP(tblOrders[[#This Row],[ProductID]],tblProducts[ProductID],tblProducts[Category],"not found")</f>
        <v>Apparel</v>
      </c>
      <c r="J1053">
        <f>_xlfn.XLOOKUP(tblOrders[[#This Row],[ProductID]],tblProducts[ProductID],tblProducts[UnitPrice],"not found")</f>
        <v>183.29</v>
      </c>
      <c r="K1053" t="str">
        <f>_xlfn.XLOOKUP(tblOrders[[#This Row],[ProductID]],tblProducts[ProductID],tblProducts[Supplier],"not found")</f>
        <v>Roberts, Walker and Jones</v>
      </c>
      <c r="L1053" s="1" t="s">
        <v>2331</v>
      </c>
      <c r="M10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45092</v>
      </c>
      <c r="N1053">
        <v>2</v>
      </c>
      <c r="O1053">
        <v>366.58</v>
      </c>
      <c r="P1053">
        <f>tblOrders[[#This Row],[Quantity]]*tblOrders[[#This Row],[Unit Price]]</f>
        <v>366.58</v>
      </c>
      <c r="Q1053">
        <f>tblOrders[[#This Row],[TotalSales]]-tblOrders[[#This Row],[Calculated Sales]]</f>
        <v>0</v>
      </c>
    </row>
    <row r="1054" spans="1:17" x14ac:dyDescent="0.25">
      <c r="A1054">
        <v>67</v>
      </c>
      <c r="B1054">
        <v>823</v>
      </c>
      <c r="C1054" t="str">
        <f>_xlfn.XLOOKUP(tblOrders[[#This Row],[CustomerID]],tblCustomers[CustomerID],tblCustomers[CustomerName],"not found")</f>
        <v>Scott Thomas</v>
      </c>
      <c r="D1054">
        <f>_xlfn.XLOOKUP(tblOrders[[#This Row],[CustomerID]],tblCustomers[CustomerID],tblCustomers[Age],"not found")</f>
        <v>28</v>
      </c>
      <c r="E1054" t="str">
        <f>_xlfn.XLOOKUP(tblOrders[[#This Row],[CustomerID]],tblCustomers[CustomerID],tblCustomers[Gender],"not found")</f>
        <v>Male</v>
      </c>
      <c r="F1054" t="str">
        <f>_xlfn.XLOOKUP(tblOrders[[#This Row],[CustomerID]],tblCustomers[CustomerID],tblCustomers[Region],"not found")</f>
        <v>East</v>
      </c>
      <c r="G1054">
        <v>1037</v>
      </c>
      <c r="H1054" t="str">
        <f>_xlfn.XLOOKUP(tblOrders[[#This Row],[ProductID]],tblProducts[ProductID],tblProducts[ProductName],"not found")</f>
        <v>Yeah</v>
      </c>
      <c r="I1054" t="str">
        <f>_xlfn.XLOOKUP(tblOrders[[#This Row],[ProductID]],tblProducts[ProductID],tblProducts[Category],"not found")</f>
        <v>Electronics</v>
      </c>
      <c r="J1054">
        <f>_xlfn.XLOOKUP(tblOrders[[#This Row],[ProductID]],tblProducts[ProductID],tblProducts[UnitPrice],"not found")</f>
        <v>70.42</v>
      </c>
      <c r="K1054" t="str">
        <f>_xlfn.XLOOKUP(tblOrders[[#This Row],[ProductID]],tblProducts[ProductID],tblProducts[Supplier],"not found")</f>
        <v>Kramer LLC</v>
      </c>
      <c r="L1054" s="1">
        <v>45632</v>
      </c>
      <c r="M10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1054">
        <v>6</v>
      </c>
      <c r="O1054">
        <v>422.52</v>
      </c>
      <c r="P1054">
        <f>tblOrders[[#This Row],[Quantity]]*tblOrders[[#This Row],[Unit Price]]</f>
        <v>422.52</v>
      </c>
      <c r="Q1054">
        <f>tblOrders[[#This Row],[TotalSales]]-tblOrders[[#This Row],[Calculated Sales]]</f>
        <v>0</v>
      </c>
    </row>
    <row r="1055" spans="1:17" x14ac:dyDescent="0.25">
      <c r="A1055">
        <v>165</v>
      </c>
      <c r="B1055">
        <v>90</v>
      </c>
      <c r="C1055" t="str">
        <f>_xlfn.XLOOKUP(tblOrders[[#This Row],[CustomerID]],tblCustomers[CustomerID],tblCustomers[CustomerName],"not found")</f>
        <v>Karen Luna</v>
      </c>
      <c r="D1055">
        <f>_xlfn.XLOOKUP(tblOrders[[#This Row],[CustomerID]],tblCustomers[CustomerID],tblCustomers[Age],"not found")</f>
        <v>35</v>
      </c>
      <c r="E1055" t="str">
        <f>_xlfn.XLOOKUP(tblOrders[[#This Row],[CustomerID]],tblCustomers[CustomerID],tblCustomers[Gender],"not found")</f>
        <v>Male</v>
      </c>
      <c r="F1055" t="str">
        <f>_xlfn.XLOOKUP(tblOrders[[#This Row],[CustomerID]],tblCustomers[CustomerID],tblCustomers[Region],"not found")</f>
        <v>West</v>
      </c>
      <c r="G1055">
        <v>1037</v>
      </c>
      <c r="H1055" t="str">
        <f>_xlfn.XLOOKUP(tblOrders[[#This Row],[ProductID]],tblProducts[ProductID],tblProducts[ProductName],"not found")</f>
        <v>Yeah</v>
      </c>
      <c r="I1055" t="str">
        <f>_xlfn.XLOOKUP(tblOrders[[#This Row],[ProductID]],tblProducts[ProductID],tblProducts[Category],"not found")</f>
        <v>Electronics</v>
      </c>
      <c r="J1055">
        <f>_xlfn.XLOOKUP(tblOrders[[#This Row],[ProductID]],tblProducts[ProductID],tblProducts[UnitPrice],"not found")</f>
        <v>70.42</v>
      </c>
      <c r="K1055" t="str">
        <f>_xlfn.XLOOKUP(tblOrders[[#This Row],[ProductID]],tblProducts[ProductID],tblProducts[Supplier],"not found")</f>
        <v>Kramer LLC</v>
      </c>
      <c r="L1055" s="1" t="s">
        <v>2070</v>
      </c>
      <c r="M10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44954</v>
      </c>
      <c r="N1055">
        <v>6</v>
      </c>
      <c r="O1055">
        <v>422.52</v>
      </c>
      <c r="P1055">
        <f>tblOrders[[#This Row],[Quantity]]*tblOrders[[#This Row],[Unit Price]]</f>
        <v>422.52</v>
      </c>
      <c r="Q1055">
        <f>tblOrders[[#This Row],[TotalSales]]-tblOrders[[#This Row],[Calculated Sales]]</f>
        <v>0</v>
      </c>
    </row>
    <row r="1056" spans="1:17" x14ac:dyDescent="0.25">
      <c r="A1056">
        <v>179</v>
      </c>
      <c r="B1056">
        <v>416</v>
      </c>
      <c r="C1056" t="str">
        <f>_xlfn.XLOOKUP(tblOrders[[#This Row],[CustomerID]],tblCustomers[CustomerID],tblCustomers[CustomerName],"not found")</f>
        <v>Ronald Hawkins</v>
      </c>
      <c r="D1056">
        <f>_xlfn.XLOOKUP(tblOrders[[#This Row],[CustomerID]],tblCustomers[CustomerID],tblCustomers[Age],"not found")</f>
        <v>24</v>
      </c>
      <c r="E1056" t="str">
        <f>_xlfn.XLOOKUP(tblOrders[[#This Row],[CustomerID]],tblCustomers[CustomerID],tblCustomers[Gender],"not found")</f>
        <v>Female</v>
      </c>
      <c r="F1056" t="str">
        <f>_xlfn.XLOOKUP(tblOrders[[#This Row],[CustomerID]],tblCustomers[CustomerID],tblCustomers[Region],"not found")</f>
        <v>Central</v>
      </c>
      <c r="G1056">
        <v>1037</v>
      </c>
      <c r="H1056" t="str">
        <f>_xlfn.XLOOKUP(tblOrders[[#This Row],[ProductID]],tblProducts[ProductID],tblProducts[ProductName],"not found")</f>
        <v>Yeah</v>
      </c>
      <c r="I1056" t="str">
        <f>_xlfn.XLOOKUP(tblOrders[[#This Row],[ProductID]],tblProducts[ProductID],tblProducts[Category],"not found")</f>
        <v>Electronics</v>
      </c>
      <c r="J1056">
        <f>_xlfn.XLOOKUP(tblOrders[[#This Row],[ProductID]],tblProducts[ProductID],tblProducts[UnitPrice],"not found")</f>
        <v>70.42</v>
      </c>
      <c r="K1056" t="str">
        <f>_xlfn.XLOOKUP(tblOrders[[#This Row],[ProductID]],tblProducts[ProductID],tblProducts[Supplier],"not found")</f>
        <v>Kramer LLC</v>
      </c>
      <c r="L1056" s="1">
        <v>44723</v>
      </c>
      <c r="M10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1056">
        <v>5</v>
      </c>
      <c r="O1056">
        <v>352.1</v>
      </c>
      <c r="P1056">
        <f>tblOrders[[#This Row],[Quantity]]*tblOrders[[#This Row],[Unit Price]]</f>
        <v>352.1</v>
      </c>
      <c r="Q1056">
        <f>tblOrders[[#This Row],[TotalSales]]-tblOrders[[#This Row],[Calculated Sales]]</f>
        <v>0</v>
      </c>
    </row>
    <row r="1057" spans="1:17" x14ac:dyDescent="0.25">
      <c r="A1057">
        <v>224</v>
      </c>
      <c r="B1057">
        <v>971</v>
      </c>
      <c r="C1057" t="str">
        <f>_xlfn.XLOOKUP(tblOrders[[#This Row],[CustomerID]],tblCustomers[CustomerID],tblCustomers[CustomerName],"not found")</f>
        <v>Angela Acevedo</v>
      </c>
      <c r="D1057">
        <f>_xlfn.XLOOKUP(tblOrders[[#This Row],[CustomerID]],tblCustomers[CustomerID],tblCustomers[Age],"not found")</f>
        <v>53</v>
      </c>
      <c r="E1057" t="str">
        <f>_xlfn.XLOOKUP(tblOrders[[#This Row],[CustomerID]],tblCustomers[CustomerID],tblCustomers[Gender],"not found")</f>
        <v>Male</v>
      </c>
      <c r="F1057" t="str">
        <f>_xlfn.XLOOKUP(tblOrders[[#This Row],[CustomerID]],tblCustomers[CustomerID],tblCustomers[Region],"not found")</f>
        <v>South</v>
      </c>
      <c r="G1057">
        <v>1037</v>
      </c>
      <c r="H1057" t="str">
        <f>_xlfn.XLOOKUP(tblOrders[[#This Row],[ProductID]],tblProducts[ProductID],tblProducts[ProductName],"not found")</f>
        <v>Yeah</v>
      </c>
      <c r="I1057" t="str">
        <f>_xlfn.XLOOKUP(tblOrders[[#This Row],[ProductID]],tblProducts[ProductID],tblProducts[Category],"not found")</f>
        <v>Electronics</v>
      </c>
      <c r="J1057">
        <f>_xlfn.XLOOKUP(tblOrders[[#This Row],[ProductID]],tblProducts[ProductID],tblProducts[UnitPrice],"not found")</f>
        <v>70.42</v>
      </c>
      <c r="K1057" t="str">
        <f>_xlfn.XLOOKUP(tblOrders[[#This Row],[ProductID]],tblProducts[ProductID],tblProducts[Supplier],"not found")</f>
        <v>Kramer LLC</v>
      </c>
      <c r="L1057" s="1" t="s">
        <v>2282</v>
      </c>
      <c r="M10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44889</v>
      </c>
      <c r="N1057">
        <v>9</v>
      </c>
      <c r="O1057">
        <v>633.78</v>
      </c>
      <c r="P1057">
        <f>tblOrders[[#This Row],[Quantity]]*tblOrders[[#This Row],[Unit Price]]</f>
        <v>633.78</v>
      </c>
      <c r="Q1057">
        <f>tblOrders[[#This Row],[TotalSales]]-tblOrders[[#This Row],[Calculated Sales]]</f>
        <v>0</v>
      </c>
    </row>
    <row r="1058" spans="1:17" x14ac:dyDescent="0.25">
      <c r="A1058">
        <v>307</v>
      </c>
      <c r="B1058">
        <v>144</v>
      </c>
      <c r="C1058" t="str">
        <f>_xlfn.XLOOKUP(tblOrders[[#This Row],[CustomerID]],tblCustomers[CustomerID],tblCustomers[CustomerName],"not found")</f>
        <v>Cody Thomas</v>
      </c>
      <c r="D1058">
        <f>_xlfn.XLOOKUP(tblOrders[[#This Row],[CustomerID]],tblCustomers[CustomerID],tblCustomers[Age],"not found")</f>
        <v>24</v>
      </c>
      <c r="E1058" t="str">
        <f>_xlfn.XLOOKUP(tblOrders[[#This Row],[CustomerID]],tblCustomers[CustomerID],tblCustomers[Gender],"not found")</f>
        <v>Female</v>
      </c>
      <c r="F1058" t="str">
        <f>_xlfn.XLOOKUP(tblOrders[[#This Row],[CustomerID]],tblCustomers[CustomerID],tblCustomers[Region],"not found")</f>
        <v>North</v>
      </c>
      <c r="G1058">
        <v>1037</v>
      </c>
      <c r="H1058" t="str">
        <f>_xlfn.XLOOKUP(tblOrders[[#This Row],[ProductID]],tblProducts[ProductID],tblProducts[ProductName],"not found")</f>
        <v>Yeah</v>
      </c>
      <c r="I1058" t="str">
        <f>_xlfn.XLOOKUP(tblOrders[[#This Row],[ProductID]],tblProducts[ProductID],tblProducts[Category],"not found")</f>
        <v>Electronics</v>
      </c>
      <c r="J1058">
        <f>_xlfn.XLOOKUP(tblOrders[[#This Row],[ProductID]],tblProducts[ProductID],tblProducts[UnitPrice],"not found")</f>
        <v>70.42</v>
      </c>
      <c r="K1058" t="str">
        <f>_xlfn.XLOOKUP(tblOrders[[#This Row],[ProductID]],tblProducts[ProductID],tblProducts[Supplier],"not found")</f>
        <v>Kramer LLC</v>
      </c>
      <c r="L1058" s="1">
        <v>45570</v>
      </c>
      <c r="M10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45570</v>
      </c>
      <c r="N1058">
        <v>7</v>
      </c>
      <c r="O1058">
        <v>492.94</v>
      </c>
      <c r="P1058">
        <f>tblOrders[[#This Row],[Quantity]]*tblOrders[[#This Row],[Unit Price]]</f>
        <v>492.94</v>
      </c>
      <c r="Q1058">
        <f>tblOrders[[#This Row],[TotalSales]]-tblOrders[[#This Row],[Calculated Sales]]</f>
        <v>0</v>
      </c>
    </row>
    <row r="1059" spans="1:17" x14ac:dyDescent="0.25">
      <c r="A1059">
        <v>448</v>
      </c>
      <c r="B1059">
        <v>153</v>
      </c>
      <c r="C1059" t="str">
        <f>_xlfn.XLOOKUP(tblOrders[[#This Row],[CustomerID]],tblCustomers[CustomerID],tblCustomers[CustomerName],"not found")</f>
        <v>Jesse Moore</v>
      </c>
      <c r="D1059">
        <f>_xlfn.XLOOKUP(tblOrders[[#This Row],[CustomerID]],tblCustomers[CustomerID],tblCustomers[Age],"not found")</f>
        <v>24</v>
      </c>
      <c r="E1059" t="str">
        <f>_xlfn.XLOOKUP(tblOrders[[#This Row],[CustomerID]],tblCustomers[CustomerID],tblCustomers[Gender],"not found")</f>
        <v>Female</v>
      </c>
      <c r="F1059" t="str">
        <f>_xlfn.XLOOKUP(tblOrders[[#This Row],[CustomerID]],tblCustomers[CustomerID],tblCustomers[Region],"not found")</f>
        <v>Central</v>
      </c>
      <c r="G1059">
        <v>1037</v>
      </c>
      <c r="H1059" t="str">
        <f>_xlfn.XLOOKUP(tblOrders[[#This Row],[ProductID]],tblProducts[ProductID],tblProducts[ProductName],"not found")</f>
        <v>Yeah</v>
      </c>
      <c r="I1059" t="str">
        <f>_xlfn.XLOOKUP(tblOrders[[#This Row],[ProductID]],tblProducts[ProductID],tblProducts[Category],"not found")</f>
        <v>Electronics</v>
      </c>
      <c r="J1059">
        <f>_xlfn.XLOOKUP(tblOrders[[#This Row],[ProductID]],tblProducts[ProductID],tblProducts[UnitPrice],"not found")</f>
        <v>70.42</v>
      </c>
      <c r="K1059" t="str">
        <f>_xlfn.XLOOKUP(tblOrders[[#This Row],[ProductID]],tblProducts[ProductID],tblProducts[Supplier],"not found")</f>
        <v>Kramer LLC</v>
      </c>
      <c r="L1059" s="1" t="s">
        <v>2350</v>
      </c>
      <c r="M10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44952</v>
      </c>
      <c r="N1059">
        <v>7</v>
      </c>
      <c r="O1059">
        <v>492.94</v>
      </c>
      <c r="P1059">
        <f>tblOrders[[#This Row],[Quantity]]*tblOrders[[#This Row],[Unit Price]]</f>
        <v>492.94</v>
      </c>
      <c r="Q1059">
        <f>tblOrders[[#This Row],[TotalSales]]-tblOrders[[#This Row],[Calculated Sales]]</f>
        <v>0</v>
      </c>
    </row>
    <row r="1060" spans="1:17" x14ac:dyDescent="0.25">
      <c r="A1060">
        <v>502</v>
      </c>
      <c r="B1060">
        <v>351</v>
      </c>
      <c r="C1060" t="str">
        <f>_xlfn.XLOOKUP(tblOrders[[#This Row],[CustomerID]],tblCustomers[CustomerID],tblCustomers[CustomerName],"not found")</f>
        <v>David Zamora V</v>
      </c>
      <c r="D1060">
        <f>_xlfn.XLOOKUP(tblOrders[[#This Row],[CustomerID]],tblCustomers[CustomerID],tblCustomers[Age],"not found")</f>
        <v>64</v>
      </c>
      <c r="E1060" t="str">
        <f>_xlfn.XLOOKUP(tblOrders[[#This Row],[CustomerID]],tblCustomers[CustomerID],tblCustomers[Gender],"not found")</f>
        <v>Female</v>
      </c>
      <c r="F1060" t="str">
        <f>_xlfn.XLOOKUP(tblOrders[[#This Row],[CustomerID]],tblCustomers[CustomerID],tblCustomers[Region],"not found")</f>
        <v>East</v>
      </c>
      <c r="G1060">
        <v>1037</v>
      </c>
      <c r="H1060" t="str">
        <f>_xlfn.XLOOKUP(tblOrders[[#This Row],[ProductID]],tblProducts[ProductID],tblProducts[ProductName],"not found")</f>
        <v>Yeah</v>
      </c>
      <c r="I1060" t="str">
        <f>_xlfn.XLOOKUP(tblOrders[[#This Row],[ProductID]],tblProducts[ProductID],tblProducts[Category],"not found")</f>
        <v>Electronics</v>
      </c>
      <c r="J1060">
        <f>_xlfn.XLOOKUP(tblOrders[[#This Row],[ProductID]],tblProducts[ProductID],tblProducts[UnitPrice],"not found")</f>
        <v>70.42</v>
      </c>
      <c r="K1060" t="str">
        <f>_xlfn.XLOOKUP(tblOrders[[#This Row],[ProductID]],tblProducts[ProductID],tblProducts[Supplier],"not found")</f>
        <v>Kramer LLC</v>
      </c>
      <c r="L1060" s="1">
        <v>45302</v>
      </c>
      <c r="M10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45302</v>
      </c>
      <c r="N1060">
        <v>3</v>
      </c>
      <c r="O1060">
        <v>211.26</v>
      </c>
      <c r="P1060">
        <f>tblOrders[[#This Row],[Quantity]]*tblOrders[[#This Row],[Unit Price]]</f>
        <v>211.26</v>
      </c>
      <c r="Q1060">
        <f>tblOrders[[#This Row],[TotalSales]]-tblOrders[[#This Row],[Calculated Sales]]</f>
        <v>0</v>
      </c>
    </row>
    <row r="1061" spans="1:17" x14ac:dyDescent="0.25">
      <c r="A1061">
        <v>609</v>
      </c>
      <c r="B1061">
        <v>147</v>
      </c>
      <c r="C1061" t="str">
        <f>_xlfn.XLOOKUP(tblOrders[[#This Row],[CustomerID]],tblCustomers[CustomerID],tblCustomers[CustomerName],"not found")</f>
        <v>Trevor Wilson</v>
      </c>
      <c r="D1061">
        <f>_xlfn.XLOOKUP(tblOrders[[#This Row],[CustomerID]],tblCustomers[CustomerID],tblCustomers[Age],"not found")</f>
        <v>57</v>
      </c>
      <c r="E1061" t="str">
        <f>_xlfn.XLOOKUP(tblOrders[[#This Row],[CustomerID]],tblCustomers[CustomerID],tblCustomers[Gender],"not found")</f>
        <v>Male</v>
      </c>
      <c r="F1061" t="str">
        <f>_xlfn.XLOOKUP(tblOrders[[#This Row],[CustomerID]],tblCustomers[CustomerID],tblCustomers[Region],"not found")</f>
        <v>North</v>
      </c>
      <c r="G1061">
        <v>1037</v>
      </c>
      <c r="H1061" t="str">
        <f>_xlfn.XLOOKUP(tblOrders[[#This Row],[ProductID]],tblProducts[ProductID],tblProducts[ProductName],"not found")</f>
        <v>Yeah</v>
      </c>
      <c r="I1061" t="str">
        <f>_xlfn.XLOOKUP(tblOrders[[#This Row],[ProductID]],tblProducts[ProductID],tblProducts[Category],"not found")</f>
        <v>Electronics</v>
      </c>
      <c r="J1061">
        <f>_xlfn.XLOOKUP(tblOrders[[#This Row],[ProductID]],tblProducts[ProductID],tblProducts[UnitPrice],"not found")</f>
        <v>70.42</v>
      </c>
      <c r="K1061" t="str">
        <f>_xlfn.XLOOKUP(tblOrders[[#This Row],[ProductID]],tblProducts[ProductID],tblProducts[Supplier],"not found")</f>
        <v>Kramer LLC</v>
      </c>
      <c r="L1061" s="1" t="s">
        <v>2351</v>
      </c>
      <c r="M10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44916</v>
      </c>
      <c r="N1061">
        <v>7</v>
      </c>
      <c r="O1061">
        <v>492.94</v>
      </c>
      <c r="P1061">
        <f>tblOrders[[#This Row],[Quantity]]*tblOrders[[#This Row],[Unit Price]]</f>
        <v>492.94</v>
      </c>
      <c r="Q1061">
        <f>tblOrders[[#This Row],[TotalSales]]-tblOrders[[#This Row],[Calculated Sales]]</f>
        <v>0</v>
      </c>
    </row>
    <row r="1062" spans="1:17" x14ac:dyDescent="0.25">
      <c r="A1062">
        <v>779</v>
      </c>
      <c r="B1062">
        <v>326</v>
      </c>
      <c r="C1062" t="str">
        <f>_xlfn.XLOOKUP(tblOrders[[#This Row],[CustomerID]],tblCustomers[CustomerID],tblCustomers[CustomerName],"not found")</f>
        <v>Matthew Walker</v>
      </c>
      <c r="D1062">
        <f>_xlfn.XLOOKUP(tblOrders[[#This Row],[CustomerID]],tblCustomers[CustomerID],tblCustomers[Age],"not found")</f>
        <v>35</v>
      </c>
      <c r="E1062" t="str">
        <f>_xlfn.XLOOKUP(tblOrders[[#This Row],[CustomerID]],tblCustomers[CustomerID],tblCustomers[Gender],"not found")</f>
        <v>Male</v>
      </c>
      <c r="F1062" t="str">
        <f>_xlfn.XLOOKUP(tblOrders[[#This Row],[CustomerID]],tblCustomers[CustomerID],tblCustomers[Region],"not found")</f>
        <v>East</v>
      </c>
      <c r="G1062">
        <v>1037</v>
      </c>
      <c r="H1062" t="str">
        <f>_xlfn.XLOOKUP(tblOrders[[#This Row],[ProductID]],tblProducts[ProductID],tblProducts[ProductName],"not found")</f>
        <v>Yeah</v>
      </c>
      <c r="I1062" t="str">
        <f>_xlfn.XLOOKUP(tblOrders[[#This Row],[ProductID]],tblProducts[ProductID],tblProducts[Category],"not found")</f>
        <v>Electronics</v>
      </c>
      <c r="J1062">
        <f>_xlfn.XLOOKUP(tblOrders[[#This Row],[ProductID]],tblProducts[ProductID],tblProducts[UnitPrice],"not found")</f>
        <v>70.42</v>
      </c>
      <c r="K1062" t="str">
        <f>_xlfn.XLOOKUP(tblOrders[[#This Row],[ProductID]],tblProducts[ProductID],tblProducts[Supplier],"not found")</f>
        <v>Kramer LLC</v>
      </c>
      <c r="L1062" s="1" t="s">
        <v>2352</v>
      </c>
      <c r="M10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44913</v>
      </c>
      <c r="N1062">
        <v>2</v>
      </c>
      <c r="O1062">
        <v>140.84</v>
      </c>
      <c r="P1062">
        <f>tblOrders[[#This Row],[Quantity]]*tblOrders[[#This Row],[Unit Price]]</f>
        <v>140.84</v>
      </c>
      <c r="Q1062">
        <f>tblOrders[[#This Row],[TotalSales]]-tblOrders[[#This Row],[Calculated Sales]]</f>
        <v>0</v>
      </c>
    </row>
    <row r="1063" spans="1:17" x14ac:dyDescent="0.25">
      <c r="A1063">
        <v>832</v>
      </c>
      <c r="B1063">
        <v>371</v>
      </c>
      <c r="C1063" t="str">
        <f>_xlfn.XLOOKUP(tblOrders[[#This Row],[CustomerID]],tblCustomers[CustomerID],tblCustomers[CustomerName],"not found")</f>
        <v>Jennifer Cole</v>
      </c>
      <c r="D1063">
        <f>_xlfn.XLOOKUP(tblOrders[[#This Row],[CustomerID]],tblCustomers[CustomerID],tblCustomers[Age],"not found")</f>
        <v>49</v>
      </c>
      <c r="E1063" t="str">
        <f>_xlfn.XLOOKUP(tblOrders[[#This Row],[CustomerID]],tblCustomers[CustomerID],tblCustomers[Gender],"not found")</f>
        <v>Male</v>
      </c>
      <c r="F1063" t="str">
        <f>_xlfn.XLOOKUP(tblOrders[[#This Row],[CustomerID]],tblCustomers[CustomerID],tblCustomers[Region],"not found")</f>
        <v>North</v>
      </c>
      <c r="G1063">
        <v>1037</v>
      </c>
      <c r="H1063" t="str">
        <f>_xlfn.XLOOKUP(tblOrders[[#This Row],[ProductID]],tblProducts[ProductID],tblProducts[ProductName],"not found")</f>
        <v>Yeah</v>
      </c>
      <c r="I1063" t="str">
        <f>_xlfn.XLOOKUP(tblOrders[[#This Row],[ProductID]],tblProducts[ProductID],tblProducts[Category],"not found")</f>
        <v>Electronics</v>
      </c>
      <c r="J1063">
        <f>_xlfn.XLOOKUP(tblOrders[[#This Row],[ProductID]],tblProducts[ProductID],tblProducts[UnitPrice],"not found")</f>
        <v>70.42</v>
      </c>
      <c r="K1063" t="str">
        <f>_xlfn.XLOOKUP(tblOrders[[#This Row],[ProductID]],tblProducts[ProductID],tblProducts[Supplier],"not found")</f>
        <v>Kramer LLC</v>
      </c>
      <c r="L1063" s="1" t="s">
        <v>2058</v>
      </c>
      <c r="M10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45563</v>
      </c>
      <c r="N1063">
        <v>3</v>
      </c>
      <c r="O1063">
        <v>211.26</v>
      </c>
      <c r="P1063">
        <f>tblOrders[[#This Row],[Quantity]]*tblOrders[[#This Row],[Unit Price]]</f>
        <v>211.26</v>
      </c>
      <c r="Q1063">
        <f>tblOrders[[#This Row],[TotalSales]]-tblOrders[[#This Row],[Calculated Sales]]</f>
        <v>0</v>
      </c>
    </row>
    <row r="1064" spans="1:17" x14ac:dyDescent="0.25">
      <c r="A1064">
        <v>936</v>
      </c>
      <c r="B1064">
        <v>576</v>
      </c>
      <c r="C1064" t="str">
        <f>_xlfn.XLOOKUP(tblOrders[[#This Row],[CustomerID]],tblCustomers[CustomerID],tblCustomers[CustomerName],"not found")</f>
        <v>Wayne Juarez</v>
      </c>
      <c r="D1064">
        <f>_xlfn.XLOOKUP(tblOrders[[#This Row],[CustomerID]],tblCustomers[CustomerID],tblCustomers[Age],"not found")</f>
        <v>36</v>
      </c>
      <c r="E1064" t="str">
        <f>_xlfn.XLOOKUP(tblOrders[[#This Row],[CustomerID]],tblCustomers[CustomerID],tblCustomers[Gender],"not found")</f>
        <v>Male</v>
      </c>
      <c r="F1064" t="str">
        <f>_xlfn.XLOOKUP(tblOrders[[#This Row],[CustomerID]],tblCustomers[CustomerID],tblCustomers[Region],"not found")</f>
        <v>Central</v>
      </c>
      <c r="G1064">
        <v>1037</v>
      </c>
      <c r="H1064" t="str">
        <f>_xlfn.XLOOKUP(tblOrders[[#This Row],[ProductID]],tblProducts[ProductID],tblProducts[ProductName],"not found")</f>
        <v>Yeah</v>
      </c>
      <c r="I1064" t="str">
        <f>_xlfn.XLOOKUP(tblOrders[[#This Row],[ProductID]],tblProducts[ProductID],tblProducts[Category],"not found")</f>
        <v>Electronics</v>
      </c>
      <c r="J1064">
        <f>_xlfn.XLOOKUP(tblOrders[[#This Row],[ProductID]],tblProducts[ProductID],tblProducts[UnitPrice],"not found")</f>
        <v>70.42</v>
      </c>
      <c r="K1064" t="str">
        <f>_xlfn.XLOOKUP(tblOrders[[#This Row],[ProductID]],tblProducts[ProductID],tblProducts[Supplier],"not found")</f>
        <v>Kramer LLC</v>
      </c>
      <c r="L1064" s="1">
        <v>44936</v>
      </c>
      <c r="M10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1064">
        <v>5</v>
      </c>
      <c r="O1064">
        <v>352.1</v>
      </c>
      <c r="P1064">
        <f>tblOrders[[#This Row],[Quantity]]*tblOrders[[#This Row],[Unit Price]]</f>
        <v>352.1</v>
      </c>
      <c r="Q1064">
        <f>tblOrders[[#This Row],[TotalSales]]-tblOrders[[#This Row],[Calculated Sales]]</f>
        <v>0</v>
      </c>
    </row>
    <row r="1065" spans="1:17" x14ac:dyDescent="0.25">
      <c r="A1065">
        <v>1032</v>
      </c>
      <c r="B1065">
        <v>70</v>
      </c>
      <c r="C1065" t="str">
        <f>_xlfn.XLOOKUP(tblOrders[[#This Row],[CustomerID]],tblCustomers[CustomerID],tblCustomers[CustomerName],"not found")</f>
        <v>Christopher Marshall</v>
      </c>
      <c r="D1065">
        <f>_xlfn.XLOOKUP(tblOrders[[#This Row],[CustomerID]],tblCustomers[CustomerID],tblCustomers[Age],"not found")</f>
        <v>57</v>
      </c>
      <c r="E1065" t="str">
        <f>_xlfn.XLOOKUP(tblOrders[[#This Row],[CustomerID]],tblCustomers[CustomerID],tblCustomers[Gender],"not found")</f>
        <v>Male</v>
      </c>
      <c r="F1065" t="str">
        <f>_xlfn.XLOOKUP(tblOrders[[#This Row],[CustomerID]],tblCustomers[CustomerID],tblCustomers[Region],"not found")</f>
        <v>Central</v>
      </c>
      <c r="G1065">
        <v>1037</v>
      </c>
      <c r="H1065" t="str">
        <f>_xlfn.XLOOKUP(tblOrders[[#This Row],[ProductID]],tblProducts[ProductID],tblProducts[ProductName],"not found")</f>
        <v>Yeah</v>
      </c>
      <c r="I1065" t="str">
        <f>_xlfn.XLOOKUP(tblOrders[[#This Row],[ProductID]],tblProducts[ProductID],tblProducts[Category],"not found")</f>
        <v>Electronics</v>
      </c>
      <c r="J1065">
        <f>_xlfn.XLOOKUP(tblOrders[[#This Row],[ProductID]],tblProducts[ProductID],tblProducts[UnitPrice],"not found")</f>
        <v>70.42</v>
      </c>
      <c r="K1065" t="str">
        <f>_xlfn.XLOOKUP(tblOrders[[#This Row],[ProductID]],tblProducts[ProductID],tblProducts[Supplier],"not found")</f>
        <v>Kramer LLC</v>
      </c>
      <c r="L1065" s="1" t="s">
        <v>2298</v>
      </c>
      <c r="M10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45550</v>
      </c>
      <c r="N1065">
        <v>6</v>
      </c>
      <c r="O1065">
        <v>422.52</v>
      </c>
      <c r="P1065">
        <f>tblOrders[[#This Row],[Quantity]]*tblOrders[[#This Row],[Unit Price]]</f>
        <v>422.52</v>
      </c>
      <c r="Q1065">
        <f>tblOrders[[#This Row],[TotalSales]]-tblOrders[[#This Row],[Calculated Sales]]</f>
        <v>0</v>
      </c>
    </row>
    <row r="1066" spans="1:17" x14ac:dyDescent="0.25">
      <c r="A1066">
        <v>1057</v>
      </c>
      <c r="B1066">
        <v>75</v>
      </c>
      <c r="C1066" t="str">
        <f>_xlfn.XLOOKUP(tblOrders[[#This Row],[CustomerID]],tblCustomers[CustomerID],tblCustomers[CustomerName],"not found")</f>
        <v>Kelsey Reed</v>
      </c>
      <c r="D1066">
        <f>_xlfn.XLOOKUP(tblOrders[[#This Row],[CustomerID]],tblCustomers[CustomerID],tblCustomers[Age],"not found")</f>
        <v>44</v>
      </c>
      <c r="E1066" t="str">
        <f>_xlfn.XLOOKUP(tblOrders[[#This Row],[CustomerID]],tblCustomers[CustomerID],tblCustomers[Gender],"not found")</f>
        <v>Female</v>
      </c>
      <c r="F1066" t="str">
        <f>_xlfn.XLOOKUP(tblOrders[[#This Row],[CustomerID]],tblCustomers[CustomerID],tblCustomers[Region],"not found")</f>
        <v>North</v>
      </c>
      <c r="G1066">
        <v>1037</v>
      </c>
      <c r="H1066" t="str">
        <f>_xlfn.XLOOKUP(tblOrders[[#This Row],[ProductID]],tblProducts[ProductID],tblProducts[ProductName],"not found")</f>
        <v>Yeah</v>
      </c>
      <c r="I1066" t="str">
        <f>_xlfn.XLOOKUP(tblOrders[[#This Row],[ProductID]],tblProducts[ProductID],tblProducts[Category],"not found")</f>
        <v>Electronics</v>
      </c>
      <c r="J1066">
        <f>_xlfn.XLOOKUP(tblOrders[[#This Row],[ProductID]],tblProducts[ProductID],tblProducts[UnitPrice],"not found")</f>
        <v>70.42</v>
      </c>
      <c r="K1066" t="str">
        <f>_xlfn.XLOOKUP(tblOrders[[#This Row],[ProductID]],tblProducts[ProductID],tblProducts[Supplier],"not found")</f>
        <v>Kramer LLC</v>
      </c>
      <c r="L1066" s="1" t="s">
        <v>2066</v>
      </c>
      <c r="M10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45199</v>
      </c>
      <c r="N1066">
        <v>2</v>
      </c>
      <c r="O1066">
        <v>140.84</v>
      </c>
      <c r="P1066">
        <f>tblOrders[[#This Row],[Quantity]]*tblOrders[[#This Row],[Unit Price]]</f>
        <v>140.84</v>
      </c>
      <c r="Q1066">
        <f>tblOrders[[#This Row],[TotalSales]]-tblOrders[[#This Row],[Calculated Sales]]</f>
        <v>0</v>
      </c>
    </row>
    <row r="1067" spans="1:17" x14ac:dyDescent="0.25">
      <c r="A1067">
        <v>1094</v>
      </c>
      <c r="B1067">
        <v>29</v>
      </c>
      <c r="C1067" t="str">
        <f>_xlfn.XLOOKUP(tblOrders[[#This Row],[CustomerID]],tblCustomers[CustomerID],tblCustomers[CustomerName],"not found")</f>
        <v>Dylan Campbell</v>
      </c>
      <c r="D1067">
        <f>_xlfn.XLOOKUP(tblOrders[[#This Row],[CustomerID]],tblCustomers[CustomerID],tblCustomers[Age],"not found")</f>
        <v>67</v>
      </c>
      <c r="E1067" t="str">
        <f>_xlfn.XLOOKUP(tblOrders[[#This Row],[CustomerID]],tblCustomers[CustomerID],tblCustomers[Gender],"not found")</f>
        <v>Female</v>
      </c>
      <c r="F1067" t="str">
        <f>_xlfn.XLOOKUP(tblOrders[[#This Row],[CustomerID]],tblCustomers[CustomerID],tblCustomers[Region],"not found")</f>
        <v>North</v>
      </c>
      <c r="G1067">
        <v>1037</v>
      </c>
      <c r="H1067" t="str">
        <f>_xlfn.XLOOKUP(tblOrders[[#This Row],[ProductID]],tblProducts[ProductID],tblProducts[ProductName],"not found")</f>
        <v>Yeah</v>
      </c>
      <c r="I1067" t="str">
        <f>_xlfn.XLOOKUP(tblOrders[[#This Row],[ProductID]],tblProducts[ProductID],tblProducts[Category],"not found")</f>
        <v>Electronics</v>
      </c>
      <c r="J1067">
        <f>_xlfn.XLOOKUP(tblOrders[[#This Row],[ProductID]],tblProducts[ProductID],tblProducts[UnitPrice],"not found")</f>
        <v>70.42</v>
      </c>
      <c r="K1067" t="str">
        <f>_xlfn.XLOOKUP(tblOrders[[#This Row],[ProductID]],tblProducts[ProductID],tblProducts[Supplier],"not found")</f>
        <v>Kramer LLC</v>
      </c>
      <c r="L1067" s="1" t="s">
        <v>2353</v>
      </c>
      <c r="M10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45059</v>
      </c>
      <c r="N1067">
        <v>3</v>
      </c>
      <c r="O1067">
        <v>211.26</v>
      </c>
      <c r="P1067">
        <f>tblOrders[[#This Row],[Quantity]]*tblOrders[[#This Row],[Unit Price]]</f>
        <v>211.26</v>
      </c>
      <c r="Q1067">
        <f>tblOrders[[#This Row],[TotalSales]]-tblOrders[[#This Row],[Calculated Sales]]</f>
        <v>0</v>
      </c>
    </row>
    <row r="1068" spans="1:17" x14ac:dyDescent="0.25">
      <c r="A1068">
        <v>1135</v>
      </c>
      <c r="B1068">
        <v>604</v>
      </c>
      <c r="C1068" t="str">
        <f>_xlfn.XLOOKUP(tblOrders[[#This Row],[CustomerID]],tblCustomers[CustomerID],tblCustomers[CustomerName],"not found")</f>
        <v>James Bennett</v>
      </c>
      <c r="D1068">
        <f>_xlfn.XLOOKUP(tblOrders[[#This Row],[CustomerID]],tblCustomers[CustomerID],tblCustomers[Age],"not found")</f>
        <v>35</v>
      </c>
      <c r="E1068" t="str">
        <f>_xlfn.XLOOKUP(tblOrders[[#This Row],[CustomerID]],tblCustomers[CustomerID],tblCustomers[Gender],"not found")</f>
        <v>Female</v>
      </c>
      <c r="F1068" t="str">
        <f>_xlfn.XLOOKUP(tblOrders[[#This Row],[CustomerID]],tblCustomers[CustomerID],tblCustomers[Region],"not found")</f>
        <v>East</v>
      </c>
      <c r="G1068">
        <v>1037</v>
      </c>
      <c r="H1068" t="str">
        <f>_xlfn.XLOOKUP(tblOrders[[#This Row],[ProductID]],tblProducts[ProductID],tblProducts[ProductName],"not found")</f>
        <v>Yeah</v>
      </c>
      <c r="I1068" t="str">
        <f>_xlfn.XLOOKUP(tblOrders[[#This Row],[ProductID]],tblProducts[ProductID],tblProducts[Category],"not found")</f>
        <v>Electronics</v>
      </c>
      <c r="J1068">
        <f>_xlfn.XLOOKUP(tblOrders[[#This Row],[ProductID]],tblProducts[ProductID],tblProducts[UnitPrice],"not found")</f>
        <v>70.42</v>
      </c>
      <c r="K1068" t="str">
        <f>_xlfn.XLOOKUP(tblOrders[[#This Row],[ProductID]],tblProducts[ProductID],tblProducts[Supplier],"not found")</f>
        <v>Kramer LLC</v>
      </c>
      <c r="L1068" s="1" t="s">
        <v>2193</v>
      </c>
      <c r="M10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45002</v>
      </c>
      <c r="N1068">
        <v>7</v>
      </c>
      <c r="O1068">
        <v>492.94</v>
      </c>
      <c r="P1068">
        <f>tblOrders[[#This Row],[Quantity]]*tblOrders[[#This Row],[Unit Price]]</f>
        <v>492.94</v>
      </c>
      <c r="Q1068">
        <f>tblOrders[[#This Row],[TotalSales]]-tblOrders[[#This Row],[Calculated Sales]]</f>
        <v>0</v>
      </c>
    </row>
    <row r="1069" spans="1:17" x14ac:dyDescent="0.25">
      <c r="A1069">
        <v>1159</v>
      </c>
      <c r="B1069">
        <v>297</v>
      </c>
      <c r="C1069" t="str">
        <f>_xlfn.XLOOKUP(tblOrders[[#This Row],[CustomerID]],tblCustomers[CustomerID],tblCustomers[CustomerName],"not found")</f>
        <v>Lauren Le</v>
      </c>
      <c r="D1069">
        <f>_xlfn.XLOOKUP(tblOrders[[#This Row],[CustomerID]],tblCustomers[CustomerID],tblCustomers[Age],"not found")</f>
        <v>27</v>
      </c>
      <c r="E1069" t="str">
        <f>_xlfn.XLOOKUP(tblOrders[[#This Row],[CustomerID]],tblCustomers[CustomerID],tblCustomers[Gender],"not found")</f>
        <v>Female</v>
      </c>
      <c r="F1069" t="str">
        <f>_xlfn.XLOOKUP(tblOrders[[#This Row],[CustomerID]],tblCustomers[CustomerID],tblCustomers[Region],"not found")</f>
        <v>South</v>
      </c>
      <c r="G1069">
        <v>1037</v>
      </c>
      <c r="H1069" t="str">
        <f>_xlfn.XLOOKUP(tblOrders[[#This Row],[ProductID]],tblProducts[ProductID],tblProducts[ProductName],"not found")</f>
        <v>Yeah</v>
      </c>
      <c r="I1069" t="str">
        <f>_xlfn.XLOOKUP(tblOrders[[#This Row],[ProductID]],tblProducts[ProductID],tblProducts[Category],"not found")</f>
        <v>Electronics</v>
      </c>
      <c r="J1069">
        <f>_xlfn.XLOOKUP(tblOrders[[#This Row],[ProductID]],tblProducts[ProductID],tblProducts[UnitPrice],"not found")</f>
        <v>70.42</v>
      </c>
      <c r="K1069" t="str">
        <f>_xlfn.XLOOKUP(tblOrders[[#This Row],[ProductID]],tblProducts[ProductID],tblProducts[Supplier],"not found")</f>
        <v>Kramer LLC</v>
      </c>
      <c r="L1069" s="1" t="s">
        <v>2329</v>
      </c>
      <c r="M10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44885</v>
      </c>
      <c r="N1069">
        <v>8</v>
      </c>
      <c r="O1069">
        <v>563.36</v>
      </c>
      <c r="P1069">
        <f>tblOrders[[#This Row],[Quantity]]*tblOrders[[#This Row],[Unit Price]]</f>
        <v>563.36</v>
      </c>
      <c r="Q1069">
        <f>tblOrders[[#This Row],[TotalSales]]-tblOrders[[#This Row],[Calculated Sales]]</f>
        <v>0</v>
      </c>
    </row>
    <row r="1070" spans="1:17" x14ac:dyDescent="0.25">
      <c r="A1070">
        <v>1224</v>
      </c>
      <c r="B1070">
        <v>550</v>
      </c>
      <c r="C1070" t="str">
        <f>_xlfn.XLOOKUP(tblOrders[[#This Row],[CustomerID]],tblCustomers[CustomerID],tblCustomers[CustomerName],"not found")</f>
        <v>Tammy Hicks</v>
      </c>
      <c r="D1070">
        <f>_xlfn.XLOOKUP(tblOrders[[#This Row],[CustomerID]],tblCustomers[CustomerID],tblCustomers[Age],"not found")</f>
        <v>28</v>
      </c>
      <c r="E1070" t="str">
        <f>_xlfn.XLOOKUP(tblOrders[[#This Row],[CustomerID]],tblCustomers[CustomerID],tblCustomers[Gender],"not found")</f>
        <v>Male</v>
      </c>
      <c r="F1070" t="str">
        <f>_xlfn.XLOOKUP(tblOrders[[#This Row],[CustomerID]],tblCustomers[CustomerID],tblCustomers[Region],"not found")</f>
        <v>Central</v>
      </c>
      <c r="G1070">
        <v>1037</v>
      </c>
      <c r="H1070" t="str">
        <f>_xlfn.XLOOKUP(tblOrders[[#This Row],[ProductID]],tblProducts[ProductID],tblProducts[ProductName],"not found")</f>
        <v>Yeah</v>
      </c>
      <c r="I1070" t="str">
        <f>_xlfn.XLOOKUP(tblOrders[[#This Row],[ProductID]],tblProducts[ProductID],tblProducts[Category],"not found")</f>
        <v>Electronics</v>
      </c>
      <c r="J1070">
        <f>_xlfn.XLOOKUP(tblOrders[[#This Row],[ProductID]],tblProducts[ProductID],tblProducts[UnitPrice],"not found")</f>
        <v>70.42</v>
      </c>
      <c r="K1070" t="str">
        <f>_xlfn.XLOOKUP(tblOrders[[#This Row],[ProductID]],tblProducts[ProductID],tblProducts[Supplier],"not found")</f>
        <v>Kramer LLC</v>
      </c>
      <c r="L1070" s="1" t="s">
        <v>2232</v>
      </c>
      <c r="M10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45151</v>
      </c>
      <c r="N1070">
        <v>8</v>
      </c>
      <c r="O1070">
        <v>563.36</v>
      </c>
      <c r="P1070">
        <f>tblOrders[[#This Row],[Quantity]]*tblOrders[[#This Row],[Unit Price]]</f>
        <v>563.36</v>
      </c>
      <c r="Q1070">
        <f>tblOrders[[#This Row],[TotalSales]]-tblOrders[[#This Row],[Calculated Sales]]</f>
        <v>0</v>
      </c>
    </row>
    <row r="1071" spans="1:17" x14ac:dyDescent="0.25">
      <c r="A1071">
        <v>1633</v>
      </c>
      <c r="B1071">
        <v>889</v>
      </c>
      <c r="C1071" t="str">
        <f>_xlfn.XLOOKUP(tblOrders[[#This Row],[CustomerID]],tblCustomers[CustomerID],tblCustomers[CustomerName],"not found")</f>
        <v>Brandon James</v>
      </c>
      <c r="D1071">
        <f>_xlfn.XLOOKUP(tblOrders[[#This Row],[CustomerID]],tblCustomers[CustomerID],tblCustomers[Age],"not found")</f>
        <v>60</v>
      </c>
      <c r="E1071" t="str">
        <f>_xlfn.XLOOKUP(tblOrders[[#This Row],[CustomerID]],tblCustomers[CustomerID],tblCustomers[Gender],"not found")</f>
        <v>Male</v>
      </c>
      <c r="F1071" t="str">
        <f>_xlfn.XLOOKUP(tblOrders[[#This Row],[CustomerID]],tblCustomers[CustomerID],tblCustomers[Region],"not found")</f>
        <v>North</v>
      </c>
      <c r="G1071">
        <v>1037</v>
      </c>
      <c r="H1071" t="str">
        <f>_xlfn.XLOOKUP(tblOrders[[#This Row],[ProductID]],tblProducts[ProductID],tblProducts[ProductName],"not found")</f>
        <v>Yeah</v>
      </c>
      <c r="I1071" t="str">
        <f>_xlfn.XLOOKUP(tblOrders[[#This Row],[ProductID]],tblProducts[ProductID],tblProducts[Category],"not found")</f>
        <v>Electronics</v>
      </c>
      <c r="J1071">
        <f>_xlfn.XLOOKUP(tblOrders[[#This Row],[ProductID]],tblProducts[ProductID],tblProducts[UnitPrice],"not found")</f>
        <v>70.42</v>
      </c>
      <c r="K1071" t="str">
        <f>_xlfn.XLOOKUP(tblOrders[[#This Row],[ProductID]],tblProducts[ProductID],tblProducts[Supplier],"not found")</f>
        <v>Kramer LLC</v>
      </c>
      <c r="L1071" s="1" t="s">
        <v>2354</v>
      </c>
      <c r="M10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45090</v>
      </c>
      <c r="N1071">
        <v>6</v>
      </c>
      <c r="O1071">
        <v>422.52</v>
      </c>
      <c r="P1071">
        <f>tblOrders[[#This Row],[Quantity]]*tblOrders[[#This Row],[Unit Price]]</f>
        <v>422.52</v>
      </c>
      <c r="Q1071">
        <f>tblOrders[[#This Row],[TotalSales]]-tblOrders[[#This Row],[Calculated Sales]]</f>
        <v>0</v>
      </c>
    </row>
    <row r="1072" spans="1:17" x14ac:dyDescent="0.25">
      <c r="A1072">
        <v>1662</v>
      </c>
      <c r="B1072">
        <v>6</v>
      </c>
      <c r="C1072" t="str">
        <f>_xlfn.XLOOKUP(tblOrders[[#This Row],[CustomerID]],tblCustomers[CustomerID],tblCustomers[CustomerName],"not found")</f>
        <v>Kelly Brown</v>
      </c>
      <c r="D1072">
        <f>_xlfn.XLOOKUP(tblOrders[[#This Row],[CustomerID]],tblCustomers[CustomerID],tblCustomers[Age],"not found")</f>
        <v>59</v>
      </c>
      <c r="E1072" t="str">
        <f>_xlfn.XLOOKUP(tblOrders[[#This Row],[CustomerID]],tblCustomers[CustomerID],tblCustomers[Gender],"not found")</f>
        <v>Male</v>
      </c>
      <c r="F1072" t="str">
        <f>_xlfn.XLOOKUP(tblOrders[[#This Row],[CustomerID]],tblCustomers[CustomerID],tblCustomers[Region],"not found")</f>
        <v>Central</v>
      </c>
      <c r="G1072">
        <v>1037</v>
      </c>
      <c r="H1072" t="str">
        <f>_xlfn.XLOOKUP(tblOrders[[#This Row],[ProductID]],tblProducts[ProductID],tblProducts[ProductName],"not found")</f>
        <v>Yeah</v>
      </c>
      <c r="I1072" t="str">
        <f>_xlfn.XLOOKUP(tblOrders[[#This Row],[ProductID]],tblProducts[ProductID],tblProducts[Category],"not found")</f>
        <v>Electronics</v>
      </c>
      <c r="J1072">
        <f>_xlfn.XLOOKUP(tblOrders[[#This Row],[ProductID]],tblProducts[ProductID],tblProducts[UnitPrice],"not found")</f>
        <v>70.42</v>
      </c>
      <c r="K1072" t="str">
        <f>_xlfn.XLOOKUP(tblOrders[[#This Row],[ProductID]],tblProducts[ProductID],tblProducts[Supplier],"not found")</f>
        <v>Kramer LLC</v>
      </c>
      <c r="L1072" s="1" t="s">
        <v>2355</v>
      </c>
      <c r="M10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44953</v>
      </c>
      <c r="N1072">
        <v>8</v>
      </c>
      <c r="O1072">
        <v>563.36</v>
      </c>
      <c r="P1072">
        <f>tblOrders[[#This Row],[Quantity]]*tblOrders[[#This Row],[Unit Price]]</f>
        <v>563.36</v>
      </c>
      <c r="Q1072">
        <f>tblOrders[[#This Row],[TotalSales]]-tblOrders[[#This Row],[Calculated Sales]]</f>
        <v>0</v>
      </c>
    </row>
    <row r="1073" spans="1:17" x14ac:dyDescent="0.25">
      <c r="A1073">
        <v>1878</v>
      </c>
      <c r="B1073">
        <v>531</v>
      </c>
      <c r="C1073" t="str">
        <f>_xlfn.XLOOKUP(tblOrders[[#This Row],[CustomerID]],tblCustomers[CustomerID],tblCustomers[CustomerName],"not found")</f>
        <v>Joseph Lutz</v>
      </c>
      <c r="D1073">
        <f>_xlfn.XLOOKUP(tblOrders[[#This Row],[CustomerID]],tblCustomers[CustomerID],tblCustomers[Age],"not found")</f>
        <v>40</v>
      </c>
      <c r="E1073" t="str">
        <f>_xlfn.XLOOKUP(tblOrders[[#This Row],[CustomerID]],tblCustomers[CustomerID],tblCustomers[Gender],"not found")</f>
        <v>Female</v>
      </c>
      <c r="F1073" t="str">
        <f>_xlfn.XLOOKUP(tblOrders[[#This Row],[CustomerID]],tblCustomers[CustomerID],tblCustomers[Region],"not found")</f>
        <v>North</v>
      </c>
      <c r="G1073">
        <v>1037</v>
      </c>
      <c r="H1073" t="str">
        <f>_xlfn.XLOOKUP(tblOrders[[#This Row],[ProductID]],tblProducts[ProductID],tblProducts[ProductName],"not found")</f>
        <v>Yeah</v>
      </c>
      <c r="I1073" t="str">
        <f>_xlfn.XLOOKUP(tblOrders[[#This Row],[ProductID]],tblProducts[ProductID],tblProducts[Category],"not found")</f>
        <v>Electronics</v>
      </c>
      <c r="J1073">
        <f>_xlfn.XLOOKUP(tblOrders[[#This Row],[ProductID]],tblProducts[ProductID],tblProducts[UnitPrice],"not found")</f>
        <v>70.42</v>
      </c>
      <c r="K1073" t="str">
        <f>_xlfn.XLOOKUP(tblOrders[[#This Row],[ProductID]],tblProducts[ProductID],tblProducts[Supplier],"not found")</f>
        <v>Kramer LLC</v>
      </c>
      <c r="L1073" s="1" t="s">
        <v>2356</v>
      </c>
      <c r="M10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45288</v>
      </c>
      <c r="N1073">
        <v>8</v>
      </c>
      <c r="O1073">
        <v>563.36</v>
      </c>
      <c r="P1073">
        <f>tblOrders[[#This Row],[Quantity]]*tblOrders[[#This Row],[Unit Price]]</f>
        <v>563.36</v>
      </c>
      <c r="Q1073">
        <f>tblOrders[[#This Row],[TotalSales]]-tblOrders[[#This Row],[Calculated Sales]]</f>
        <v>0</v>
      </c>
    </row>
    <row r="1074" spans="1:17" x14ac:dyDescent="0.25">
      <c r="A1074">
        <v>1993</v>
      </c>
      <c r="B1074">
        <v>450</v>
      </c>
      <c r="C1074" t="str">
        <f>_xlfn.XLOOKUP(tblOrders[[#This Row],[CustomerID]],tblCustomers[CustomerID],tblCustomers[CustomerName],"not found")</f>
        <v>Megan Trevino</v>
      </c>
      <c r="D1074">
        <f>_xlfn.XLOOKUP(tblOrders[[#This Row],[CustomerID]],tblCustomers[CustomerID],tblCustomers[Age],"not found")</f>
        <v>19</v>
      </c>
      <c r="E1074" t="str">
        <f>_xlfn.XLOOKUP(tblOrders[[#This Row],[CustomerID]],tblCustomers[CustomerID],tblCustomers[Gender],"not found")</f>
        <v>Female</v>
      </c>
      <c r="F1074" t="str">
        <f>_xlfn.XLOOKUP(tblOrders[[#This Row],[CustomerID]],tblCustomers[CustomerID],tblCustomers[Region],"not found")</f>
        <v>West</v>
      </c>
      <c r="G1074">
        <v>1037</v>
      </c>
      <c r="H1074" t="str">
        <f>_xlfn.XLOOKUP(tblOrders[[#This Row],[ProductID]],tblProducts[ProductID],tblProducts[ProductName],"not found")</f>
        <v>Yeah</v>
      </c>
      <c r="I1074" t="str">
        <f>_xlfn.XLOOKUP(tblOrders[[#This Row],[ProductID]],tblProducts[ProductID],tblProducts[Category],"not found")</f>
        <v>Electronics</v>
      </c>
      <c r="J1074">
        <f>_xlfn.XLOOKUP(tblOrders[[#This Row],[ProductID]],tblProducts[ProductID],tblProducts[UnitPrice],"not found")</f>
        <v>70.42</v>
      </c>
      <c r="K1074" t="str">
        <f>_xlfn.XLOOKUP(tblOrders[[#This Row],[ProductID]],tblProducts[ProductID],tblProducts[Supplier],"not found")</f>
        <v>Kramer LLC</v>
      </c>
      <c r="L1074" s="1" t="s">
        <v>2357</v>
      </c>
      <c r="M10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45375</v>
      </c>
      <c r="N1074">
        <v>8</v>
      </c>
      <c r="O1074">
        <v>563.36</v>
      </c>
      <c r="P1074">
        <f>tblOrders[[#This Row],[Quantity]]*tblOrders[[#This Row],[Unit Price]]</f>
        <v>563.36</v>
      </c>
      <c r="Q1074">
        <f>tblOrders[[#This Row],[TotalSales]]-tblOrders[[#This Row],[Calculated Sales]]</f>
        <v>0</v>
      </c>
    </row>
    <row r="1075" spans="1:17" x14ac:dyDescent="0.25">
      <c r="A1075">
        <v>70</v>
      </c>
      <c r="B1075">
        <v>671</v>
      </c>
      <c r="C1075" t="str">
        <f>_xlfn.XLOOKUP(tblOrders[[#This Row],[CustomerID]],tblCustomers[CustomerID],tblCustomers[CustomerName],"not found")</f>
        <v>Joseph Reeves</v>
      </c>
      <c r="D1075">
        <f>_xlfn.XLOOKUP(tblOrders[[#This Row],[CustomerID]],tblCustomers[CustomerID],tblCustomers[Age],"not found")</f>
        <v>69</v>
      </c>
      <c r="E1075" t="str">
        <f>_xlfn.XLOOKUP(tblOrders[[#This Row],[CustomerID]],tblCustomers[CustomerID],tblCustomers[Gender],"not found")</f>
        <v>Male</v>
      </c>
      <c r="F1075" t="str">
        <f>_xlfn.XLOOKUP(tblOrders[[#This Row],[CustomerID]],tblCustomers[CustomerID],tblCustomers[Region],"not found")</f>
        <v>North</v>
      </c>
      <c r="G1075">
        <v>1012</v>
      </c>
      <c r="H1075" t="str">
        <f>_xlfn.XLOOKUP(tblOrders[[#This Row],[ProductID]],tblProducts[ProductID],tblProducts[ProductName],"not found")</f>
        <v>Raise</v>
      </c>
      <c r="I1075" t="str">
        <f>_xlfn.XLOOKUP(tblOrders[[#This Row],[ProductID]],tblProducts[ProductID],tblProducts[Category],"not found")</f>
        <v>Furniture</v>
      </c>
      <c r="J1075">
        <f>_xlfn.XLOOKUP(tblOrders[[#This Row],[ProductID]],tblProducts[ProductID],tblProducts[UnitPrice],"not found")</f>
        <v>89.12</v>
      </c>
      <c r="K1075" t="str">
        <f>_xlfn.XLOOKUP(tblOrders[[#This Row],[ProductID]],tblProducts[ProductID],tblProducts[Supplier],"not found")</f>
        <v>Anderson PLC</v>
      </c>
      <c r="L1075" s="1" t="s">
        <v>2243</v>
      </c>
      <c r="M10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1075">
        <v>8</v>
      </c>
      <c r="O1075">
        <v>712.96</v>
      </c>
      <c r="P1075">
        <f>tblOrders[[#This Row],[Quantity]]*tblOrders[[#This Row],[Unit Price]]</f>
        <v>712.96</v>
      </c>
      <c r="Q1075">
        <f>tblOrders[[#This Row],[TotalSales]]-tblOrders[[#This Row],[Calculated Sales]]</f>
        <v>0</v>
      </c>
    </row>
    <row r="1076" spans="1:17" x14ac:dyDescent="0.25">
      <c r="A1076">
        <v>76</v>
      </c>
      <c r="B1076">
        <v>192</v>
      </c>
      <c r="C1076" t="str">
        <f>_xlfn.XLOOKUP(tblOrders[[#This Row],[CustomerID]],tblCustomers[CustomerID],tblCustomers[CustomerName],"not found")</f>
        <v>Aaron Wright</v>
      </c>
      <c r="D1076">
        <f>_xlfn.XLOOKUP(tblOrders[[#This Row],[CustomerID]],tblCustomers[CustomerID],tblCustomers[Age],"not found")</f>
        <v>21</v>
      </c>
      <c r="E1076" t="str">
        <f>_xlfn.XLOOKUP(tblOrders[[#This Row],[CustomerID]],tblCustomers[CustomerID],tblCustomers[Gender],"not found")</f>
        <v>Male</v>
      </c>
      <c r="F1076" t="str">
        <f>_xlfn.XLOOKUP(tblOrders[[#This Row],[CustomerID]],tblCustomers[CustomerID],tblCustomers[Region],"not found")</f>
        <v>South</v>
      </c>
      <c r="G1076">
        <v>1012</v>
      </c>
      <c r="H1076" t="str">
        <f>_xlfn.XLOOKUP(tblOrders[[#This Row],[ProductID]],tblProducts[ProductID],tblProducts[ProductName],"not found")</f>
        <v>Raise</v>
      </c>
      <c r="I1076" t="str">
        <f>_xlfn.XLOOKUP(tblOrders[[#This Row],[ProductID]],tblProducts[ProductID],tblProducts[Category],"not found")</f>
        <v>Furniture</v>
      </c>
      <c r="J1076">
        <f>_xlfn.XLOOKUP(tblOrders[[#This Row],[ProductID]],tblProducts[ProductID],tblProducts[UnitPrice],"not found")</f>
        <v>89.12</v>
      </c>
      <c r="K1076" t="str">
        <f>_xlfn.XLOOKUP(tblOrders[[#This Row],[ProductID]],tblProducts[ProductID],tblProducts[Supplier],"not found")</f>
        <v>Anderson PLC</v>
      </c>
      <c r="L1076" s="1">
        <v>45575</v>
      </c>
      <c r="M10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45575</v>
      </c>
      <c r="N1076">
        <v>3</v>
      </c>
      <c r="O1076">
        <v>267.36</v>
      </c>
      <c r="P1076">
        <f>tblOrders[[#This Row],[Quantity]]*tblOrders[[#This Row],[Unit Price]]</f>
        <v>267.36</v>
      </c>
      <c r="Q1076">
        <f>tblOrders[[#This Row],[TotalSales]]-tblOrders[[#This Row],[Calculated Sales]]</f>
        <v>0</v>
      </c>
    </row>
    <row r="1077" spans="1:17" x14ac:dyDescent="0.25">
      <c r="A1077">
        <v>95</v>
      </c>
      <c r="B1077">
        <v>82</v>
      </c>
      <c r="C1077" t="str">
        <f>_xlfn.XLOOKUP(tblOrders[[#This Row],[CustomerID]],tblCustomers[CustomerID],tblCustomers[CustomerName],"not found")</f>
        <v>Steven Stephens</v>
      </c>
      <c r="D1077">
        <f>_xlfn.XLOOKUP(tblOrders[[#This Row],[CustomerID]],tblCustomers[CustomerID],tblCustomers[Age],"not found")</f>
        <v>68</v>
      </c>
      <c r="E1077" t="str">
        <f>_xlfn.XLOOKUP(tblOrders[[#This Row],[CustomerID]],tblCustomers[CustomerID],tblCustomers[Gender],"not found")</f>
        <v>Female</v>
      </c>
      <c r="F1077" t="str">
        <f>_xlfn.XLOOKUP(tblOrders[[#This Row],[CustomerID]],tblCustomers[CustomerID],tblCustomers[Region],"not found")</f>
        <v>Central</v>
      </c>
      <c r="G1077">
        <v>1012</v>
      </c>
      <c r="H1077" t="str">
        <f>_xlfn.XLOOKUP(tblOrders[[#This Row],[ProductID]],tblProducts[ProductID],tblProducts[ProductName],"not found")</f>
        <v>Raise</v>
      </c>
      <c r="I1077" t="str">
        <f>_xlfn.XLOOKUP(tblOrders[[#This Row],[ProductID]],tblProducts[ProductID],tblProducts[Category],"not found")</f>
        <v>Furniture</v>
      </c>
      <c r="J1077">
        <f>_xlfn.XLOOKUP(tblOrders[[#This Row],[ProductID]],tblProducts[ProductID],tblProducts[UnitPrice],"not found")</f>
        <v>89.12</v>
      </c>
      <c r="K1077" t="str">
        <f>_xlfn.XLOOKUP(tblOrders[[#This Row],[ProductID]],tblProducts[ProductID],tblProducts[Supplier],"not found")</f>
        <v>Anderson PLC</v>
      </c>
      <c r="L1077" s="1" t="s">
        <v>2222</v>
      </c>
      <c r="M10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45074</v>
      </c>
      <c r="N1077">
        <v>2</v>
      </c>
      <c r="O1077">
        <v>178.24</v>
      </c>
      <c r="P1077">
        <f>tblOrders[[#This Row],[Quantity]]*tblOrders[[#This Row],[Unit Price]]</f>
        <v>178.24</v>
      </c>
      <c r="Q1077">
        <f>tblOrders[[#This Row],[TotalSales]]-tblOrders[[#This Row],[Calculated Sales]]</f>
        <v>0</v>
      </c>
    </row>
    <row r="1078" spans="1:17" x14ac:dyDescent="0.25">
      <c r="A1078">
        <v>262</v>
      </c>
      <c r="B1078">
        <v>148</v>
      </c>
      <c r="C1078" t="str">
        <f>_xlfn.XLOOKUP(tblOrders[[#This Row],[CustomerID]],tblCustomers[CustomerID],tblCustomers[CustomerName],"not found")</f>
        <v>Dana Young</v>
      </c>
      <c r="D1078">
        <f>_xlfn.XLOOKUP(tblOrders[[#This Row],[CustomerID]],tblCustomers[CustomerID],tblCustomers[Age],"not found")</f>
        <v>33</v>
      </c>
      <c r="E1078" t="str">
        <f>_xlfn.XLOOKUP(tblOrders[[#This Row],[CustomerID]],tblCustomers[CustomerID],tblCustomers[Gender],"not found")</f>
        <v>Male</v>
      </c>
      <c r="F1078" t="str">
        <f>_xlfn.XLOOKUP(tblOrders[[#This Row],[CustomerID]],tblCustomers[CustomerID],tblCustomers[Region],"not found")</f>
        <v>South</v>
      </c>
      <c r="G1078">
        <v>1012</v>
      </c>
      <c r="H1078" t="str">
        <f>_xlfn.XLOOKUP(tblOrders[[#This Row],[ProductID]],tblProducts[ProductID],tblProducts[ProductName],"not found")</f>
        <v>Raise</v>
      </c>
      <c r="I1078" t="str">
        <f>_xlfn.XLOOKUP(tblOrders[[#This Row],[ProductID]],tblProducts[ProductID],tblProducts[Category],"not found")</f>
        <v>Furniture</v>
      </c>
      <c r="J1078">
        <f>_xlfn.XLOOKUP(tblOrders[[#This Row],[ProductID]],tblProducts[ProductID],tblProducts[UnitPrice],"not found")</f>
        <v>89.12</v>
      </c>
      <c r="K1078" t="str">
        <f>_xlfn.XLOOKUP(tblOrders[[#This Row],[ProductID]],tblProducts[ProductID],tblProducts[Supplier],"not found")</f>
        <v>Anderson PLC</v>
      </c>
      <c r="L1078" s="1" t="s">
        <v>2118</v>
      </c>
      <c r="M10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45247</v>
      </c>
      <c r="N1078">
        <v>7</v>
      </c>
      <c r="O1078">
        <v>623.84</v>
      </c>
      <c r="P1078">
        <f>tblOrders[[#This Row],[Quantity]]*tblOrders[[#This Row],[Unit Price]]</f>
        <v>623.84</v>
      </c>
      <c r="Q1078">
        <f>tblOrders[[#This Row],[TotalSales]]-tblOrders[[#This Row],[Calculated Sales]]</f>
        <v>0</v>
      </c>
    </row>
    <row r="1079" spans="1:17" x14ac:dyDescent="0.25">
      <c r="A1079">
        <v>712</v>
      </c>
      <c r="B1079">
        <v>263</v>
      </c>
      <c r="C1079" t="str">
        <f>_xlfn.XLOOKUP(tblOrders[[#This Row],[CustomerID]],tblCustomers[CustomerID],tblCustomers[CustomerName],"not found")</f>
        <v>Erica Sellers</v>
      </c>
      <c r="D1079">
        <f>_xlfn.XLOOKUP(tblOrders[[#This Row],[CustomerID]],tblCustomers[CustomerID],tblCustomers[Age],"not found")</f>
        <v>25</v>
      </c>
      <c r="E1079" t="str">
        <f>_xlfn.XLOOKUP(tblOrders[[#This Row],[CustomerID]],tblCustomers[CustomerID],tblCustomers[Gender],"not found")</f>
        <v>Male</v>
      </c>
      <c r="F1079" t="str">
        <f>_xlfn.XLOOKUP(tblOrders[[#This Row],[CustomerID]],tblCustomers[CustomerID],tblCustomers[Region],"not found")</f>
        <v>East</v>
      </c>
      <c r="G1079">
        <v>1012</v>
      </c>
      <c r="H1079" t="str">
        <f>_xlfn.XLOOKUP(tblOrders[[#This Row],[ProductID]],tblProducts[ProductID],tblProducts[ProductName],"not found")</f>
        <v>Raise</v>
      </c>
      <c r="I1079" t="str">
        <f>_xlfn.XLOOKUP(tblOrders[[#This Row],[ProductID]],tblProducts[ProductID],tblProducts[Category],"not found")</f>
        <v>Furniture</v>
      </c>
      <c r="J1079">
        <f>_xlfn.XLOOKUP(tblOrders[[#This Row],[ProductID]],tblProducts[ProductID],tblProducts[UnitPrice],"not found")</f>
        <v>89.12</v>
      </c>
      <c r="K1079" t="str">
        <f>_xlfn.XLOOKUP(tblOrders[[#This Row],[ProductID]],tblProducts[ProductID],tblProducts[Supplier],"not found")</f>
        <v>Anderson PLC</v>
      </c>
      <c r="L1079" s="1" t="s">
        <v>2107</v>
      </c>
      <c r="M10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45408</v>
      </c>
      <c r="N1079">
        <v>5</v>
      </c>
      <c r="O1079">
        <v>445.6</v>
      </c>
      <c r="P1079">
        <f>tblOrders[[#This Row],[Quantity]]*tblOrders[[#This Row],[Unit Price]]</f>
        <v>445.6</v>
      </c>
      <c r="Q1079">
        <f>tblOrders[[#This Row],[TotalSales]]-tblOrders[[#This Row],[Calculated Sales]]</f>
        <v>0</v>
      </c>
    </row>
    <row r="1080" spans="1:17" x14ac:dyDescent="0.25">
      <c r="A1080">
        <v>873</v>
      </c>
      <c r="B1080">
        <v>269</v>
      </c>
      <c r="C1080" t="str">
        <f>_xlfn.XLOOKUP(tblOrders[[#This Row],[CustomerID]],tblCustomers[CustomerID],tblCustomers[CustomerName],"not found")</f>
        <v>Hayley Mcdonald</v>
      </c>
      <c r="D1080">
        <f>_xlfn.XLOOKUP(tblOrders[[#This Row],[CustomerID]],tblCustomers[CustomerID],tblCustomers[Age],"not found")</f>
        <v>19</v>
      </c>
      <c r="E1080" t="str">
        <f>_xlfn.XLOOKUP(tblOrders[[#This Row],[CustomerID]],tblCustomers[CustomerID],tblCustomers[Gender],"not found")</f>
        <v>Male</v>
      </c>
      <c r="F1080" t="str">
        <f>_xlfn.XLOOKUP(tblOrders[[#This Row],[CustomerID]],tblCustomers[CustomerID],tblCustomers[Region],"not found")</f>
        <v>West</v>
      </c>
      <c r="G1080">
        <v>1012</v>
      </c>
      <c r="H1080" t="str">
        <f>_xlfn.XLOOKUP(tblOrders[[#This Row],[ProductID]],tblProducts[ProductID],tblProducts[ProductName],"not found")</f>
        <v>Raise</v>
      </c>
      <c r="I1080" t="str">
        <f>_xlfn.XLOOKUP(tblOrders[[#This Row],[ProductID]],tblProducts[ProductID],tblProducts[Category],"not found")</f>
        <v>Furniture</v>
      </c>
      <c r="J1080">
        <f>_xlfn.XLOOKUP(tblOrders[[#This Row],[ProductID]],tblProducts[ProductID],tblProducts[UnitPrice],"not found")</f>
        <v>89.12</v>
      </c>
      <c r="K1080" t="str">
        <f>_xlfn.XLOOKUP(tblOrders[[#This Row],[ProductID]],tblProducts[ProductID],tblProducts[Supplier],"not found")</f>
        <v>Anderson PLC</v>
      </c>
      <c r="L1080" s="1" t="s">
        <v>2321</v>
      </c>
      <c r="M10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45133</v>
      </c>
      <c r="N1080">
        <v>5</v>
      </c>
      <c r="O1080">
        <v>445.6</v>
      </c>
      <c r="P1080">
        <f>tblOrders[[#This Row],[Quantity]]*tblOrders[[#This Row],[Unit Price]]</f>
        <v>445.6</v>
      </c>
      <c r="Q1080">
        <f>tblOrders[[#This Row],[TotalSales]]-tblOrders[[#This Row],[Calculated Sales]]</f>
        <v>0</v>
      </c>
    </row>
    <row r="1081" spans="1:17" x14ac:dyDescent="0.25">
      <c r="A1081">
        <v>879</v>
      </c>
      <c r="B1081">
        <v>870</v>
      </c>
      <c r="C1081" t="str">
        <f>_xlfn.XLOOKUP(tblOrders[[#This Row],[CustomerID]],tblCustomers[CustomerID],tblCustomers[CustomerName],"not found")</f>
        <v>Misty Mccormick</v>
      </c>
      <c r="D1081">
        <f>_xlfn.XLOOKUP(tblOrders[[#This Row],[CustomerID]],tblCustomers[CustomerID],tblCustomers[Age],"not found")</f>
        <v>25</v>
      </c>
      <c r="E1081" t="str">
        <f>_xlfn.XLOOKUP(tblOrders[[#This Row],[CustomerID]],tblCustomers[CustomerID],tblCustomers[Gender],"not found")</f>
        <v>Female</v>
      </c>
      <c r="F1081" t="str">
        <f>_xlfn.XLOOKUP(tblOrders[[#This Row],[CustomerID]],tblCustomers[CustomerID],tblCustomers[Region],"not found")</f>
        <v>West</v>
      </c>
      <c r="G1081">
        <v>1012</v>
      </c>
      <c r="H1081" t="str">
        <f>_xlfn.XLOOKUP(tblOrders[[#This Row],[ProductID]],tblProducts[ProductID],tblProducts[ProductName],"not found")</f>
        <v>Raise</v>
      </c>
      <c r="I1081" t="str">
        <f>_xlfn.XLOOKUP(tblOrders[[#This Row],[ProductID]],tblProducts[ProductID],tblProducts[Category],"not found")</f>
        <v>Furniture</v>
      </c>
      <c r="J1081">
        <f>_xlfn.XLOOKUP(tblOrders[[#This Row],[ProductID]],tblProducts[ProductID],tblProducts[UnitPrice],"not found")</f>
        <v>89.12</v>
      </c>
      <c r="K1081" t="str">
        <f>_xlfn.XLOOKUP(tblOrders[[#This Row],[ProductID]],tblProducts[ProductID],tblProducts[Supplier],"not found")</f>
        <v>Anderson PLC</v>
      </c>
      <c r="L1081" s="1" t="s">
        <v>2147</v>
      </c>
      <c r="M10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1081">
        <v>2</v>
      </c>
      <c r="O1081">
        <v>178.24</v>
      </c>
      <c r="P1081">
        <f>tblOrders[[#This Row],[Quantity]]*tblOrders[[#This Row],[Unit Price]]</f>
        <v>178.24</v>
      </c>
      <c r="Q1081">
        <f>tblOrders[[#This Row],[TotalSales]]-tblOrders[[#This Row],[Calculated Sales]]</f>
        <v>0</v>
      </c>
    </row>
    <row r="1082" spans="1:17" x14ac:dyDescent="0.25">
      <c r="A1082">
        <v>894</v>
      </c>
      <c r="B1082">
        <v>805</v>
      </c>
      <c r="C1082" t="str">
        <f>_xlfn.XLOOKUP(tblOrders[[#This Row],[CustomerID]],tblCustomers[CustomerID],tblCustomers[CustomerName],"not found")</f>
        <v>Jennifer Lindsey</v>
      </c>
      <c r="D1082">
        <f>_xlfn.XLOOKUP(tblOrders[[#This Row],[CustomerID]],tblCustomers[CustomerID],tblCustomers[Age],"not found")</f>
        <v>60</v>
      </c>
      <c r="E1082" t="str">
        <f>_xlfn.XLOOKUP(tblOrders[[#This Row],[CustomerID]],tblCustomers[CustomerID],tblCustomers[Gender],"not found")</f>
        <v>Male</v>
      </c>
      <c r="F1082" t="str">
        <f>_xlfn.XLOOKUP(tblOrders[[#This Row],[CustomerID]],tblCustomers[CustomerID],tblCustomers[Region],"not found")</f>
        <v>Central</v>
      </c>
      <c r="G1082">
        <v>1012</v>
      </c>
      <c r="H1082" t="str">
        <f>_xlfn.XLOOKUP(tblOrders[[#This Row],[ProductID]],tblProducts[ProductID],tblProducts[ProductName],"not found")</f>
        <v>Raise</v>
      </c>
      <c r="I1082" t="str">
        <f>_xlfn.XLOOKUP(tblOrders[[#This Row],[ProductID]],tblProducts[ProductID],tblProducts[Category],"not found")</f>
        <v>Furniture</v>
      </c>
      <c r="J1082">
        <f>_xlfn.XLOOKUP(tblOrders[[#This Row],[ProductID]],tblProducts[ProductID],tblProducts[UnitPrice],"not found")</f>
        <v>89.12</v>
      </c>
      <c r="K1082" t="str">
        <f>_xlfn.XLOOKUP(tblOrders[[#This Row],[ProductID]],tblProducts[ProductID],tblProducts[Supplier],"not found")</f>
        <v>Anderson PLC</v>
      </c>
      <c r="L1082" s="1" t="s">
        <v>2254</v>
      </c>
      <c r="M10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45579</v>
      </c>
      <c r="N1082">
        <v>6</v>
      </c>
      <c r="O1082">
        <v>534.72</v>
      </c>
      <c r="P1082">
        <f>tblOrders[[#This Row],[Quantity]]*tblOrders[[#This Row],[Unit Price]]</f>
        <v>534.72</v>
      </c>
      <c r="Q1082">
        <f>tblOrders[[#This Row],[TotalSales]]-tblOrders[[#This Row],[Calculated Sales]]</f>
        <v>0</v>
      </c>
    </row>
    <row r="1083" spans="1:17" x14ac:dyDescent="0.25">
      <c r="A1083">
        <v>951</v>
      </c>
      <c r="B1083">
        <v>312</v>
      </c>
      <c r="C1083" t="str">
        <f>_xlfn.XLOOKUP(tblOrders[[#This Row],[CustomerID]],tblCustomers[CustomerID],tblCustomers[CustomerName],"not found")</f>
        <v>Brandon Smith</v>
      </c>
      <c r="D1083">
        <f>_xlfn.XLOOKUP(tblOrders[[#This Row],[CustomerID]],tblCustomers[CustomerID],tblCustomers[Age],"not found")</f>
        <v>44</v>
      </c>
      <c r="E1083" t="str">
        <f>_xlfn.XLOOKUP(tblOrders[[#This Row],[CustomerID]],tblCustomers[CustomerID],tblCustomers[Gender],"not found")</f>
        <v>Female</v>
      </c>
      <c r="F1083" t="str">
        <f>_xlfn.XLOOKUP(tblOrders[[#This Row],[CustomerID]],tblCustomers[CustomerID],tblCustomers[Region],"not found")</f>
        <v>Central</v>
      </c>
      <c r="G1083">
        <v>1012</v>
      </c>
      <c r="H1083" t="str">
        <f>_xlfn.XLOOKUP(tblOrders[[#This Row],[ProductID]],tblProducts[ProductID],tblProducts[ProductName],"not found")</f>
        <v>Raise</v>
      </c>
      <c r="I1083" t="str">
        <f>_xlfn.XLOOKUP(tblOrders[[#This Row],[ProductID]],tblProducts[ProductID],tblProducts[Category],"not found")</f>
        <v>Furniture</v>
      </c>
      <c r="J1083">
        <f>_xlfn.XLOOKUP(tblOrders[[#This Row],[ProductID]],tblProducts[ProductID],tblProducts[UnitPrice],"not found")</f>
        <v>89.12</v>
      </c>
      <c r="K1083" t="str">
        <f>_xlfn.XLOOKUP(tblOrders[[#This Row],[ProductID]],tblProducts[ProductID],tblProducts[Supplier],"not found")</f>
        <v>Anderson PLC</v>
      </c>
      <c r="L1083" s="1">
        <v>44936</v>
      </c>
      <c r="M10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1083">
        <v>5</v>
      </c>
      <c r="O1083">
        <v>445.6</v>
      </c>
      <c r="P1083">
        <f>tblOrders[[#This Row],[Quantity]]*tblOrders[[#This Row],[Unit Price]]</f>
        <v>445.6</v>
      </c>
      <c r="Q1083">
        <f>tblOrders[[#This Row],[TotalSales]]-tblOrders[[#This Row],[Calculated Sales]]</f>
        <v>0</v>
      </c>
    </row>
    <row r="1084" spans="1:17" x14ac:dyDescent="0.25">
      <c r="A1084">
        <v>976</v>
      </c>
      <c r="B1084">
        <v>184</v>
      </c>
      <c r="C1084" t="str">
        <f>_xlfn.XLOOKUP(tblOrders[[#This Row],[CustomerID]],tblCustomers[CustomerID],tblCustomers[CustomerName],"not found")</f>
        <v>Jonathan Sanford</v>
      </c>
      <c r="D1084">
        <f>_xlfn.XLOOKUP(tblOrders[[#This Row],[CustomerID]],tblCustomers[CustomerID],tblCustomers[Age],"not found")</f>
        <v>60</v>
      </c>
      <c r="E1084" t="str">
        <f>_xlfn.XLOOKUP(tblOrders[[#This Row],[CustomerID]],tblCustomers[CustomerID],tblCustomers[Gender],"not found")</f>
        <v>Female</v>
      </c>
      <c r="F1084" t="str">
        <f>_xlfn.XLOOKUP(tblOrders[[#This Row],[CustomerID]],tblCustomers[CustomerID],tblCustomers[Region],"not found")</f>
        <v>East</v>
      </c>
      <c r="G1084">
        <v>1012</v>
      </c>
      <c r="H1084" t="str">
        <f>_xlfn.XLOOKUP(tblOrders[[#This Row],[ProductID]],tblProducts[ProductID],tblProducts[ProductName],"not found")</f>
        <v>Raise</v>
      </c>
      <c r="I1084" t="str">
        <f>_xlfn.XLOOKUP(tblOrders[[#This Row],[ProductID]],tblProducts[ProductID],tblProducts[Category],"not found")</f>
        <v>Furniture</v>
      </c>
      <c r="J1084">
        <f>_xlfn.XLOOKUP(tblOrders[[#This Row],[ProductID]],tblProducts[ProductID],tblProducts[UnitPrice],"not found")</f>
        <v>89.12</v>
      </c>
      <c r="K1084" t="str">
        <f>_xlfn.XLOOKUP(tblOrders[[#This Row],[ProductID]],tblProducts[ProductID],tblProducts[Supplier],"not found")</f>
        <v>Anderson PLC</v>
      </c>
      <c r="L1084" s="1">
        <v>44969</v>
      </c>
      <c r="M10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1084">
        <v>6</v>
      </c>
      <c r="O1084">
        <v>534.72</v>
      </c>
      <c r="P1084">
        <f>tblOrders[[#This Row],[Quantity]]*tblOrders[[#This Row],[Unit Price]]</f>
        <v>534.72</v>
      </c>
      <c r="Q1084">
        <f>tblOrders[[#This Row],[TotalSales]]-tblOrders[[#This Row],[Calculated Sales]]</f>
        <v>0</v>
      </c>
    </row>
    <row r="1085" spans="1:17" x14ac:dyDescent="0.25">
      <c r="A1085">
        <v>1063</v>
      </c>
      <c r="B1085">
        <v>651</v>
      </c>
      <c r="C1085" t="str">
        <f>_xlfn.XLOOKUP(tblOrders[[#This Row],[CustomerID]],tblCustomers[CustomerID],tblCustomers[CustomerName],"not found")</f>
        <v>Jillian Haas</v>
      </c>
      <c r="D1085">
        <f>_xlfn.XLOOKUP(tblOrders[[#This Row],[CustomerID]],tblCustomers[CustomerID],tblCustomers[Age],"not found")</f>
        <v>26</v>
      </c>
      <c r="E1085" t="str">
        <f>_xlfn.XLOOKUP(tblOrders[[#This Row],[CustomerID]],tblCustomers[CustomerID],tblCustomers[Gender],"not found")</f>
        <v>Female</v>
      </c>
      <c r="F1085" t="str">
        <f>_xlfn.XLOOKUP(tblOrders[[#This Row],[CustomerID]],tblCustomers[CustomerID],tblCustomers[Region],"not found")</f>
        <v>Central</v>
      </c>
      <c r="G1085">
        <v>1012</v>
      </c>
      <c r="H1085" t="str">
        <f>_xlfn.XLOOKUP(tblOrders[[#This Row],[ProductID]],tblProducts[ProductID],tblProducts[ProductName],"not found")</f>
        <v>Raise</v>
      </c>
      <c r="I1085" t="str">
        <f>_xlfn.XLOOKUP(tblOrders[[#This Row],[ProductID]],tblProducts[ProductID],tblProducts[Category],"not found")</f>
        <v>Furniture</v>
      </c>
      <c r="J1085">
        <f>_xlfn.XLOOKUP(tblOrders[[#This Row],[ProductID]],tblProducts[ProductID],tblProducts[UnitPrice],"not found")</f>
        <v>89.12</v>
      </c>
      <c r="K1085" t="str">
        <f>_xlfn.XLOOKUP(tblOrders[[#This Row],[ProductID]],tblProducts[ProductID],tblProducts[Supplier],"not found")</f>
        <v>Anderson PLC</v>
      </c>
      <c r="L1085" s="1" t="s">
        <v>2358</v>
      </c>
      <c r="M10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44943</v>
      </c>
      <c r="N1085">
        <v>5</v>
      </c>
      <c r="O1085">
        <v>445.6</v>
      </c>
      <c r="P1085">
        <f>tblOrders[[#This Row],[Quantity]]*tblOrders[[#This Row],[Unit Price]]</f>
        <v>445.6</v>
      </c>
      <c r="Q1085">
        <f>tblOrders[[#This Row],[TotalSales]]-tblOrders[[#This Row],[Calculated Sales]]</f>
        <v>0</v>
      </c>
    </row>
    <row r="1086" spans="1:17" x14ac:dyDescent="0.25">
      <c r="A1086">
        <v>1301</v>
      </c>
      <c r="B1086">
        <v>295</v>
      </c>
      <c r="C1086" t="str">
        <f>_xlfn.XLOOKUP(tblOrders[[#This Row],[CustomerID]],tblCustomers[CustomerID],tblCustomers[CustomerName],"not found")</f>
        <v>Walter Zuniga</v>
      </c>
      <c r="D1086">
        <f>_xlfn.XLOOKUP(tblOrders[[#This Row],[CustomerID]],tblCustomers[CustomerID],tblCustomers[Age],"not found")</f>
        <v>38</v>
      </c>
      <c r="E1086" t="str">
        <f>_xlfn.XLOOKUP(tblOrders[[#This Row],[CustomerID]],tblCustomers[CustomerID],tblCustomers[Gender],"not found")</f>
        <v>Female</v>
      </c>
      <c r="F1086" t="str">
        <f>_xlfn.XLOOKUP(tblOrders[[#This Row],[CustomerID]],tblCustomers[CustomerID],tblCustomers[Region],"not found")</f>
        <v>South</v>
      </c>
      <c r="G1086">
        <v>1012</v>
      </c>
      <c r="H1086" t="str">
        <f>_xlfn.XLOOKUP(tblOrders[[#This Row],[ProductID]],tblProducts[ProductID],tblProducts[ProductName],"not found")</f>
        <v>Raise</v>
      </c>
      <c r="I1086" t="str">
        <f>_xlfn.XLOOKUP(tblOrders[[#This Row],[ProductID]],tblProducts[ProductID],tblProducts[Category],"not found")</f>
        <v>Furniture</v>
      </c>
      <c r="J1086">
        <f>_xlfn.XLOOKUP(tblOrders[[#This Row],[ProductID]],tblProducts[ProductID],tblProducts[UnitPrice],"not found")</f>
        <v>89.12</v>
      </c>
      <c r="K1086" t="str">
        <f>_xlfn.XLOOKUP(tblOrders[[#This Row],[ProductID]],tblProducts[ProductID],tblProducts[Supplier],"not found")</f>
        <v>Anderson PLC</v>
      </c>
      <c r="L1086" s="1" t="s">
        <v>2077</v>
      </c>
      <c r="M10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45502</v>
      </c>
      <c r="N1086">
        <v>4</v>
      </c>
      <c r="O1086">
        <v>356.48</v>
      </c>
      <c r="P1086">
        <f>tblOrders[[#This Row],[Quantity]]*tblOrders[[#This Row],[Unit Price]]</f>
        <v>356.48</v>
      </c>
      <c r="Q1086">
        <f>tblOrders[[#This Row],[TotalSales]]-tblOrders[[#This Row],[Calculated Sales]]</f>
        <v>0</v>
      </c>
    </row>
    <row r="1087" spans="1:17" x14ac:dyDescent="0.25">
      <c r="A1087">
        <v>1352</v>
      </c>
      <c r="B1087">
        <v>881</v>
      </c>
      <c r="C1087" t="str">
        <f>_xlfn.XLOOKUP(tblOrders[[#This Row],[CustomerID]],tblCustomers[CustomerID],tblCustomers[CustomerName],"not found")</f>
        <v>Susan Palmer</v>
      </c>
      <c r="D1087">
        <f>_xlfn.XLOOKUP(tblOrders[[#This Row],[CustomerID]],tblCustomers[CustomerID],tblCustomers[Age],"not found")</f>
        <v>42</v>
      </c>
      <c r="E1087" t="str">
        <f>_xlfn.XLOOKUP(tblOrders[[#This Row],[CustomerID]],tblCustomers[CustomerID],tblCustomers[Gender],"not found")</f>
        <v>Male</v>
      </c>
      <c r="F1087" t="str">
        <f>_xlfn.XLOOKUP(tblOrders[[#This Row],[CustomerID]],tblCustomers[CustomerID],tblCustomers[Region],"not found")</f>
        <v>East</v>
      </c>
      <c r="G1087">
        <v>1012</v>
      </c>
      <c r="H1087" t="str">
        <f>_xlfn.XLOOKUP(tblOrders[[#This Row],[ProductID]],tblProducts[ProductID],tblProducts[ProductName],"not found")</f>
        <v>Raise</v>
      </c>
      <c r="I1087" t="str">
        <f>_xlfn.XLOOKUP(tblOrders[[#This Row],[ProductID]],tblProducts[ProductID],tblProducts[Category],"not found")</f>
        <v>Furniture</v>
      </c>
      <c r="J1087">
        <f>_xlfn.XLOOKUP(tblOrders[[#This Row],[ProductID]],tblProducts[ProductID],tblProducts[UnitPrice],"not found")</f>
        <v>89.12</v>
      </c>
      <c r="K1087" t="str">
        <f>_xlfn.XLOOKUP(tblOrders[[#This Row],[ProductID]],tblProducts[ProductID],tblProducts[Supplier],"not found")</f>
        <v>Anderson PLC</v>
      </c>
      <c r="L1087" s="1">
        <v>45513</v>
      </c>
      <c r="M10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45513</v>
      </c>
      <c r="N1087">
        <v>6</v>
      </c>
      <c r="O1087">
        <v>534.72</v>
      </c>
      <c r="P1087">
        <f>tblOrders[[#This Row],[Quantity]]*tblOrders[[#This Row],[Unit Price]]</f>
        <v>534.72</v>
      </c>
      <c r="Q1087">
        <f>tblOrders[[#This Row],[TotalSales]]-tblOrders[[#This Row],[Calculated Sales]]</f>
        <v>0</v>
      </c>
    </row>
    <row r="1088" spans="1:17" x14ac:dyDescent="0.25">
      <c r="A1088">
        <v>1612</v>
      </c>
      <c r="B1088">
        <v>13</v>
      </c>
      <c r="C1088" t="str">
        <f>_xlfn.XLOOKUP(tblOrders[[#This Row],[CustomerID]],tblCustomers[CustomerID],tblCustomers[CustomerName],"not found")</f>
        <v>Chelsey Hunter</v>
      </c>
      <c r="D1088">
        <f>_xlfn.XLOOKUP(tblOrders[[#This Row],[CustomerID]],tblCustomers[CustomerID],tblCustomers[Age],"not found")</f>
        <v>32</v>
      </c>
      <c r="E1088" t="str">
        <f>_xlfn.XLOOKUP(tblOrders[[#This Row],[CustomerID]],tblCustomers[CustomerID],tblCustomers[Gender],"not found")</f>
        <v>Female</v>
      </c>
      <c r="F1088" t="str">
        <f>_xlfn.XLOOKUP(tblOrders[[#This Row],[CustomerID]],tblCustomers[CustomerID],tblCustomers[Region],"not found")</f>
        <v>East</v>
      </c>
      <c r="G1088">
        <v>1012</v>
      </c>
      <c r="H1088" t="str">
        <f>_xlfn.XLOOKUP(tblOrders[[#This Row],[ProductID]],tblProducts[ProductID],tblProducts[ProductName],"not found")</f>
        <v>Raise</v>
      </c>
      <c r="I1088" t="str">
        <f>_xlfn.XLOOKUP(tblOrders[[#This Row],[ProductID]],tblProducts[ProductID],tblProducts[Category],"not found")</f>
        <v>Furniture</v>
      </c>
      <c r="J1088">
        <f>_xlfn.XLOOKUP(tblOrders[[#This Row],[ProductID]],tblProducts[ProductID],tblProducts[UnitPrice],"not found")</f>
        <v>89.12</v>
      </c>
      <c r="K1088" t="str">
        <f>_xlfn.XLOOKUP(tblOrders[[#This Row],[ProductID]],tblProducts[ProductID],tblProducts[Supplier],"not found")</f>
        <v>Anderson PLC</v>
      </c>
      <c r="L1088" s="1">
        <v>45172</v>
      </c>
      <c r="M10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45172</v>
      </c>
      <c r="N1088">
        <v>4</v>
      </c>
      <c r="O1088">
        <v>356.48</v>
      </c>
      <c r="P1088">
        <f>tblOrders[[#This Row],[Quantity]]*tblOrders[[#This Row],[Unit Price]]</f>
        <v>356.48</v>
      </c>
      <c r="Q1088">
        <f>tblOrders[[#This Row],[TotalSales]]-tblOrders[[#This Row],[Calculated Sales]]</f>
        <v>0</v>
      </c>
    </row>
    <row r="1089" spans="1:17" x14ac:dyDescent="0.25">
      <c r="A1089">
        <v>1665</v>
      </c>
      <c r="B1089">
        <v>980</v>
      </c>
      <c r="C1089" t="str">
        <f>_xlfn.XLOOKUP(tblOrders[[#This Row],[CustomerID]],tblCustomers[CustomerID],tblCustomers[CustomerName],"not found")</f>
        <v>Gregory Andrade</v>
      </c>
      <c r="D1089">
        <f>_xlfn.XLOOKUP(tblOrders[[#This Row],[CustomerID]],tblCustomers[CustomerID],tblCustomers[Age],"not found")</f>
        <v>24</v>
      </c>
      <c r="E1089" t="str">
        <f>_xlfn.XLOOKUP(tblOrders[[#This Row],[CustomerID]],tblCustomers[CustomerID],tblCustomers[Gender],"not found")</f>
        <v>Female</v>
      </c>
      <c r="F1089" t="str">
        <f>_xlfn.XLOOKUP(tblOrders[[#This Row],[CustomerID]],tblCustomers[CustomerID],tblCustomers[Region],"not found")</f>
        <v>North</v>
      </c>
      <c r="G1089">
        <v>1012</v>
      </c>
      <c r="H1089" t="str">
        <f>_xlfn.XLOOKUP(tblOrders[[#This Row],[ProductID]],tblProducts[ProductID],tblProducts[ProductName],"not found")</f>
        <v>Raise</v>
      </c>
      <c r="I1089" t="str">
        <f>_xlfn.XLOOKUP(tblOrders[[#This Row],[ProductID]],tblProducts[ProductID],tblProducts[Category],"not found")</f>
        <v>Furniture</v>
      </c>
      <c r="J1089">
        <f>_xlfn.XLOOKUP(tblOrders[[#This Row],[ProductID]],tblProducts[ProductID],tblProducts[UnitPrice],"not found")</f>
        <v>89.12</v>
      </c>
      <c r="K1089" t="str">
        <f>_xlfn.XLOOKUP(tblOrders[[#This Row],[ProductID]],tblProducts[ProductID],tblProducts[Supplier],"not found")</f>
        <v>Anderson PLC</v>
      </c>
      <c r="L1089" s="1">
        <v>45272</v>
      </c>
      <c r="M10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45272</v>
      </c>
      <c r="N1089">
        <v>1</v>
      </c>
      <c r="O1089">
        <v>89.12</v>
      </c>
      <c r="P1089">
        <f>tblOrders[[#This Row],[Quantity]]*tblOrders[[#This Row],[Unit Price]]</f>
        <v>89.12</v>
      </c>
      <c r="Q1089">
        <f>tblOrders[[#This Row],[TotalSales]]-tblOrders[[#This Row],[Calculated Sales]]</f>
        <v>0</v>
      </c>
    </row>
    <row r="1090" spans="1:17" x14ac:dyDescent="0.25">
      <c r="A1090">
        <v>1675</v>
      </c>
      <c r="B1090">
        <v>536</v>
      </c>
      <c r="C1090" t="str">
        <f>_xlfn.XLOOKUP(tblOrders[[#This Row],[CustomerID]],tblCustomers[CustomerID],tblCustomers[CustomerName],"not found")</f>
        <v>Joshua Howell</v>
      </c>
      <c r="D1090">
        <f>_xlfn.XLOOKUP(tblOrders[[#This Row],[CustomerID]],tblCustomers[CustomerID],tblCustomers[Age],"not found")</f>
        <v>39</v>
      </c>
      <c r="E1090" t="str">
        <f>_xlfn.XLOOKUP(tblOrders[[#This Row],[CustomerID]],tblCustomers[CustomerID],tblCustomers[Gender],"not found")</f>
        <v>Male</v>
      </c>
      <c r="F1090" t="str">
        <f>_xlfn.XLOOKUP(tblOrders[[#This Row],[CustomerID]],tblCustomers[CustomerID],tblCustomers[Region],"not found")</f>
        <v>Central</v>
      </c>
      <c r="G1090">
        <v>1012</v>
      </c>
      <c r="H1090" t="str">
        <f>_xlfn.XLOOKUP(tblOrders[[#This Row],[ProductID]],tblProducts[ProductID],tblProducts[ProductName],"not found")</f>
        <v>Raise</v>
      </c>
      <c r="I1090" t="str">
        <f>_xlfn.XLOOKUP(tblOrders[[#This Row],[ProductID]],tblProducts[ProductID],tblProducts[Category],"not found")</f>
        <v>Furniture</v>
      </c>
      <c r="J1090">
        <f>_xlfn.XLOOKUP(tblOrders[[#This Row],[ProductID]],tblProducts[ProductID],tblProducts[UnitPrice],"not found")</f>
        <v>89.12</v>
      </c>
      <c r="K1090" t="str">
        <f>_xlfn.XLOOKUP(tblOrders[[#This Row],[ProductID]],tblProducts[ProductID],tblProducts[Supplier],"not found")</f>
        <v>Anderson PLC</v>
      </c>
      <c r="L1090" s="1" t="s">
        <v>2186</v>
      </c>
      <c r="M10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45046</v>
      </c>
      <c r="N1090">
        <v>4</v>
      </c>
      <c r="O1090">
        <v>356.48</v>
      </c>
      <c r="P1090">
        <f>tblOrders[[#This Row],[Quantity]]*tblOrders[[#This Row],[Unit Price]]</f>
        <v>356.48</v>
      </c>
      <c r="Q1090">
        <f>tblOrders[[#This Row],[TotalSales]]-tblOrders[[#This Row],[Calculated Sales]]</f>
        <v>0</v>
      </c>
    </row>
    <row r="1091" spans="1:17" x14ac:dyDescent="0.25">
      <c r="A1091">
        <v>1676</v>
      </c>
      <c r="B1091">
        <v>466</v>
      </c>
      <c r="C1091" t="str">
        <f>_xlfn.XLOOKUP(tblOrders[[#This Row],[CustomerID]],tblCustomers[CustomerID],tblCustomers[CustomerName],"not found")</f>
        <v>Christine Mcbride</v>
      </c>
      <c r="D1091">
        <f>_xlfn.XLOOKUP(tblOrders[[#This Row],[CustomerID]],tblCustomers[CustomerID],tblCustomers[Age],"not found")</f>
        <v>30</v>
      </c>
      <c r="E1091" t="str">
        <f>_xlfn.XLOOKUP(tblOrders[[#This Row],[CustomerID]],tblCustomers[CustomerID],tblCustomers[Gender],"not found")</f>
        <v>Male</v>
      </c>
      <c r="F1091" t="str">
        <f>_xlfn.XLOOKUP(tblOrders[[#This Row],[CustomerID]],tblCustomers[CustomerID],tblCustomers[Region],"not found")</f>
        <v>South</v>
      </c>
      <c r="G1091">
        <v>1012</v>
      </c>
      <c r="H1091" t="str">
        <f>_xlfn.XLOOKUP(tblOrders[[#This Row],[ProductID]],tblProducts[ProductID],tblProducts[ProductName],"not found")</f>
        <v>Raise</v>
      </c>
      <c r="I1091" t="str">
        <f>_xlfn.XLOOKUP(tblOrders[[#This Row],[ProductID]],tblProducts[ProductID],tblProducts[Category],"not found")</f>
        <v>Furniture</v>
      </c>
      <c r="J1091">
        <f>_xlfn.XLOOKUP(tblOrders[[#This Row],[ProductID]],tblProducts[ProductID],tblProducts[UnitPrice],"not found")</f>
        <v>89.12</v>
      </c>
      <c r="K1091" t="str">
        <f>_xlfn.XLOOKUP(tblOrders[[#This Row],[ProductID]],tblProducts[ProductID],tblProducts[Supplier],"not found")</f>
        <v>Anderson PLC</v>
      </c>
      <c r="L1091" s="1" t="s">
        <v>2182</v>
      </c>
      <c r="M10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45060</v>
      </c>
      <c r="N1091">
        <v>2</v>
      </c>
      <c r="O1091">
        <v>178.24</v>
      </c>
      <c r="P1091">
        <f>tblOrders[[#This Row],[Quantity]]*tblOrders[[#This Row],[Unit Price]]</f>
        <v>178.24</v>
      </c>
      <c r="Q1091">
        <f>tblOrders[[#This Row],[TotalSales]]-tblOrders[[#This Row],[Calculated Sales]]</f>
        <v>0</v>
      </c>
    </row>
    <row r="1092" spans="1:17" x14ac:dyDescent="0.25">
      <c r="A1092">
        <v>1737</v>
      </c>
      <c r="B1092">
        <v>995</v>
      </c>
      <c r="C1092" t="str">
        <f>_xlfn.XLOOKUP(tblOrders[[#This Row],[CustomerID]],tblCustomers[CustomerID],tblCustomers[CustomerName],"not found")</f>
        <v>Angela Wood</v>
      </c>
      <c r="D1092">
        <f>_xlfn.XLOOKUP(tblOrders[[#This Row],[CustomerID]],tblCustomers[CustomerID],tblCustomers[Age],"not found")</f>
        <v>64</v>
      </c>
      <c r="E1092" t="str">
        <f>_xlfn.XLOOKUP(tblOrders[[#This Row],[CustomerID]],tblCustomers[CustomerID],tblCustomers[Gender],"not found")</f>
        <v>Female</v>
      </c>
      <c r="F1092" t="str">
        <f>_xlfn.XLOOKUP(tblOrders[[#This Row],[CustomerID]],tblCustomers[CustomerID],tblCustomers[Region],"not found")</f>
        <v>East</v>
      </c>
      <c r="G1092">
        <v>1012</v>
      </c>
      <c r="H1092" t="str">
        <f>_xlfn.XLOOKUP(tblOrders[[#This Row],[ProductID]],tblProducts[ProductID],tblProducts[ProductName],"not found")</f>
        <v>Raise</v>
      </c>
      <c r="I1092" t="str">
        <f>_xlfn.XLOOKUP(tblOrders[[#This Row],[ProductID]],tblProducts[ProductID],tblProducts[Category],"not found")</f>
        <v>Furniture</v>
      </c>
      <c r="J1092">
        <f>_xlfn.XLOOKUP(tblOrders[[#This Row],[ProductID]],tblProducts[ProductID],tblProducts[UnitPrice],"not found")</f>
        <v>89.12</v>
      </c>
      <c r="K1092" t="str">
        <f>_xlfn.XLOOKUP(tblOrders[[#This Row],[ProductID]],tblProducts[ProductID],tblProducts[Supplier],"not found")</f>
        <v>Anderson PLC</v>
      </c>
      <c r="L1092" s="1" t="s">
        <v>2358</v>
      </c>
      <c r="M10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44943</v>
      </c>
      <c r="N1092">
        <v>2</v>
      </c>
      <c r="O1092">
        <v>178.24</v>
      </c>
      <c r="P1092">
        <f>tblOrders[[#This Row],[Quantity]]*tblOrders[[#This Row],[Unit Price]]</f>
        <v>178.24</v>
      </c>
      <c r="Q1092">
        <f>tblOrders[[#This Row],[TotalSales]]-tblOrders[[#This Row],[Calculated Sales]]</f>
        <v>0</v>
      </c>
    </row>
    <row r="1093" spans="1:17" x14ac:dyDescent="0.25">
      <c r="A1093">
        <v>1857</v>
      </c>
      <c r="B1093">
        <v>71</v>
      </c>
      <c r="C1093" t="str">
        <f>_xlfn.XLOOKUP(tblOrders[[#This Row],[CustomerID]],tblCustomers[CustomerID],tblCustomers[CustomerName],"not found")</f>
        <v>Karen Acevedo</v>
      </c>
      <c r="D1093">
        <f>_xlfn.XLOOKUP(tblOrders[[#This Row],[CustomerID]],tblCustomers[CustomerID],tblCustomers[Age],"not found")</f>
        <v>25</v>
      </c>
      <c r="E1093" t="str">
        <f>_xlfn.XLOOKUP(tblOrders[[#This Row],[CustomerID]],tblCustomers[CustomerID],tblCustomers[Gender],"not found")</f>
        <v>Female</v>
      </c>
      <c r="F1093" t="str">
        <f>_xlfn.XLOOKUP(tblOrders[[#This Row],[CustomerID]],tblCustomers[CustomerID],tblCustomers[Region],"not found")</f>
        <v>West</v>
      </c>
      <c r="G1093">
        <v>1012</v>
      </c>
      <c r="H1093" t="str">
        <f>_xlfn.XLOOKUP(tblOrders[[#This Row],[ProductID]],tblProducts[ProductID],tblProducts[ProductName],"not found")</f>
        <v>Raise</v>
      </c>
      <c r="I1093" t="str">
        <f>_xlfn.XLOOKUP(tblOrders[[#This Row],[ProductID]],tblProducts[ProductID],tblProducts[Category],"not found")</f>
        <v>Furniture</v>
      </c>
      <c r="J1093">
        <f>_xlfn.XLOOKUP(tblOrders[[#This Row],[ProductID]],tblProducts[ProductID],tblProducts[UnitPrice],"not found")</f>
        <v>89.12</v>
      </c>
      <c r="K1093" t="str">
        <f>_xlfn.XLOOKUP(tblOrders[[#This Row],[ProductID]],tblProducts[ProductID],tblProducts[Supplier],"not found")</f>
        <v>Anderson PLC</v>
      </c>
      <c r="L1093" s="1">
        <v>44929</v>
      </c>
      <c r="M10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44929</v>
      </c>
      <c r="N1093">
        <v>9</v>
      </c>
      <c r="O1093">
        <v>802.08</v>
      </c>
      <c r="P1093">
        <f>tblOrders[[#This Row],[Quantity]]*tblOrders[[#This Row],[Unit Price]]</f>
        <v>802.08</v>
      </c>
      <c r="Q1093">
        <f>tblOrders[[#This Row],[TotalSales]]-tblOrders[[#This Row],[Calculated Sales]]</f>
        <v>0</v>
      </c>
    </row>
    <row r="1094" spans="1:17" x14ac:dyDescent="0.25">
      <c r="A1094">
        <v>71</v>
      </c>
      <c r="B1094">
        <v>373</v>
      </c>
      <c r="C1094" t="str">
        <f>_xlfn.XLOOKUP(tblOrders[[#This Row],[CustomerID]],tblCustomers[CustomerID],tblCustomers[CustomerName],"not found")</f>
        <v>Robert Barrera</v>
      </c>
      <c r="D1094">
        <f>_xlfn.XLOOKUP(tblOrders[[#This Row],[CustomerID]],tblCustomers[CustomerID],tblCustomers[Age],"not found")</f>
        <v>27</v>
      </c>
      <c r="E1094" t="str">
        <f>_xlfn.XLOOKUP(tblOrders[[#This Row],[CustomerID]],tblCustomers[CustomerID],tblCustomers[Gender],"not found")</f>
        <v>Female</v>
      </c>
      <c r="F1094" t="str">
        <f>_xlfn.XLOOKUP(tblOrders[[#This Row],[CustomerID]],tblCustomers[CustomerID],tblCustomers[Region],"not found")</f>
        <v>Central</v>
      </c>
      <c r="G1094">
        <v>1053</v>
      </c>
      <c r="H1094" t="str">
        <f>_xlfn.XLOOKUP(tblOrders[[#This Row],[ProductID]],tblProducts[ProductID],tblProducts[ProductName],"not found")</f>
        <v>Out</v>
      </c>
      <c r="I1094" t="str">
        <f>_xlfn.XLOOKUP(tblOrders[[#This Row],[ProductID]],tblProducts[ProductID],tblProducts[Category],"not found")</f>
        <v>Toys</v>
      </c>
      <c r="J1094">
        <f>_xlfn.XLOOKUP(tblOrders[[#This Row],[ProductID]],tblProducts[ProductID],tblProducts[UnitPrice],"not found")</f>
        <v>250.29</v>
      </c>
      <c r="K1094" t="str">
        <f>_xlfn.XLOOKUP(tblOrders[[#This Row],[ProductID]],tblProducts[ProductID],tblProducts[Supplier],"not found")</f>
        <v>Valdez, Miller and Carlson</v>
      </c>
      <c r="L1094" s="1" t="s">
        <v>2313</v>
      </c>
      <c r="M10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45494</v>
      </c>
      <c r="N1094">
        <v>6</v>
      </c>
      <c r="O1094">
        <v>1501.74</v>
      </c>
      <c r="P1094">
        <f>tblOrders[[#This Row],[Quantity]]*tblOrders[[#This Row],[Unit Price]]</f>
        <v>1501.74</v>
      </c>
      <c r="Q1094">
        <f>tblOrders[[#This Row],[TotalSales]]-tblOrders[[#This Row],[Calculated Sales]]</f>
        <v>0</v>
      </c>
    </row>
    <row r="1095" spans="1:17" x14ac:dyDescent="0.25">
      <c r="A1095">
        <v>104</v>
      </c>
      <c r="B1095">
        <v>479</v>
      </c>
      <c r="C1095" t="str">
        <f>_xlfn.XLOOKUP(tblOrders[[#This Row],[CustomerID]],tblCustomers[CustomerID],tblCustomers[CustomerName],"not found")</f>
        <v>Edward Poole</v>
      </c>
      <c r="D1095">
        <f>_xlfn.XLOOKUP(tblOrders[[#This Row],[CustomerID]],tblCustomers[CustomerID],tblCustomers[Age],"not found")</f>
        <v>46</v>
      </c>
      <c r="E1095" t="str">
        <f>_xlfn.XLOOKUP(tblOrders[[#This Row],[CustomerID]],tblCustomers[CustomerID],tblCustomers[Gender],"not found")</f>
        <v>Female</v>
      </c>
      <c r="F1095" t="str">
        <f>_xlfn.XLOOKUP(tblOrders[[#This Row],[CustomerID]],tblCustomers[CustomerID],tblCustomers[Region],"not found")</f>
        <v>Central</v>
      </c>
      <c r="G1095">
        <v>1053</v>
      </c>
      <c r="H1095" t="str">
        <f>_xlfn.XLOOKUP(tblOrders[[#This Row],[ProductID]],tblProducts[ProductID],tblProducts[ProductName],"not found")</f>
        <v>Out</v>
      </c>
      <c r="I1095" t="str">
        <f>_xlfn.XLOOKUP(tblOrders[[#This Row],[ProductID]],tblProducts[ProductID],tblProducts[Category],"not found")</f>
        <v>Toys</v>
      </c>
      <c r="J1095">
        <f>_xlfn.XLOOKUP(tblOrders[[#This Row],[ProductID]],tblProducts[ProductID],tblProducts[UnitPrice],"not found")</f>
        <v>250.29</v>
      </c>
      <c r="K1095" t="str">
        <f>_xlfn.XLOOKUP(tblOrders[[#This Row],[ProductID]],tblProducts[ProductID],tblProducts[Supplier],"not found")</f>
        <v>Valdez, Miller and Carlson</v>
      </c>
      <c r="L1095" s="1" t="s">
        <v>2153</v>
      </c>
      <c r="M10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44985</v>
      </c>
      <c r="N1095">
        <v>6</v>
      </c>
      <c r="O1095">
        <v>1501.74</v>
      </c>
      <c r="P1095">
        <f>tblOrders[[#This Row],[Quantity]]*tblOrders[[#This Row],[Unit Price]]</f>
        <v>1501.74</v>
      </c>
      <c r="Q1095">
        <f>tblOrders[[#This Row],[TotalSales]]-tblOrders[[#This Row],[Calculated Sales]]</f>
        <v>0</v>
      </c>
    </row>
    <row r="1096" spans="1:17" x14ac:dyDescent="0.25">
      <c r="A1096">
        <v>178</v>
      </c>
      <c r="B1096">
        <v>840</v>
      </c>
      <c r="C1096" t="str">
        <f>_xlfn.XLOOKUP(tblOrders[[#This Row],[CustomerID]],tblCustomers[CustomerID],tblCustomers[CustomerName],"not found")</f>
        <v>Alicia Martinez</v>
      </c>
      <c r="D1096">
        <f>_xlfn.XLOOKUP(tblOrders[[#This Row],[CustomerID]],tblCustomers[CustomerID],tblCustomers[Age],"not found")</f>
        <v>63</v>
      </c>
      <c r="E1096" t="str">
        <f>_xlfn.XLOOKUP(tblOrders[[#This Row],[CustomerID]],tblCustomers[CustomerID],tblCustomers[Gender],"not found")</f>
        <v>Male</v>
      </c>
      <c r="F1096" t="str">
        <f>_xlfn.XLOOKUP(tblOrders[[#This Row],[CustomerID]],tblCustomers[CustomerID],tblCustomers[Region],"not found")</f>
        <v>North</v>
      </c>
      <c r="G1096">
        <v>1053</v>
      </c>
      <c r="H1096" t="str">
        <f>_xlfn.XLOOKUP(tblOrders[[#This Row],[ProductID]],tblProducts[ProductID],tblProducts[ProductName],"not found")</f>
        <v>Out</v>
      </c>
      <c r="I1096" t="str">
        <f>_xlfn.XLOOKUP(tblOrders[[#This Row],[ProductID]],tblProducts[ProductID],tblProducts[Category],"not found")</f>
        <v>Toys</v>
      </c>
      <c r="J1096">
        <f>_xlfn.XLOOKUP(tblOrders[[#This Row],[ProductID]],tblProducts[ProductID],tblProducts[UnitPrice],"not found")</f>
        <v>250.29</v>
      </c>
      <c r="K1096" t="str">
        <f>_xlfn.XLOOKUP(tblOrders[[#This Row],[ProductID]],tblProducts[ProductID],tblProducts[Supplier],"not found")</f>
        <v>Valdez, Miller and Carlson</v>
      </c>
      <c r="L1096" s="1" t="s">
        <v>2359</v>
      </c>
      <c r="M10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44983</v>
      </c>
      <c r="N1096">
        <v>8</v>
      </c>
      <c r="O1096">
        <v>2002.32</v>
      </c>
      <c r="P1096">
        <f>tblOrders[[#This Row],[Quantity]]*tblOrders[[#This Row],[Unit Price]]</f>
        <v>2002.32</v>
      </c>
      <c r="Q1096">
        <f>tblOrders[[#This Row],[TotalSales]]-tblOrders[[#This Row],[Calculated Sales]]</f>
        <v>0</v>
      </c>
    </row>
    <row r="1097" spans="1:17" x14ac:dyDescent="0.25">
      <c r="A1097">
        <v>369</v>
      </c>
      <c r="B1097">
        <v>999</v>
      </c>
      <c r="C1097" t="str">
        <f>_xlfn.XLOOKUP(tblOrders[[#This Row],[CustomerID]],tblCustomers[CustomerID],tblCustomers[CustomerName],"not found")</f>
        <v>Amy Jackson</v>
      </c>
      <c r="D1097">
        <f>_xlfn.XLOOKUP(tblOrders[[#This Row],[CustomerID]],tblCustomers[CustomerID],tblCustomers[Age],"not found")</f>
        <v>65</v>
      </c>
      <c r="E1097" t="str">
        <f>_xlfn.XLOOKUP(tblOrders[[#This Row],[CustomerID]],tblCustomers[CustomerID],tblCustomers[Gender],"not found")</f>
        <v>Male</v>
      </c>
      <c r="F1097" t="str">
        <f>_xlfn.XLOOKUP(tblOrders[[#This Row],[CustomerID]],tblCustomers[CustomerID],tblCustomers[Region],"not found")</f>
        <v>Central</v>
      </c>
      <c r="G1097">
        <v>1053</v>
      </c>
      <c r="H1097" t="str">
        <f>_xlfn.XLOOKUP(tblOrders[[#This Row],[ProductID]],tblProducts[ProductID],tblProducts[ProductName],"not found")</f>
        <v>Out</v>
      </c>
      <c r="I1097" t="str">
        <f>_xlfn.XLOOKUP(tblOrders[[#This Row],[ProductID]],tblProducts[ProductID],tblProducts[Category],"not found")</f>
        <v>Toys</v>
      </c>
      <c r="J1097">
        <f>_xlfn.XLOOKUP(tblOrders[[#This Row],[ProductID]],tblProducts[ProductID],tblProducts[UnitPrice],"not found")</f>
        <v>250.29</v>
      </c>
      <c r="K1097" t="str">
        <f>_xlfn.XLOOKUP(tblOrders[[#This Row],[ProductID]],tblProducts[ProductID],tblProducts[Supplier],"not found")</f>
        <v>Valdez, Miller and Carlson</v>
      </c>
      <c r="L1097" s="1">
        <v>45298</v>
      </c>
      <c r="M10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45298</v>
      </c>
      <c r="N1097">
        <v>4</v>
      </c>
      <c r="O1097">
        <v>1001.16</v>
      </c>
      <c r="P1097">
        <f>tblOrders[[#This Row],[Quantity]]*tblOrders[[#This Row],[Unit Price]]</f>
        <v>1001.16</v>
      </c>
      <c r="Q1097">
        <f>tblOrders[[#This Row],[TotalSales]]-tblOrders[[#This Row],[Calculated Sales]]</f>
        <v>0</v>
      </c>
    </row>
    <row r="1098" spans="1:17" x14ac:dyDescent="0.25">
      <c r="A1098">
        <v>415</v>
      </c>
      <c r="B1098">
        <v>301</v>
      </c>
      <c r="C1098" t="str">
        <f>_xlfn.XLOOKUP(tblOrders[[#This Row],[CustomerID]],tblCustomers[CustomerID],tblCustomers[CustomerName],"not found")</f>
        <v>Andrew Hudson Jr.</v>
      </c>
      <c r="D1098">
        <f>_xlfn.XLOOKUP(tblOrders[[#This Row],[CustomerID]],tblCustomers[CustomerID],tblCustomers[Age],"not found")</f>
        <v>28</v>
      </c>
      <c r="E1098" t="str">
        <f>_xlfn.XLOOKUP(tblOrders[[#This Row],[CustomerID]],tblCustomers[CustomerID],tblCustomers[Gender],"not found")</f>
        <v>Male</v>
      </c>
      <c r="F1098" t="str">
        <f>_xlfn.XLOOKUP(tblOrders[[#This Row],[CustomerID]],tblCustomers[CustomerID],tblCustomers[Region],"not found")</f>
        <v>North</v>
      </c>
      <c r="G1098">
        <v>1053</v>
      </c>
      <c r="H1098" t="str">
        <f>_xlfn.XLOOKUP(tblOrders[[#This Row],[ProductID]],tblProducts[ProductID],tblProducts[ProductName],"not found")</f>
        <v>Out</v>
      </c>
      <c r="I1098" t="str">
        <f>_xlfn.XLOOKUP(tblOrders[[#This Row],[ProductID]],tblProducts[ProductID],tblProducts[Category],"not found")</f>
        <v>Toys</v>
      </c>
      <c r="J1098">
        <f>_xlfn.XLOOKUP(tblOrders[[#This Row],[ProductID]],tblProducts[ProductID],tblProducts[UnitPrice],"not found")</f>
        <v>250.29</v>
      </c>
      <c r="K1098" t="str">
        <f>_xlfn.XLOOKUP(tblOrders[[#This Row],[ProductID]],tblProducts[ProductID],tblProducts[Supplier],"not found")</f>
        <v>Valdez, Miller and Carlson</v>
      </c>
      <c r="L1098" s="1">
        <v>45108</v>
      </c>
      <c r="M10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45108</v>
      </c>
      <c r="N1098">
        <v>8</v>
      </c>
      <c r="O1098">
        <v>2002.32</v>
      </c>
      <c r="P1098">
        <f>tblOrders[[#This Row],[Quantity]]*tblOrders[[#This Row],[Unit Price]]</f>
        <v>2002.32</v>
      </c>
      <c r="Q1098">
        <f>tblOrders[[#This Row],[TotalSales]]-tblOrders[[#This Row],[Calculated Sales]]</f>
        <v>0</v>
      </c>
    </row>
    <row r="1099" spans="1:17" x14ac:dyDescent="0.25">
      <c r="A1099">
        <v>465</v>
      </c>
      <c r="B1099">
        <v>647</v>
      </c>
      <c r="C1099" t="str">
        <f>_xlfn.XLOOKUP(tblOrders[[#This Row],[CustomerID]],tblCustomers[CustomerID],tblCustomers[CustomerName],"not found")</f>
        <v>Sherry Dickerson</v>
      </c>
      <c r="D1099">
        <f>_xlfn.XLOOKUP(tblOrders[[#This Row],[CustomerID]],tblCustomers[CustomerID],tblCustomers[Age],"not found")</f>
        <v>58</v>
      </c>
      <c r="E1099" t="str">
        <f>_xlfn.XLOOKUP(tblOrders[[#This Row],[CustomerID]],tblCustomers[CustomerID],tblCustomers[Gender],"not found")</f>
        <v>Female</v>
      </c>
      <c r="F1099" t="str">
        <f>_xlfn.XLOOKUP(tblOrders[[#This Row],[CustomerID]],tblCustomers[CustomerID],tblCustomers[Region],"not found")</f>
        <v>West</v>
      </c>
      <c r="G1099">
        <v>1053</v>
      </c>
      <c r="H1099" t="str">
        <f>_xlfn.XLOOKUP(tblOrders[[#This Row],[ProductID]],tblProducts[ProductID],tblProducts[ProductName],"not found")</f>
        <v>Out</v>
      </c>
      <c r="I1099" t="str">
        <f>_xlfn.XLOOKUP(tblOrders[[#This Row],[ProductID]],tblProducts[ProductID],tblProducts[Category],"not found")</f>
        <v>Toys</v>
      </c>
      <c r="J1099">
        <f>_xlfn.XLOOKUP(tblOrders[[#This Row],[ProductID]],tblProducts[ProductID],tblProducts[UnitPrice],"not found")</f>
        <v>250.29</v>
      </c>
      <c r="K1099" t="str">
        <f>_xlfn.XLOOKUP(tblOrders[[#This Row],[ProductID]],tblProducts[ProductID],tblProducts[Supplier],"not found")</f>
        <v>Valdez, Miller and Carlson</v>
      </c>
      <c r="L1099" s="1" t="s">
        <v>2335</v>
      </c>
      <c r="M10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45549</v>
      </c>
      <c r="N1099">
        <v>7</v>
      </c>
      <c r="O1099">
        <v>1752.03</v>
      </c>
      <c r="P1099">
        <f>tblOrders[[#This Row],[Quantity]]*tblOrders[[#This Row],[Unit Price]]</f>
        <v>1752.03</v>
      </c>
      <c r="Q1099">
        <f>tblOrders[[#This Row],[TotalSales]]-tblOrders[[#This Row],[Calculated Sales]]</f>
        <v>0</v>
      </c>
    </row>
    <row r="1100" spans="1:17" x14ac:dyDescent="0.25">
      <c r="A1100">
        <v>522</v>
      </c>
      <c r="B1100">
        <v>842</v>
      </c>
      <c r="C1100" t="str">
        <f>_xlfn.XLOOKUP(tblOrders[[#This Row],[CustomerID]],tblCustomers[CustomerID],tblCustomers[CustomerName],"not found")</f>
        <v>Dennis Miller</v>
      </c>
      <c r="D1100">
        <f>_xlfn.XLOOKUP(tblOrders[[#This Row],[CustomerID]],tblCustomers[CustomerID],tblCustomers[Age],"not found")</f>
        <v>53</v>
      </c>
      <c r="E1100" t="str">
        <f>_xlfn.XLOOKUP(tblOrders[[#This Row],[CustomerID]],tblCustomers[CustomerID],tblCustomers[Gender],"not found")</f>
        <v>Male</v>
      </c>
      <c r="F1100" t="str">
        <f>_xlfn.XLOOKUP(tblOrders[[#This Row],[CustomerID]],tblCustomers[CustomerID],tblCustomers[Region],"not found")</f>
        <v>West</v>
      </c>
      <c r="G1100">
        <v>1053</v>
      </c>
      <c r="H1100" t="str">
        <f>_xlfn.XLOOKUP(tblOrders[[#This Row],[ProductID]],tblProducts[ProductID],tblProducts[ProductName],"not found")</f>
        <v>Out</v>
      </c>
      <c r="I1100" t="str">
        <f>_xlfn.XLOOKUP(tblOrders[[#This Row],[ProductID]],tblProducts[ProductID],tblProducts[Category],"not found")</f>
        <v>Toys</v>
      </c>
      <c r="J1100">
        <f>_xlfn.XLOOKUP(tblOrders[[#This Row],[ProductID]],tblProducts[ProductID],tblProducts[UnitPrice],"not found")</f>
        <v>250.29</v>
      </c>
      <c r="K1100" t="str">
        <f>_xlfn.XLOOKUP(tblOrders[[#This Row],[ProductID]],tblProducts[ProductID],tblProducts[Supplier],"not found")</f>
        <v>Valdez, Miller and Carlson</v>
      </c>
      <c r="L1100" s="1">
        <v>45539</v>
      </c>
      <c r="M11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45539</v>
      </c>
      <c r="N1100">
        <v>3</v>
      </c>
      <c r="O1100">
        <v>750.87</v>
      </c>
      <c r="P1100">
        <f>tblOrders[[#This Row],[Quantity]]*tblOrders[[#This Row],[Unit Price]]</f>
        <v>750.87</v>
      </c>
      <c r="Q1100">
        <f>tblOrders[[#This Row],[TotalSales]]-tblOrders[[#This Row],[Calculated Sales]]</f>
        <v>0</v>
      </c>
    </row>
    <row r="1101" spans="1:17" x14ac:dyDescent="0.25">
      <c r="A1101">
        <v>611</v>
      </c>
      <c r="B1101">
        <v>909</v>
      </c>
      <c r="C1101" t="str">
        <f>_xlfn.XLOOKUP(tblOrders[[#This Row],[CustomerID]],tblCustomers[CustomerID],tblCustomers[CustomerName],"not found")</f>
        <v>Gerald Gardner</v>
      </c>
      <c r="D1101">
        <f>_xlfn.XLOOKUP(tblOrders[[#This Row],[CustomerID]],tblCustomers[CustomerID],tblCustomers[Age],"not found")</f>
        <v>62</v>
      </c>
      <c r="E1101" t="str">
        <f>_xlfn.XLOOKUP(tblOrders[[#This Row],[CustomerID]],tblCustomers[CustomerID],tblCustomers[Gender],"not found")</f>
        <v>Female</v>
      </c>
      <c r="F1101" t="str">
        <f>_xlfn.XLOOKUP(tblOrders[[#This Row],[CustomerID]],tblCustomers[CustomerID],tblCustomers[Region],"not found")</f>
        <v>North</v>
      </c>
      <c r="G1101">
        <v>1053</v>
      </c>
      <c r="H1101" t="str">
        <f>_xlfn.XLOOKUP(tblOrders[[#This Row],[ProductID]],tblProducts[ProductID],tblProducts[ProductName],"not found")</f>
        <v>Out</v>
      </c>
      <c r="I1101" t="str">
        <f>_xlfn.XLOOKUP(tblOrders[[#This Row],[ProductID]],tblProducts[ProductID],tblProducts[Category],"not found")</f>
        <v>Toys</v>
      </c>
      <c r="J1101">
        <f>_xlfn.XLOOKUP(tblOrders[[#This Row],[ProductID]],tblProducts[ProductID],tblProducts[UnitPrice],"not found")</f>
        <v>250.29</v>
      </c>
      <c r="K1101" t="str">
        <f>_xlfn.XLOOKUP(tblOrders[[#This Row],[ProductID]],tblProducts[ProductID],tblProducts[Supplier],"not found")</f>
        <v>Valdez, Miller and Carlson</v>
      </c>
      <c r="L1101" s="1">
        <v>45323</v>
      </c>
      <c r="M11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45323</v>
      </c>
      <c r="N1101">
        <v>4</v>
      </c>
      <c r="O1101">
        <v>1001.16</v>
      </c>
      <c r="P1101">
        <f>tblOrders[[#This Row],[Quantity]]*tblOrders[[#This Row],[Unit Price]]</f>
        <v>1001.16</v>
      </c>
      <c r="Q1101">
        <f>tblOrders[[#This Row],[TotalSales]]-tblOrders[[#This Row],[Calculated Sales]]</f>
        <v>0</v>
      </c>
    </row>
    <row r="1102" spans="1:17" x14ac:dyDescent="0.25">
      <c r="A1102">
        <v>631</v>
      </c>
      <c r="B1102">
        <v>452</v>
      </c>
      <c r="C1102" t="str">
        <f>_xlfn.XLOOKUP(tblOrders[[#This Row],[CustomerID]],tblCustomers[CustomerID],tblCustomers[CustomerName],"not found")</f>
        <v>Jennifer Morgan</v>
      </c>
      <c r="D1102">
        <f>_xlfn.XLOOKUP(tblOrders[[#This Row],[CustomerID]],tblCustomers[CustomerID],tblCustomers[Age],"not found")</f>
        <v>69</v>
      </c>
      <c r="E1102" t="str">
        <f>_xlfn.XLOOKUP(tblOrders[[#This Row],[CustomerID]],tblCustomers[CustomerID],tblCustomers[Gender],"not found")</f>
        <v>Male</v>
      </c>
      <c r="F1102" t="str">
        <f>_xlfn.XLOOKUP(tblOrders[[#This Row],[CustomerID]],tblCustomers[CustomerID],tblCustomers[Region],"not found")</f>
        <v>East</v>
      </c>
      <c r="G1102">
        <v>1053</v>
      </c>
      <c r="H1102" t="str">
        <f>_xlfn.XLOOKUP(tblOrders[[#This Row],[ProductID]],tblProducts[ProductID],tblProducts[ProductName],"not found")</f>
        <v>Out</v>
      </c>
      <c r="I1102" t="str">
        <f>_xlfn.XLOOKUP(tblOrders[[#This Row],[ProductID]],tblProducts[ProductID],tblProducts[Category],"not found")</f>
        <v>Toys</v>
      </c>
      <c r="J1102">
        <f>_xlfn.XLOOKUP(tblOrders[[#This Row],[ProductID]],tblProducts[ProductID],tblProducts[UnitPrice],"not found")</f>
        <v>250.29</v>
      </c>
      <c r="K1102" t="str">
        <f>_xlfn.XLOOKUP(tblOrders[[#This Row],[ProductID]],tblProducts[ProductID],tblProducts[Supplier],"not found")</f>
        <v>Valdez, Miller and Carlson</v>
      </c>
      <c r="L1102" s="1">
        <v>44960</v>
      </c>
      <c r="M11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44960</v>
      </c>
      <c r="N1102">
        <v>5</v>
      </c>
      <c r="O1102">
        <v>1251.45</v>
      </c>
      <c r="P1102">
        <f>tblOrders[[#This Row],[Quantity]]*tblOrders[[#This Row],[Unit Price]]</f>
        <v>1251.45</v>
      </c>
      <c r="Q1102">
        <f>tblOrders[[#This Row],[TotalSales]]-tblOrders[[#This Row],[Calculated Sales]]</f>
        <v>0</v>
      </c>
    </row>
    <row r="1103" spans="1:17" x14ac:dyDescent="0.25">
      <c r="A1103">
        <v>777</v>
      </c>
      <c r="B1103">
        <v>560</v>
      </c>
      <c r="C1103" t="str">
        <f>_xlfn.XLOOKUP(tblOrders[[#This Row],[CustomerID]],tblCustomers[CustomerID],tblCustomers[CustomerName],"not found")</f>
        <v>Rose Lopez</v>
      </c>
      <c r="D1103">
        <f>_xlfn.XLOOKUP(tblOrders[[#This Row],[CustomerID]],tblCustomers[CustomerID],tblCustomers[Age],"not found")</f>
        <v>21</v>
      </c>
      <c r="E1103" t="str">
        <f>_xlfn.XLOOKUP(tblOrders[[#This Row],[CustomerID]],tblCustomers[CustomerID],tblCustomers[Gender],"not found")</f>
        <v>Male</v>
      </c>
      <c r="F1103" t="str">
        <f>_xlfn.XLOOKUP(tblOrders[[#This Row],[CustomerID]],tblCustomers[CustomerID],tblCustomers[Region],"not found")</f>
        <v>East</v>
      </c>
      <c r="G1103">
        <v>1053</v>
      </c>
      <c r="H1103" t="str">
        <f>_xlfn.XLOOKUP(tblOrders[[#This Row],[ProductID]],tblProducts[ProductID],tblProducts[ProductName],"not found")</f>
        <v>Out</v>
      </c>
      <c r="I1103" t="str">
        <f>_xlfn.XLOOKUP(tblOrders[[#This Row],[ProductID]],tblProducts[ProductID],tblProducts[Category],"not found")</f>
        <v>Toys</v>
      </c>
      <c r="J1103">
        <f>_xlfn.XLOOKUP(tblOrders[[#This Row],[ProductID]],tblProducts[ProductID],tblProducts[UnitPrice],"not found")</f>
        <v>250.29</v>
      </c>
      <c r="K1103" t="str">
        <f>_xlfn.XLOOKUP(tblOrders[[#This Row],[ProductID]],tblProducts[ProductID],tblProducts[Supplier],"not found")</f>
        <v>Valdez, Miller and Carlson</v>
      </c>
      <c r="L1103" s="1" t="s">
        <v>2233</v>
      </c>
      <c r="M11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45381</v>
      </c>
      <c r="N1103">
        <v>6</v>
      </c>
      <c r="O1103">
        <v>1501.74</v>
      </c>
      <c r="P1103">
        <f>tblOrders[[#This Row],[Quantity]]*tblOrders[[#This Row],[Unit Price]]</f>
        <v>1501.74</v>
      </c>
      <c r="Q1103">
        <f>tblOrders[[#This Row],[TotalSales]]-tblOrders[[#This Row],[Calculated Sales]]</f>
        <v>0</v>
      </c>
    </row>
    <row r="1104" spans="1:17" x14ac:dyDescent="0.25">
      <c r="A1104">
        <v>800</v>
      </c>
      <c r="B1104">
        <v>912</v>
      </c>
      <c r="C1104" t="str">
        <f>_xlfn.XLOOKUP(tblOrders[[#This Row],[CustomerID]],tblCustomers[CustomerID],tblCustomers[CustomerName],"not found")</f>
        <v>Jeffery Ryan</v>
      </c>
      <c r="D1104">
        <f>_xlfn.XLOOKUP(tblOrders[[#This Row],[CustomerID]],tblCustomers[CustomerID],tblCustomers[Age],"not found")</f>
        <v>65</v>
      </c>
      <c r="E1104" t="str">
        <f>_xlfn.XLOOKUP(tblOrders[[#This Row],[CustomerID]],tblCustomers[CustomerID],tblCustomers[Gender],"not found")</f>
        <v>Male</v>
      </c>
      <c r="F1104" t="str">
        <f>_xlfn.XLOOKUP(tblOrders[[#This Row],[CustomerID]],tblCustomers[CustomerID],tblCustomers[Region],"not found")</f>
        <v>West</v>
      </c>
      <c r="G1104">
        <v>1053</v>
      </c>
      <c r="H1104" t="str">
        <f>_xlfn.XLOOKUP(tblOrders[[#This Row],[ProductID]],tblProducts[ProductID],tblProducts[ProductName],"not found")</f>
        <v>Out</v>
      </c>
      <c r="I1104" t="str">
        <f>_xlfn.XLOOKUP(tblOrders[[#This Row],[ProductID]],tblProducts[ProductID],tblProducts[Category],"not found")</f>
        <v>Toys</v>
      </c>
      <c r="J1104">
        <f>_xlfn.XLOOKUP(tblOrders[[#This Row],[ProductID]],tblProducts[ProductID],tblProducts[UnitPrice],"not found")</f>
        <v>250.29</v>
      </c>
      <c r="K1104" t="str">
        <f>_xlfn.XLOOKUP(tblOrders[[#This Row],[ProductID]],tblProducts[ProductID],tblProducts[Supplier],"not found")</f>
        <v>Valdez, Miller and Carlson</v>
      </c>
      <c r="L1104" s="1" t="s">
        <v>2059</v>
      </c>
      <c r="M11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45290</v>
      </c>
      <c r="N1104">
        <v>3</v>
      </c>
      <c r="O1104">
        <v>750.87</v>
      </c>
      <c r="P1104">
        <f>tblOrders[[#This Row],[Quantity]]*tblOrders[[#This Row],[Unit Price]]</f>
        <v>750.87</v>
      </c>
      <c r="Q1104">
        <f>tblOrders[[#This Row],[TotalSales]]-tblOrders[[#This Row],[Calculated Sales]]</f>
        <v>0</v>
      </c>
    </row>
    <row r="1105" spans="1:17" x14ac:dyDescent="0.25">
      <c r="A1105">
        <v>801</v>
      </c>
      <c r="B1105">
        <v>390</v>
      </c>
      <c r="C1105" t="str">
        <f>_xlfn.XLOOKUP(tblOrders[[#This Row],[CustomerID]],tblCustomers[CustomerID],tblCustomers[CustomerName],"not found")</f>
        <v>Kelly Smith</v>
      </c>
      <c r="D1105">
        <f>_xlfn.XLOOKUP(tblOrders[[#This Row],[CustomerID]],tblCustomers[CustomerID],tblCustomers[Age],"not found")</f>
        <v>31</v>
      </c>
      <c r="E1105" t="str">
        <f>_xlfn.XLOOKUP(tblOrders[[#This Row],[CustomerID]],tblCustomers[CustomerID],tblCustomers[Gender],"not found")</f>
        <v>Male</v>
      </c>
      <c r="F1105" t="str">
        <f>_xlfn.XLOOKUP(tblOrders[[#This Row],[CustomerID]],tblCustomers[CustomerID],tblCustomers[Region],"not found")</f>
        <v>Central</v>
      </c>
      <c r="G1105">
        <v>1053</v>
      </c>
      <c r="H1105" t="str">
        <f>_xlfn.XLOOKUP(tblOrders[[#This Row],[ProductID]],tblProducts[ProductID],tblProducts[ProductName],"not found")</f>
        <v>Out</v>
      </c>
      <c r="I1105" t="str">
        <f>_xlfn.XLOOKUP(tblOrders[[#This Row],[ProductID]],tblProducts[ProductID],tblProducts[Category],"not found")</f>
        <v>Toys</v>
      </c>
      <c r="J1105">
        <f>_xlfn.XLOOKUP(tblOrders[[#This Row],[ProductID]],tblProducts[ProductID],tblProducts[UnitPrice],"not found")</f>
        <v>250.29</v>
      </c>
      <c r="K1105" t="str">
        <f>_xlfn.XLOOKUP(tblOrders[[#This Row],[ProductID]],tblProducts[ProductID],tblProducts[Supplier],"not found")</f>
        <v>Valdez, Miller and Carlson</v>
      </c>
      <c r="L1105" s="1">
        <v>45632</v>
      </c>
      <c r="M11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1105">
        <v>5</v>
      </c>
      <c r="O1105">
        <v>1251.45</v>
      </c>
      <c r="P1105">
        <f>tblOrders[[#This Row],[Quantity]]*tblOrders[[#This Row],[Unit Price]]</f>
        <v>1251.45</v>
      </c>
      <c r="Q1105">
        <f>tblOrders[[#This Row],[TotalSales]]-tblOrders[[#This Row],[Calculated Sales]]</f>
        <v>0</v>
      </c>
    </row>
    <row r="1106" spans="1:17" x14ac:dyDescent="0.25">
      <c r="A1106">
        <v>1036</v>
      </c>
      <c r="B1106">
        <v>160</v>
      </c>
      <c r="C1106" t="str">
        <f>_xlfn.XLOOKUP(tblOrders[[#This Row],[CustomerID]],tblCustomers[CustomerID],tblCustomers[CustomerName],"not found")</f>
        <v>Yvette Henry</v>
      </c>
      <c r="D1106">
        <f>_xlfn.XLOOKUP(tblOrders[[#This Row],[CustomerID]],tblCustomers[CustomerID],tblCustomers[Age],"not found")</f>
        <v>38</v>
      </c>
      <c r="E1106" t="str">
        <f>_xlfn.XLOOKUP(tblOrders[[#This Row],[CustomerID]],tblCustomers[CustomerID],tblCustomers[Gender],"not found")</f>
        <v>Female</v>
      </c>
      <c r="F1106" t="str">
        <f>_xlfn.XLOOKUP(tblOrders[[#This Row],[CustomerID]],tblCustomers[CustomerID],tblCustomers[Region],"not found")</f>
        <v>East</v>
      </c>
      <c r="G1106">
        <v>1053</v>
      </c>
      <c r="H1106" t="str">
        <f>_xlfn.XLOOKUP(tblOrders[[#This Row],[ProductID]],tblProducts[ProductID],tblProducts[ProductName],"not found")</f>
        <v>Out</v>
      </c>
      <c r="I1106" t="str">
        <f>_xlfn.XLOOKUP(tblOrders[[#This Row],[ProductID]],tblProducts[ProductID],tblProducts[Category],"not found")</f>
        <v>Toys</v>
      </c>
      <c r="J1106">
        <f>_xlfn.XLOOKUP(tblOrders[[#This Row],[ProductID]],tblProducts[ProductID],tblProducts[UnitPrice],"not found")</f>
        <v>250.29</v>
      </c>
      <c r="K1106" t="str">
        <f>_xlfn.XLOOKUP(tblOrders[[#This Row],[ProductID]],tblProducts[ProductID],tblProducts[Supplier],"not found")</f>
        <v>Valdez, Miller and Carlson</v>
      </c>
      <c r="L1106" s="1" t="s">
        <v>2360</v>
      </c>
      <c r="M11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45534</v>
      </c>
      <c r="N1106">
        <v>8</v>
      </c>
      <c r="O1106">
        <v>2002.32</v>
      </c>
      <c r="P1106">
        <f>tblOrders[[#This Row],[Quantity]]*tblOrders[[#This Row],[Unit Price]]</f>
        <v>2002.32</v>
      </c>
      <c r="Q1106">
        <f>tblOrders[[#This Row],[TotalSales]]-tblOrders[[#This Row],[Calculated Sales]]</f>
        <v>0</v>
      </c>
    </row>
    <row r="1107" spans="1:17" x14ac:dyDescent="0.25">
      <c r="A1107">
        <v>1064</v>
      </c>
      <c r="B1107">
        <v>609</v>
      </c>
      <c r="C1107" t="str">
        <f>_xlfn.XLOOKUP(tblOrders[[#This Row],[CustomerID]],tblCustomers[CustomerID],tblCustomers[CustomerName],"not found")</f>
        <v>Jeffrey Harris</v>
      </c>
      <c r="D1107">
        <f>_xlfn.XLOOKUP(tblOrders[[#This Row],[CustomerID]],tblCustomers[CustomerID],tblCustomers[Age],"not found")</f>
        <v>62</v>
      </c>
      <c r="E1107" t="str">
        <f>_xlfn.XLOOKUP(tblOrders[[#This Row],[CustomerID]],tblCustomers[CustomerID],tblCustomers[Gender],"not found")</f>
        <v>Male</v>
      </c>
      <c r="F1107" t="str">
        <f>_xlfn.XLOOKUP(tblOrders[[#This Row],[CustomerID]],tblCustomers[CustomerID],tblCustomers[Region],"not found")</f>
        <v>East</v>
      </c>
      <c r="G1107">
        <v>1053</v>
      </c>
      <c r="H1107" t="str">
        <f>_xlfn.XLOOKUP(tblOrders[[#This Row],[ProductID]],tblProducts[ProductID],tblProducts[ProductName],"not found")</f>
        <v>Out</v>
      </c>
      <c r="I1107" t="str">
        <f>_xlfn.XLOOKUP(tblOrders[[#This Row],[ProductID]],tblProducts[ProductID],tblProducts[Category],"not found")</f>
        <v>Toys</v>
      </c>
      <c r="J1107">
        <f>_xlfn.XLOOKUP(tblOrders[[#This Row],[ProductID]],tblProducts[ProductID],tblProducts[UnitPrice],"not found")</f>
        <v>250.29</v>
      </c>
      <c r="K1107" t="str">
        <f>_xlfn.XLOOKUP(tblOrders[[#This Row],[ProductID]],tblProducts[ProductID],tblProducts[Supplier],"not found")</f>
        <v>Valdez, Miller and Carlson</v>
      </c>
      <c r="L1107" s="1" t="s">
        <v>2089</v>
      </c>
      <c r="M11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45322</v>
      </c>
      <c r="N1107">
        <v>6</v>
      </c>
      <c r="O1107">
        <v>1501.74</v>
      </c>
      <c r="P1107">
        <f>tblOrders[[#This Row],[Quantity]]*tblOrders[[#This Row],[Unit Price]]</f>
        <v>1501.74</v>
      </c>
      <c r="Q1107">
        <f>tblOrders[[#This Row],[TotalSales]]-tblOrders[[#This Row],[Calculated Sales]]</f>
        <v>0</v>
      </c>
    </row>
    <row r="1108" spans="1:17" x14ac:dyDescent="0.25">
      <c r="A1108">
        <v>1101</v>
      </c>
      <c r="B1108">
        <v>923</v>
      </c>
      <c r="C1108" t="str">
        <f>_xlfn.XLOOKUP(tblOrders[[#This Row],[CustomerID]],tblCustomers[CustomerID],tblCustomers[CustomerName],"not found")</f>
        <v>Bethany Anderson</v>
      </c>
      <c r="D1108">
        <f>_xlfn.XLOOKUP(tblOrders[[#This Row],[CustomerID]],tblCustomers[CustomerID],tblCustomers[Age],"not found")</f>
        <v>50</v>
      </c>
      <c r="E1108" t="str">
        <f>_xlfn.XLOOKUP(tblOrders[[#This Row],[CustomerID]],tblCustomers[CustomerID],tblCustomers[Gender],"not found")</f>
        <v>Male</v>
      </c>
      <c r="F1108" t="str">
        <f>_xlfn.XLOOKUP(tblOrders[[#This Row],[CustomerID]],tblCustomers[CustomerID],tblCustomers[Region],"not found")</f>
        <v>West</v>
      </c>
      <c r="G1108">
        <v>1053</v>
      </c>
      <c r="H1108" t="str">
        <f>_xlfn.XLOOKUP(tblOrders[[#This Row],[ProductID]],tblProducts[ProductID],tblProducts[ProductName],"not found")</f>
        <v>Out</v>
      </c>
      <c r="I1108" t="str">
        <f>_xlfn.XLOOKUP(tblOrders[[#This Row],[ProductID]],tblProducts[ProductID],tblProducts[Category],"not found")</f>
        <v>Toys</v>
      </c>
      <c r="J1108">
        <f>_xlfn.XLOOKUP(tblOrders[[#This Row],[ProductID]],tblProducts[ProductID],tblProducts[UnitPrice],"not found")</f>
        <v>250.29</v>
      </c>
      <c r="K1108" t="str">
        <f>_xlfn.XLOOKUP(tblOrders[[#This Row],[ProductID]],tblProducts[ProductID],tblProducts[Supplier],"not found")</f>
        <v>Valdez, Miller and Carlson</v>
      </c>
      <c r="L1108" s="1">
        <v>45478</v>
      </c>
      <c r="M11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45478</v>
      </c>
      <c r="N1108">
        <v>9</v>
      </c>
      <c r="O1108">
        <v>2252.61</v>
      </c>
      <c r="P1108">
        <f>tblOrders[[#This Row],[Quantity]]*tblOrders[[#This Row],[Unit Price]]</f>
        <v>2252.61</v>
      </c>
      <c r="Q1108">
        <f>tblOrders[[#This Row],[TotalSales]]-tblOrders[[#This Row],[Calculated Sales]]</f>
        <v>0</v>
      </c>
    </row>
    <row r="1109" spans="1:17" x14ac:dyDescent="0.25">
      <c r="A1109">
        <v>1280</v>
      </c>
      <c r="B1109">
        <v>496</v>
      </c>
      <c r="C1109" t="str">
        <f>_xlfn.XLOOKUP(tblOrders[[#This Row],[CustomerID]],tblCustomers[CustomerID],tblCustomers[CustomerName],"not found")</f>
        <v>Jack Phillips</v>
      </c>
      <c r="D1109">
        <f>_xlfn.XLOOKUP(tblOrders[[#This Row],[CustomerID]],tblCustomers[CustomerID],tblCustomers[Age],"not found")</f>
        <v>68</v>
      </c>
      <c r="E1109" t="str">
        <f>_xlfn.XLOOKUP(tblOrders[[#This Row],[CustomerID]],tblCustomers[CustomerID],tblCustomers[Gender],"not found")</f>
        <v>Male</v>
      </c>
      <c r="F1109" t="str">
        <f>_xlfn.XLOOKUP(tblOrders[[#This Row],[CustomerID]],tblCustomers[CustomerID],tblCustomers[Region],"not found")</f>
        <v>East</v>
      </c>
      <c r="G1109">
        <v>1053</v>
      </c>
      <c r="H1109" t="str">
        <f>_xlfn.XLOOKUP(tblOrders[[#This Row],[ProductID]],tblProducts[ProductID],tblProducts[ProductName],"not found")</f>
        <v>Out</v>
      </c>
      <c r="I1109" t="str">
        <f>_xlfn.XLOOKUP(tblOrders[[#This Row],[ProductID]],tblProducts[ProductID],tblProducts[Category],"not found")</f>
        <v>Toys</v>
      </c>
      <c r="J1109">
        <f>_xlfn.XLOOKUP(tblOrders[[#This Row],[ProductID]],tblProducts[ProductID],tblProducts[UnitPrice],"not found")</f>
        <v>250.29</v>
      </c>
      <c r="K1109" t="str">
        <f>_xlfn.XLOOKUP(tblOrders[[#This Row],[ProductID]],tblProducts[ProductID],tblProducts[Supplier],"not found")</f>
        <v>Valdez, Miller and Carlson</v>
      </c>
      <c r="L1109" s="1" t="s">
        <v>2132</v>
      </c>
      <c r="M11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1109">
        <v>5</v>
      </c>
      <c r="O1109">
        <v>1251.45</v>
      </c>
      <c r="P1109">
        <f>tblOrders[[#This Row],[Quantity]]*tblOrders[[#This Row],[Unit Price]]</f>
        <v>1251.45</v>
      </c>
      <c r="Q1109">
        <f>tblOrders[[#This Row],[TotalSales]]-tblOrders[[#This Row],[Calculated Sales]]</f>
        <v>0</v>
      </c>
    </row>
    <row r="1110" spans="1:17" x14ac:dyDescent="0.25">
      <c r="A1110">
        <v>1287</v>
      </c>
      <c r="B1110">
        <v>20</v>
      </c>
      <c r="C1110" t="str">
        <f>_xlfn.XLOOKUP(tblOrders[[#This Row],[CustomerID]],tblCustomers[CustomerID],tblCustomers[CustomerName],"not found")</f>
        <v>Kimberly Acosta</v>
      </c>
      <c r="D1110">
        <f>_xlfn.XLOOKUP(tblOrders[[#This Row],[CustomerID]],tblCustomers[CustomerID],tblCustomers[Age],"not found")</f>
        <v>48</v>
      </c>
      <c r="E1110" t="str">
        <f>_xlfn.XLOOKUP(tblOrders[[#This Row],[CustomerID]],tblCustomers[CustomerID],tblCustomers[Gender],"not found")</f>
        <v>Male</v>
      </c>
      <c r="F1110" t="str">
        <f>_xlfn.XLOOKUP(tblOrders[[#This Row],[CustomerID]],tblCustomers[CustomerID],tblCustomers[Region],"not found")</f>
        <v>North</v>
      </c>
      <c r="G1110">
        <v>1053</v>
      </c>
      <c r="H1110" t="str">
        <f>_xlfn.XLOOKUP(tblOrders[[#This Row],[ProductID]],tblProducts[ProductID],tblProducts[ProductName],"not found")</f>
        <v>Out</v>
      </c>
      <c r="I1110" t="str">
        <f>_xlfn.XLOOKUP(tblOrders[[#This Row],[ProductID]],tblProducts[ProductID],tblProducts[Category],"not found")</f>
        <v>Toys</v>
      </c>
      <c r="J1110">
        <f>_xlfn.XLOOKUP(tblOrders[[#This Row],[ProductID]],tblProducts[ProductID],tblProducts[UnitPrice],"not found")</f>
        <v>250.29</v>
      </c>
      <c r="K1110" t="str">
        <f>_xlfn.XLOOKUP(tblOrders[[#This Row],[ProductID]],tblProducts[ProductID],tblProducts[Supplier],"not found")</f>
        <v>Valdez, Miller and Carlson</v>
      </c>
      <c r="L1110" s="1">
        <v>44663</v>
      </c>
      <c r="M11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44663</v>
      </c>
      <c r="N1110">
        <v>1</v>
      </c>
      <c r="O1110">
        <v>250.29</v>
      </c>
      <c r="P1110">
        <f>tblOrders[[#This Row],[Quantity]]*tblOrders[[#This Row],[Unit Price]]</f>
        <v>250.29</v>
      </c>
      <c r="Q1110">
        <f>tblOrders[[#This Row],[TotalSales]]-tblOrders[[#This Row],[Calculated Sales]]</f>
        <v>0</v>
      </c>
    </row>
    <row r="1111" spans="1:17" x14ac:dyDescent="0.25">
      <c r="A1111">
        <v>1371</v>
      </c>
      <c r="B1111">
        <v>434</v>
      </c>
      <c r="C1111" t="str">
        <f>_xlfn.XLOOKUP(tblOrders[[#This Row],[CustomerID]],tblCustomers[CustomerID],tblCustomers[CustomerName],"not found")</f>
        <v>Juan Griffin</v>
      </c>
      <c r="D1111">
        <f>_xlfn.XLOOKUP(tblOrders[[#This Row],[CustomerID]],tblCustomers[CustomerID],tblCustomers[Age],"not found")</f>
        <v>36</v>
      </c>
      <c r="E1111" t="str">
        <f>_xlfn.XLOOKUP(tblOrders[[#This Row],[CustomerID]],tblCustomers[CustomerID],tblCustomers[Gender],"not found")</f>
        <v>Female</v>
      </c>
      <c r="F1111" t="str">
        <f>_xlfn.XLOOKUP(tblOrders[[#This Row],[CustomerID]],tblCustomers[CustomerID],tblCustomers[Region],"not found")</f>
        <v>South</v>
      </c>
      <c r="G1111">
        <v>1053</v>
      </c>
      <c r="H1111" t="str">
        <f>_xlfn.XLOOKUP(tblOrders[[#This Row],[ProductID]],tblProducts[ProductID],tblProducts[ProductName],"not found")</f>
        <v>Out</v>
      </c>
      <c r="I1111" t="str">
        <f>_xlfn.XLOOKUP(tblOrders[[#This Row],[ProductID]],tblProducts[ProductID],tblProducts[Category],"not found")</f>
        <v>Toys</v>
      </c>
      <c r="J1111">
        <f>_xlfn.XLOOKUP(tblOrders[[#This Row],[ProductID]],tblProducts[ProductID],tblProducts[UnitPrice],"not found")</f>
        <v>250.29</v>
      </c>
      <c r="K1111" t="str">
        <f>_xlfn.XLOOKUP(tblOrders[[#This Row],[ProductID]],tblProducts[ProductID],tblProducts[Supplier],"not found")</f>
        <v>Valdez, Miller and Carlson</v>
      </c>
      <c r="L1111" s="1">
        <v>45333</v>
      </c>
      <c r="M11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45333</v>
      </c>
      <c r="N1111">
        <v>6</v>
      </c>
      <c r="O1111">
        <v>1501.74</v>
      </c>
      <c r="P1111">
        <f>tblOrders[[#This Row],[Quantity]]*tblOrders[[#This Row],[Unit Price]]</f>
        <v>1501.74</v>
      </c>
      <c r="Q1111">
        <f>tblOrders[[#This Row],[TotalSales]]-tblOrders[[#This Row],[Calculated Sales]]</f>
        <v>0</v>
      </c>
    </row>
    <row r="1112" spans="1:17" x14ac:dyDescent="0.25">
      <c r="A1112">
        <v>1385</v>
      </c>
      <c r="B1112">
        <v>70</v>
      </c>
      <c r="C1112" t="str">
        <f>_xlfn.XLOOKUP(tblOrders[[#This Row],[CustomerID]],tblCustomers[CustomerID],tblCustomers[CustomerName],"not found")</f>
        <v>Christopher Marshall</v>
      </c>
      <c r="D1112">
        <f>_xlfn.XLOOKUP(tblOrders[[#This Row],[CustomerID]],tblCustomers[CustomerID],tblCustomers[Age],"not found")</f>
        <v>57</v>
      </c>
      <c r="E1112" t="str">
        <f>_xlfn.XLOOKUP(tblOrders[[#This Row],[CustomerID]],tblCustomers[CustomerID],tblCustomers[Gender],"not found")</f>
        <v>Male</v>
      </c>
      <c r="F1112" t="str">
        <f>_xlfn.XLOOKUP(tblOrders[[#This Row],[CustomerID]],tblCustomers[CustomerID],tblCustomers[Region],"not found")</f>
        <v>Central</v>
      </c>
      <c r="G1112">
        <v>1053</v>
      </c>
      <c r="H1112" t="str">
        <f>_xlfn.XLOOKUP(tblOrders[[#This Row],[ProductID]],tblProducts[ProductID],tblProducts[ProductName],"not found")</f>
        <v>Out</v>
      </c>
      <c r="I1112" t="str">
        <f>_xlfn.XLOOKUP(tblOrders[[#This Row],[ProductID]],tblProducts[ProductID],tblProducts[Category],"not found")</f>
        <v>Toys</v>
      </c>
      <c r="J1112">
        <f>_xlfn.XLOOKUP(tblOrders[[#This Row],[ProductID]],tblProducts[ProductID],tblProducts[UnitPrice],"not found")</f>
        <v>250.29</v>
      </c>
      <c r="K1112" t="str">
        <f>_xlfn.XLOOKUP(tblOrders[[#This Row],[ProductID]],tblProducts[ProductID],tblProducts[Supplier],"not found")</f>
        <v>Valdez, Miller and Carlson</v>
      </c>
      <c r="L1112" s="1">
        <v>45049</v>
      </c>
      <c r="M11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45049</v>
      </c>
      <c r="N1112">
        <v>8</v>
      </c>
      <c r="O1112">
        <v>2002.32</v>
      </c>
      <c r="P1112">
        <f>tblOrders[[#This Row],[Quantity]]*tblOrders[[#This Row],[Unit Price]]</f>
        <v>2002.32</v>
      </c>
      <c r="Q1112">
        <f>tblOrders[[#This Row],[TotalSales]]-tblOrders[[#This Row],[Calculated Sales]]</f>
        <v>0</v>
      </c>
    </row>
    <row r="1113" spans="1:17" x14ac:dyDescent="0.25">
      <c r="A1113">
        <v>1496</v>
      </c>
      <c r="B1113">
        <v>974</v>
      </c>
      <c r="C1113" t="str">
        <f>_xlfn.XLOOKUP(tblOrders[[#This Row],[CustomerID]],tblCustomers[CustomerID],tblCustomers[CustomerName],"not found")</f>
        <v>Joshua Garcia</v>
      </c>
      <c r="D1113">
        <f>_xlfn.XLOOKUP(tblOrders[[#This Row],[CustomerID]],tblCustomers[CustomerID],tblCustomers[Age],"not found")</f>
        <v>20</v>
      </c>
      <c r="E1113" t="str">
        <f>_xlfn.XLOOKUP(tblOrders[[#This Row],[CustomerID]],tblCustomers[CustomerID],tblCustomers[Gender],"not found")</f>
        <v>Female</v>
      </c>
      <c r="F1113" t="str">
        <f>_xlfn.XLOOKUP(tblOrders[[#This Row],[CustomerID]],tblCustomers[CustomerID],tblCustomers[Region],"not found")</f>
        <v>South</v>
      </c>
      <c r="G1113">
        <v>1053</v>
      </c>
      <c r="H1113" t="str">
        <f>_xlfn.XLOOKUP(tblOrders[[#This Row],[ProductID]],tblProducts[ProductID],tblProducts[ProductName],"not found")</f>
        <v>Out</v>
      </c>
      <c r="I1113" t="str">
        <f>_xlfn.XLOOKUP(tblOrders[[#This Row],[ProductID]],tblProducts[ProductID],tblProducts[Category],"not found")</f>
        <v>Toys</v>
      </c>
      <c r="J1113">
        <f>_xlfn.XLOOKUP(tblOrders[[#This Row],[ProductID]],tblProducts[ProductID],tblProducts[UnitPrice],"not found")</f>
        <v>250.29</v>
      </c>
      <c r="K1113" t="str">
        <f>_xlfn.XLOOKUP(tblOrders[[#This Row],[ProductID]],tblProducts[ProductID],tblProducts[Supplier],"not found")</f>
        <v>Valdez, Miller and Carlson</v>
      </c>
      <c r="L1113" s="1" t="s">
        <v>2361</v>
      </c>
      <c r="M11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45043</v>
      </c>
      <c r="N1113">
        <v>8</v>
      </c>
      <c r="O1113">
        <v>2002.32</v>
      </c>
      <c r="P1113">
        <f>tblOrders[[#This Row],[Quantity]]*tblOrders[[#This Row],[Unit Price]]</f>
        <v>2002.32</v>
      </c>
      <c r="Q1113">
        <f>tblOrders[[#This Row],[TotalSales]]-tblOrders[[#This Row],[Calculated Sales]]</f>
        <v>0</v>
      </c>
    </row>
    <row r="1114" spans="1:17" x14ac:dyDescent="0.25">
      <c r="A1114">
        <v>1517</v>
      </c>
      <c r="B1114">
        <v>392</v>
      </c>
      <c r="C1114" t="str">
        <f>_xlfn.XLOOKUP(tblOrders[[#This Row],[CustomerID]],tblCustomers[CustomerID],tblCustomers[CustomerName],"not found")</f>
        <v>Kristen Barajas</v>
      </c>
      <c r="D1114">
        <f>_xlfn.XLOOKUP(tblOrders[[#This Row],[CustomerID]],tblCustomers[CustomerID],tblCustomers[Age],"not found")</f>
        <v>29</v>
      </c>
      <c r="E1114" t="str">
        <f>_xlfn.XLOOKUP(tblOrders[[#This Row],[CustomerID]],tblCustomers[CustomerID],tblCustomers[Gender],"not found")</f>
        <v>Female</v>
      </c>
      <c r="F1114" t="str">
        <f>_xlfn.XLOOKUP(tblOrders[[#This Row],[CustomerID]],tblCustomers[CustomerID],tblCustomers[Region],"not found")</f>
        <v>East</v>
      </c>
      <c r="G1114">
        <v>1053</v>
      </c>
      <c r="H1114" t="str">
        <f>_xlfn.XLOOKUP(tblOrders[[#This Row],[ProductID]],tblProducts[ProductID],tblProducts[ProductName],"not found")</f>
        <v>Out</v>
      </c>
      <c r="I1114" t="str">
        <f>_xlfn.XLOOKUP(tblOrders[[#This Row],[ProductID]],tblProducts[ProductID],tblProducts[Category],"not found")</f>
        <v>Toys</v>
      </c>
      <c r="J1114">
        <f>_xlfn.XLOOKUP(tblOrders[[#This Row],[ProductID]],tblProducts[ProductID],tblProducts[UnitPrice],"not found")</f>
        <v>250.29</v>
      </c>
      <c r="K1114" t="str">
        <f>_xlfn.XLOOKUP(tblOrders[[#This Row],[ProductID]],tblProducts[ProductID],tblProducts[Supplier],"not found")</f>
        <v>Valdez, Miller and Carlson</v>
      </c>
      <c r="L1114" s="1">
        <v>45264</v>
      </c>
      <c r="M11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45264</v>
      </c>
      <c r="N1114">
        <v>2</v>
      </c>
      <c r="O1114">
        <v>500.58</v>
      </c>
      <c r="P1114">
        <f>tblOrders[[#This Row],[Quantity]]*tblOrders[[#This Row],[Unit Price]]</f>
        <v>500.58</v>
      </c>
      <c r="Q1114">
        <f>tblOrders[[#This Row],[TotalSales]]-tblOrders[[#This Row],[Calculated Sales]]</f>
        <v>0</v>
      </c>
    </row>
    <row r="1115" spans="1:17" x14ac:dyDescent="0.25">
      <c r="A1115">
        <v>1586</v>
      </c>
      <c r="B1115">
        <v>662</v>
      </c>
      <c r="C1115" t="str">
        <f>_xlfn.XLOOKUP(tblOrders[[#This Row],[CustomerID]],tblCustomers[CustomerID],tblCustomers[CustomerName],"not found")</f>
        <v>Justin Vasquez</v>
      </c>
      <c r="D1115">
        <f>_xlfn.XLOOKUP(tblOrders[[#This Row],[CustomerID]],tblCustomers[CustomerID],tblCustomers[Age],"not found")</f>
        <v>44</v>
      </c>
      <c r="E1115" t="str">
        <f>_xlfn.XLOOKUP(tblOrders[[#This Row],[CustomerID]],tblCustomers[CustomerID],tblCustomers[Gender],"not found")</f>
        <v>Female</v>
      </c>
      <c r="F1115" t="str">
        <f>_xlfn.XLOOKUP(tblOrders[[#This Row],[CustomerID]],tblCustomers[CustomerID],tblCustomers[Region],"not found")</f>
        <v>Central</v>
      </c>
      <c r="G1115">
        <v>1053</v>
      </c>
      <c r="H1115" t="str">
        <f>_xlfn.XLOOKUP(tblOrders[[#This Row],[ProductID]],tblProducts[ProductID],tblProducts[ProductName],"not found")</f>
        <v>Out</v>
      </c>
      <c r="I1115" t="str">
        <f>_xlfn.XLOOKUP(tblOrders[[#This Row],[ProductID]],tblProducts[ProductID],tblProducts[Category],"not found")</f>
        <v>Toys</v>
      </c>
      <c r="J1115">
        <f>_xlfn.XLOOKUP(tblOrders[[#This Row],[ProductID]],tblProducts[ProductID],tblProducts[UnitPrice],"not found")</f>
        <v>250.29</v>
      </c>
      <c r="K1115" t="str">
        <f>_xlfn.XLOOKUP(tblOrders[[#This Row],[ProductID]],tblProducts[ProductID],tblProducts[Supplier],"not found")</f>
        <v>Valdez, Miller and Carlson</v>
      </c>
      <c r="L1115" s="1">
        <v>45110</v>
      </c>
      <c r="M11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45110</v>
      </c>
      <c r="N1115">
        <v>1</v>
      </c>
      <c r="O1115">
        <v>250.29</v>
      </c>
      <c r="P1115">
        <f>tblOrders[[#This Row],[Quantity]]*tblOrders[[#This Row],[Unit Price]]</f>
        <v>250.29</v>
      </c>
      <c r="Q1115">
        <f>tblOrders[[#This Row],[TotalSales]]-tblOrders[[#This Row],[Calculated Sales]]</f>
        <v>0</v>
      </c>
    </row>
    <row r="1116" spans="1:17" x14ac:dyDescent="0.25">
      <c r="A1116">
        <v>1720</v>
      </c>
      <c r="B1116">
        <v>195</v>
      </c>
      <c r="C1116" t="str">
        <f>_xlfn.XLOOKUP(tblOrders[[#This Row],[CustomerID]],tblCustomers[CustomerID],tblCustomers[CustomerName],"not found")</f>
        <v>Chelsea Pierce</v>
      </c>
      <c r="D1116">
        <f>_xlfn.XLOOKUP(tblOrders[[#This Row],[CustomerID]],tblCustomers[CustomerID],tblCustomers[Age],"not found")</f>
        <v>53</v>
      </c>
      <c r="E1116" t="str">
        <f>_xlfn.XLOOKUP(tblOrders[[#This Row],[CustomerID]],tblCustomers[CustomerID],tblCustomers[Gender],"not found")</f>
        <v>Female</v>
      </c>
      <c r="F1116" t="str">
        <f>_xlfn.XLOOKUP(tblOrders[[#This Row],[CustomerID]],tblCustomers[CustomerID],tblCustomers[Region],"not found")</f>
        <v>Central</v>
      </c>
      <c r="G1116">
        <v>1053</v>
      </c>
      <c r="H1116" t="str">
        <f>_xlfn.XLOOKUP(tblOrders[[#This Row],[ProductID]],tblProducts[ProductID],tblProducts[ProductName],"not found")</f>
        <v>Out</v>
      </c>
      <c r="I1116" t="str">
        <f>_xlfn.XLOOKUP(tblOrders[[#This Row],[ProductID]],tblProducts[ProductID],tblProducts[Category],"not found")</f>
        <v>Toys</v>
      </c>
      <c r="J1116">
        <f>_xlfn.XLOOKUP(tblOrders[[#This Row],[ProductID]],tblProducts[ProductID],tblProducts[UnitPrice],"not found")</f>
        <v>250.29</v>
      </c>
      <c r="K1116" t="str">
        <f>_xlfn.XLOOKUP(tblOrders[[#This Row],[ProductID]],tblProducts[ProductID],tblProducts[Supplier],"not found")</f>
        <v>Valdez, Miller and Carlson</v>
      </c>
      <c r="L1116" s="1" t="s">
        <v>2362</v>
      </c>
      <c r="M11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45370</v>
      </c>
      <c r="N1116">
        <v>6</v>
      </c>
      <c r="O1116">
        <v>1501.74</v>
      </c>
      <c r="P1116">
        <f>tblOrders[[#This Row],[Quantity]]*tblOrders[[#This Row],[Unit Price]]</f>
        <v>1501.74</v>
      </c>
      <c r="Q1116">
        <f>tblOrders[[#This Row],[TotalSales]]-tblOrders[[#This Row],[Calculated Sales]]</f>
        <v>0</v>
      </c>
    </row>
    <row r="1117" spans="1:17" x14ac:dyDescent="0.25">
      <c r="A1117">
        <v>1843</v>
      </c>
      <c r="B1117">
        <v>92</v>
      </c>
      <c r="C1117" t="str">
        <f>_xlfn.XLOOKUP(tblOrders[[#This Row],[CustomerID]],tblCustomers[CustomerID],tblCustomers[CustomerName],"not found")</f>
        <v>Pamela Gordon</v>
      </c>
      <c r="D1117">
        <f>_xlfn.XLOOKUP(tblOrders[[#This Row],[CustomerID]],tblCustomers[CustomerID],tblCustomers[Age],"not found")</f>
        <v>51</v>
      </c>
      <c r="E1117" t="str">
        <f>_xlfn.XLOOKUP(tblOrders[[#This Row],[CustomerID]],tblCustomers[CustomerID],tblCustomers[Gender],"not found")</f>
        <v>Male</v>
      </c>
      <c r="F1117" t="str">
        <f>_xlfn.XLOOKUP(tblOrders[[#This Row],[CustomerID]],tblCustomers[CustomerID],tblCustomers[Region],"not found")</f>
        <v>North</v>
      </c>
      <c r="G1117">
        <v>1053</v>
      </c>
      <c r="H1117" t="str">
        <f>_xlfn.XLOOKUP(tblOrders[[#This Row],[ProductID]],tblProducts[ProductID],tblProducts[ProductName],"not found")</f>
        <v>Out</v>
      </c>
      <c r="I1117" t="str">
        <f>_xlfn.XLOOKUP(tblOrders[[#This Row],[ProductID]],tblProducts[ProductID],tblProducts[Category],"not found")</f>
        <v>Toys</v>
      </c>
      <c r="J1117">
        <f>_xlfn.XLOOKUP(tblOrders[[#This Row],[ProductID]],tblProducts[ProductID],tblProducts[UnitPrice],"not found")</f>
        <v>250.29</v>
      </c>
      <c r="K1117" t="str">
        <f>_xlfn.XLOOKUP(tblOrders[[#This Row],[ProductID]],tblProducts[ProductID],tblProducts[Supplier],"not found")</f>
        <v>Valdez, Miller and Carlson</v>
      </c>
      <c r="L1117" s="1">
        <v>45297</v>
      </c>
      <c r="M11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45297</v>
      </c>
      <c r="N1117">
        <v>3</v>
      </c>
      <c r="O1117">
        <v>750.87</v>
      </c>
      <c r="P1117">
        <f>tblOrders[[#This Row],[Quantity]]*tblOrders[[#This Row],[Unit Price]]</f>
        <v>750.87</v>
      </c>
      <c r="Q1117">
        <f>tblOrders[[#This Row],[TotalSales]]-tblOrders[[#This Row],[Calculated Sales]]</f>
        <v>0</v>
      </c>
    </row>
    <row r="1118" spans="1:17" x14ac:dyDescent="0.25">
      <c r="A1118">
        <v>72</v>
      </c>
      <c r="B1118">
        <v>416</v>
      </c>
      <c r="C1118" t="str">
        <f>_xlfn.XLOOKUP(tblOrders[[#This Row],[CustomerID]],tblCustomers[CustomerID],tblCustomers[CustomerName],"not found")</f>
        <v>Ronald Hawkins</v>
      </c>
      <c r="D1118">
        <f>_xlfn.XLOOKUP(tblOrders[[#This Row],[CustomerID]],tblCustomers[CustomerID],tblCustomers[Age],"not found")</f>
        <v>24</v>
      </c>
      <c r="E1118" t="str">
        <f>_xlfn.XLOOKUP(tblOrders[[#This Row],[CustomerID]],tblCustomers[CustomerID],tblCustomers[Gender],"not found")</f>
        <v>Female</v>
      </c>
      <c r="F1118" t="str">
        <f>_xlfn.XLOOKUP(tblOrders[[#This Row],[CustomerID]],tblCustomers[CustomerID],tblCustomers[Region],"not found")</f>
        <v>Central</v>
      </c>
      <c r="G1118">
        <v>1010</v>
      </c>
      <c r="H1118" t="str">
        <f>_xlfn.XLOOKUP(tblOrders[[#This Row],[ProductID]],tblProducts[ProductID],tblProducts[ProductName],"not found")</f>
        <v>Ready</v>
      </c>
      <c r="I1118" t="str">
        <f>_xlfn.XLOOKUP(tblOrders[[#This Row],[ProductID]],tblProducts[ProductID],tblProducts[Category],"not found")</f>
        <v>Apparel</v>
      </c>
      <c r="J1118">
        <f>_xlfn.XLOOKUP(tblOrders[[#This Row],[ProductID]],tblProducts[ProductID],tblProducts[UnitPrice],"not found")</f>
        <v>98.5</v>
      </c>
      <c r="K1118" t="str">
        <f>_xlfn.XLOOKUP(tblOrders[[#This Row],[ProductID]],tblProducts[ProductID],tblProducts[Supplier],"not found")</f>
        <v>Gilbert-Moreno</v>
      </c>
      <c r="L1118" s="1" t="s">
        <v>2115</v>
      </c>
      <c r="M11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1118">
        <v>4</v>
      </c>
      <c r="O1118">
        <v>394</v>
      </c>
      <c r="P1118">
        <f>tblOrders[[#This Row],[Quantity]]*tblOrders[[#This Row],[Unit Price]]</f>
        <v>394</v>
      </c>
      <c r="Q1118">
        <f>tblOrders[[#This Row],[TotalSales]]-tblOrders[[#This Row],[Calculated Sales]]</f>
        <v>0</v>
      </c>
    </row>
    <row r="1119" spans="1:17" x14ac:dyDescent="0.25">
      <c r="A1119">
        <v>88</v>
      </c>
      <c r="B1119">
        <v>631</v>
      </c>
      <c r="C1119" t="str">
        <f>_xlfn.XLOOKUP(tblOrders[[#This Row],[CustomerID]],tblCustomers[CustomerID],tblCustomers[CustomerName],"not found")</f>
        <v>Brian Merritt</v>
      </c>
      <c r="D1119">
        <f>_xlfn.XLOOKUP(tblOrders[[#This Row],[CustomerID]],tblCustomers[CustomerID],tblCustomers[Age],"not found")</f>
        <v>27</v>
      </c>
      <c r="E1119" t="str">
        <f>_xlfn.XLOOKUP(tblOrders[[#This Row],[CustomerID]],tblCustomers[CustomerID],tblCustomers[Gender],"not found")</f>
        <v>Female</v>
      </c>
      <c r="F1119" t="str">
        <f>_xlfn.XLOOKUP(tblOrders[[#This Row],[CustomerID]],tblCustomers[CustomerID],tblCustomers[Region],"not found")</f>
        <v>North</v>
      </c>
      <c r="G1119">
        <v>1010</v>
      </c>
      <c r="H1119" t="str">
        <f>_xlfn.XLOOKUP(tblOrders[[#This Row],[ProductID]],tblProducts[ProductID],tblProducts[ProductName],"not found")</f>
        <v>Ready</v>
      </c>
      <c r="I1119" t="str">
        <f>_xlfn.XLOOKUP(tblOrders[[#This Row],[ProductID]],tblProducts[ProductID],tblProducts[Category],"not found")</f>
        <v>Apparel</v>
      </c>
      <c r="J1119">
        <f>_xlfn.XLOOKUP(tblOrders[[#This Row],[ProductID]],tblProducts[ProductID],tblProducts[UnitPrice],"not found")</f>
        <v>98.5</v>
      </c>
      <c r="K1119" t="str">
        <f>_xlfn.XLOOKUP(tblOrders[[#This Row],[ProductID]],tblProducts[ProductID],tblProducts[Supplier],"not found")</f>
        <v>Gilbert-Moreno</v>
      </c>
      <c r="L1119" s="1">
        <v>45545</v>
      </c>
      <c r="M11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45545</v>
      </c>
      <c r="N1119">
        <v>1</v>
      </c>
      <c r="O1119">
        <v>98.5</v>
      </c>
      <c r="P1119">
        <f>tblOrders[[#This Row],[Quantity]]*tblOrders[[#This Row],[Unit Price]]</f>
        <v>98.5</v>
      </c>
      <c r="Q1119">
        <f>tblOrders[[#This Row],[TotalSales]]-tblOrders[[#This Row],[Calculated Sales]]</f>
        <v>0</v>
      </c>
    </row>
    <row r="1120" spans="1:17" x14ac:dyDescent="0.25">
      <c r="A1120">
        <v>395</v>
      </c>
      <c r="B1120">
        <v>214</v>
      </c>
      <c r="C1120" t="str">
        <f>_xlfn.XLOOKUP(tblOrders[[#This Row],[CustomerID]],tblCustomers[CustomerID],tblCustomers[CustomerName],"not found")</f>
        <v>Larry Chambers</v>
      </c>
      <c r="D1120">
        <f>_xlfn.XLOOKUP(tblOrders[[#This Row],[CustomerID]],tblCustomers[CustomerID],tblCustomers[Age],"not found")</f>
        <v>66</v>
      </c>
      <c r="E1120" t="str">
        <f>_xlfn.XLOOKUP(tblOrders[[#This Row],[CustomerID]],tblCustomers[CustomerID],tblCustomers[Gender],"not found")</f>
        <v>Female</v>
      </c>
      <c r="F1120" t="str">
        <f>_xlfn.XLOOKUP(tblOrders[[#This Row],[CustomerID]],tblCustomers[CustomerID],tblCustomers[Region],"not found")</f>
        <v>East</v>
      </c>
      <c r="G1120">
        <v>1010</v>
      </c>
      <c r="H1120" t="str">
        <f>_xlfn.XLOOKUP(tblOrders[[#This Row],[ProductID]],tblProducts[ProductID],tblProducts[ProductName],"not found")</f>
        <v>Ready</v>
      </c>
      <c r="I1120" t="str">
        <f>_xlfn.XLOOKUP(tblOrders[[#This Row],[ProductID]],tblProducts[ProductID],tblProducts[Category],"not found")</f>
        <v>Apparel</v>
      </c>
      <c r="J1120">
        <f>_xlfn.XLOOKUP(tblOrders[[#This Row],[ProductID]],tblProducts[ProductID],tblProducts[UnitPrice],"not found")</f>
        <v>98.5</v>
      </c>
      <c r="K1120" t="str">
        <f>_xlfn.XLOOKUP(tblOrders[[#This Row],[ProductID]],tblProducts[ProductID],tblProducts[Supplier],"not found")</f>
        <v>Gilbert-Moreno</v>
      </c>
      <c r="L1120" s="1">
        <v>45355</v>
      </c>
      <c r="M11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45355</v>
      </c>
      <c r="N1120">
        <v>3</v>
      </c>
      <c r="O1120">
        <v>295.5</v>
      </c>
      <c r="P1120">
        <f>tblOrders[[#This Row],[Quantity]]*tblOrders[[#This Row],[Unit Price]]</f>
        <v>295.5</v>
      </c>
      <c r="Q1120">
        <f>tblOrders[[#This Row],[TotalSales]]-tblOrders[[#This Row],[Calculated Sales]]</f>
        <v>0</v>
      </c>
    </row>
    <row r="1121" spans="1:17" x14ac:dyDescent="0.25">
      <c r="A1121">
        <v>457</v>
      </c>
      <c r="B1121">
        <v>648</v>
      </c>
      <c r="C1121" t="str">
        <f>_xlfn.XLOOKUP(tblOrders[[#This Row],[CustomerID]],tblCustomers[CustomerID],tblCustomers[CustomerName],"not found")</f>
        <v>William Whitaker</v>
      </c>
      <c r="D1121">
        <f>_xlfn.XLOOKUP(tblOrders[[#This Row],[CustomerID]],tblCustomers[CustomerID],tblCustomers[Age],"not found")</f>
        <v>55</v>
      </c>
      <c r="E1121" t="str">
        <f>_xlfn.XLOOKUP(tblOrders[[#This Row],[CustomerID]],tblCustomers[CustomerID],tblCustomers[Gender],"not found")</f>
        <v>Male</v>
      </c>
      <c r="F1121" t="str">
        <f>_xlfn.XLOOKUP(tblOrders[[#This Row],[CustomerID]],tblCustomers[CustomerID],tblCustomers[Region],"not found")</f>
        <v>South</v>
      </c>
      <c r="G1121">
        <v>1010</v>
      </c>
      <c r="H1121" t="str">
        <f>_xlfn.XLOOKUP(tblOrders[[#This Row],[ProductID]],tblProducts[ProductID],tblProducts[ProductName],"not found")</f>
        <v>Ready</v>
      </c>
      <c r="I1121" t="str">
        <f>_xlfn.XLOOKUP(tblOrders[[#This Row],[ProductID]],tblProducts[ProductID],tblProducts[Category],"not found")</f>
        <v>Apparel</v>
      </c>
      <c r="J1121">
        <f>_xlfn.XLOOKUP(tblOrders[[#This Row],[ProductID]],tblProducts[ProductID],tblProducts[UnitPrice],"not found")</f>
        <v>98.5</v>
      </c>
      <c r="K1121" t="str">
        <f>_xlfn.XLOOKUP(tblOrders[[#This Row],[ProductID]],tblProducts[ProductID],tblProducts[Supplier],"not found")</f>
        <v>Gilbert-Moreno</v>
      </c>
      <c r="L1121" s="1">
        <v>45536</v>
      </c>
      <c r="M11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45536</v>
      </c>
      <c r="N1121">
        <v>1</v>
      </c>
      <c r="O1121">
        <v>98.5</v>
      </c>
      <c r="P1121">
        <f>tblOrders[[#This Row],[Quantity]]*tblOrders[[#This Row],[Unit Price]]</f>
        <v>98.5</v>
      </c>
      <c r="Q1121">
        <f>tblOrders[[#This Row],[TotalSales]]-tblOrders[[#This Row],[Calculated Sales]]</f>
        <v>0</v>
      </c>
    </row>
    <row r="1122" spans="1:17" x14ac:dyDescent="0.25">
      <c r="A1122">
        <v>483</v>
      </c>
      <c r="B1122">
        <v>308</v>
      </c>
      <c r="C1122" t="str">
        <f>_xlfn.XLOOKUP(tblOrders[[#This Row],[CustomerID]],tblCustomers[CustomerID],tblCustomers[CustomerName],"not found")</f>
        <v>Christopher Schmitt</v>
      </c>
      <c r="D1122">
        <f>_xlfn.XLOOKUP(tblOrders[[#This Row],[CustomerID]],tblCustomers[CustomerID],tblCustomers[Age],"not found")</f>
        <v>21</v>
      </c>
      <c r="E1122" t="str">
        <f>_xlfn.XLOOKUP(tblOrders[[#This Row],[CustomerID]],tblCustomers[CustomerID],tblCustomers[Gender],"not found")</f>
        <v>Male</v>
      </c>
      <c r="F1122" t="str">
        <f>_xlfn.XLOOKUP(tblOrders[[#This Row],[CustomerID]],tblCustomers[CustomerID],tblCustomers[Region],"not found")</f>
        <v>North</v>
      </c>
      <c r="G1122">
        <v>1010</v>
      </c>
      <c r="H1122" t="str">
        <f>_xlfn.XLOOKUP(tblOrders[[#This Row],[ProductID]],tblProducts[ProductID],tblProducts[ProductName],"not found")</f>
        <v>Ready</v>
      </c>
      <c r="I1122" t="str">
        <f>_xlfn.XLOOKUP(tblOrders[[#This Row],[ProductID]],tblProducts[ProductID],tblProducts[Category],"not found")</f>
        <v>Apparel</v>
      </c>
      <c r="J1122">
        <f>_xlfn.XLOOKUP(tblOrders[[#This Row],[ProductID]],tblProducts[ProductID],tblProducts[UnitPrice],"not found")</f>
        <v>98.5</v>
      </c>
      <c r="K1122" t="str">
        <f>_xlfn.XLOOKUP(tblOrders[[#This Row],[ProductID]],tblProducts[ProductID],tblProducts[Supplier],"not found")</f>
        <v>Gilbert-Moreno</v>
      </c>
      <c r="L1122" s="1">
        <v>45575</v>
      </c>
      <c r="M11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45575</v>
      </c>
      <c r="N1122">
        <v>6</v>
      </c>
      <c r="O1122">
        <v>591</v>
      </c>
      <c r="P1122">
        <f>tblOrders[[#This Row],[Quantity]]*tblOrders[[#This Row],[Unit Price]]</f>
        <v>591</v>
      </c>
      <c r="Q1122">
        <f>tblOrders[[#This Row],[TotalSales]]-tblOrders[[#This Row],[Calculated Sales]]</f>
        <v>0</v>
      </c>
    </row>
    <row r="1123" spans="1:17" x14ac:dyDescent="0.25">
      <c r="A1123">
        <v>697</v>
      </c>
      <c r="B1123">
        <v>562</v>
      </c>
      <c r="C1123" t="str">
        <f>_xlfn.XLOOKUP(tblOrders[[#This Row],[CustomerID]],tblCustomers[CustomerID],tblCustomers[CustomerName],"not found")</f>
        <v>Danielle Brown</v>
      </c>
      <c r="D1123">
        <f>_xlfn.XLOOKUP(tblOrders[[#This Row],[CustomerID]],tblCustomers[CustomerID],tblCustomers[Age],"not found")</f>
        <v>65</v>
      </c>
      <c r="E1123" t="str">
        <f>_xlfn.XLOOKUP(tblOrders[[#This Row],[CustomerID]],tblCustomers[CustomerID],tblCustomers[Gender],"not found")</f>
        <v>Female</v>
      </c>
      <c r="F1123" t="str">
        <f>_xlfn.XLOOKUP(tblOrders[[#This Row],[CustomerID]],tblCustomers[CustomerID],tblCustomers[Region],"not found")</f>
        <v>South</v>
      </c>
      <c r="G1123">
        <v>1010</v>
      </c>
      <c r="H1123" t="str">
        <f>_xlfn.XLOOKUP(tblOrders[[#This Row],[ProductID]],tblProducts[ProductID],tblProducts[ProductName],"not found")</f>
        <v>Ready</v>
      </c>
      <c r="I1123" t="str">
        <f>_xlfn.XLOOKUP(tblOrders[[#This Row],[ProductID]],tblProducts[ProductID],tblProducts[Category],"not found")</f>
        <v>Apparel</v>
      </c>
      <c r="J1123">
        <f>_xlfn.XLOOKUP(tblOrders[[#This Row],[ProductID]],tblProducts[ProductID],tblProducts[UnitPrice],"not found")</f>
        <v>98.5</v>
      </c>
      <c r="K1123" t="str">
        <f>_xlfn.XLOOKUP(tblOrders[[#This Row],[ProductID]],tblProducts[ProductID],tblProducts[Supplier],"not found")</f>
        <v>Gilbert-Moreno</v>
      </c>
      <c r="L1123" s="1">
        <v>45569</v>
      </c>
      <c r="M11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45569</v>
      </c>
      <c r="N1123">
        <v>5</v>
      </c>
      <c r="O1123">
        <v>492.5</v>
      </c>
      <c r="P1123">
        <f>tblOrders[[#This Row],[Quantity]]*tblOrders[[#This Row],[Unit Price]]</f>
        <v>492.5</v>
      </c>
      <c r="Q1123">
        <f>tblOrders[[#This Row],[TotalSales]]-tblOrders[[#This Row],[Calculated Sales]]</f>
        <v>0</v>
      </c>
    </row>
    <row r="1124" spans="1:17" x14ac:dyDescent="0.25">
      <c r="A1124">
        <v>848</v>
      </c>
      <c r="B1124">
        <v>850</v>
      </c>
      <c r="C1124" t="str">
        <f>_xlfn.XLOOKUP(tblOrders[[#This Row],[CustomerID]],tblCustomers[CustomerID],tblCustomers[CustomerName],"not found")</f>
        <v>Shannon Hurst</v>
      </c>
      <c r="D1124">
        <f>_xlfn.XLOOKUP(tblOrders[[#This Row],[CustomerID]],tblCustomers[CustomerID],tblCustomers[Age],"not found")</f>
        <v>22</v>
      </c>
      <c r="E1124" t="str">
        <f>_xlfn.XLOOKUP(tblOrders[[#This Row],[CustomerID]],tblCustomers[CustomerID],tblCustomers[Gender],"not found")</f>
        <v>Female</v>
      </c>
      <c r="F1124" t="str">
        <f>_xlfn.XLOOKUP(tblOrders[[#This Row],[CustomerID]],tblCustomers[CustomerID],tblCustomers[Region],"not found")</f>
        <v>Central</v>
      </c>
      <c r="G1124">
        <v>1010</v>
      </c>
      <c r="H1124" t="str">
        <f>_xlfn.XLOOKUP(tblOrders[[#This Row],[ProductID]],tblProducts[ProductID],tblProducts[ProductName],"not found")</f>
        <v>Ready</v>
      </c>
      <c r="I1124" t="str">
        <f>_xlfn.XLOOKUP(tblOrders[[#This Row],[ProductID]],tblProducts[ProductID],tblProducts[Category],"not found")</f>
        <v>Apparel</v>
      </c>
      <c r="J1124">
        <f>_xlfn.XLOOKUP(tblOrders[[#This Row],[ProductID]],tblProducts[ProductID],tblProducts[UnitPrice],"not found")</f>
        <v>98.5</v>
      </c>
      <c r="K1124" t="str">
        <f>_xlfn.XLOOKUP(tblOrders[[#This Row],[ProductID]],tblProducts[ProductID],tblProducts[Supplier],"not found")</f>
        <v>Gilbert-Moreno</v>
      </c>
      <c r="L1124" s="1" t="s">
        <v>2170</v>
      </c>
      <c r="M11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45283</v>
      </c>
      <c r="N1124">
        <v>5</v>
      </c>
      <c r="O1124">
        <v>492.5</v>
      </c>
      <c r="P1124">
        <f>tblOrders[[#This Row],[Quantity]]*tblOrders[[#This Row],[Unit Price]]</f>
        <v>492.5</v>
      </c>
      <c r="Q1124">
        <f>tblOrders[[#This Row],[TotalSales]]-tblOrders[[#This Row],[Calculated Sales]]</f>
        <v>0</v>
      </c>
    </row>
    <row r="1125" spans="1:17" x14ac:dyDescent="0.25">
      <c r="A1125">
        <v>849</v>
      </c>
      <c r="B1125">
        <v>144</v>
      </c>
      <c r="C1125" t="str">
        <f>_xlfn.XLOOKUP(tblOrders[[#This Row],[CustomerID]],tblCustomers[CustomerID],tblCustomers[CustomerName],"not found")</f>
        <v>Cody Thomas</v>
      </c>
      <c r="D1125">
        <f>_xlfn.XLOOKUP(tblOrders[[#This Row],[CustomerID]],tblCustomers[CustomerID],tblCustomers[Age],"not found")</f>
        <v>24</v>
      </c>
      <c r="E1125" t="str">
        <f>_xlfn.XLOOKUP(tblOrders[[#This Row],[CustomerID]],tblCustomers[CustomerID],tblCustomers[Gender],"not found")</f>
        <v>Female</v>
      </c>
      <c r="F1125" t="str">
        <f>_xlfn.XLOOKUP(tblOrders[[#This Row],[CustomerID]],tblCustomers[CustomerID],tblCustomers[Region],"not found")</f>
        <v>North</v>
      </c>
      <c r="G1125">
        <v>1010</v>
      </c>
      <c r="H1125" t="str">
        <f>_xlfn.XLOOKUP(tblOrders[[#This Row],[ProductID]],tblProducts[ProductID],tblProducts[ProductName],"not found")</f>
        <v>Ready</v>
      </c>
      <c r="I1125" t="str">
        <f>_xlfn.XLOOKUP(tblOrders[[#This Row],[ProductID]],tblProducts[ProductID],tblProducts[Category],"not found")</f>
        <v>Apparel</v>
      </c>
      <c r="J1125">
        <f>_xlfn.XLOOKUP(tblOrders[[#This Row],[ProductID]],tblProducts[ProductID],tblProducts[UnitPrice],"not found")</f>
        <v>98.5</v>
      </c>
      <c r="K1125" t="str">
        <f>_xlfn.XLOOKUP(tblOrders[[#This Row],[ProductID]],tblProducts[ProductID],tblProducts[Supplier],"not found")</f>
        <v>Gilbert-Moreno</v>
      </c>
      <c r="L1125" s="1" t="s">
        <v>2363</v>
      </c>
      <c r="M11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45429</v>
      </c>
      <c r="N1125">
        <v>5</v>
      </c>
      <c r="O1125">
        <v>492.5</v>
      </c>
      <c r="P1125">
        <f>tblOrders[[#This Row],[Quantity]]*tblOrders[[#This Row],[Unit Price]]</f>
        <v>492.5</v>
      </c>
      <c r="Q1125">
        <f>tblOrders[[#This Row],[TotalSales]]-tblOrders[[#This Row],[Calculated Sales]]</f>
        <v>0</v>
      </c>
    </row>
    <row r="1126" spans="1:17" x14ac:dyDescent="0.25">
      <c r="A1126">
        <v>883</v>
      </c>
      <c r="B1126">
        <v>282</v>
      </c>
      <c r="C1126" t="str">
        <f>_xlfn.XLOOKUP(tblOrders[[#This Row],[CustomerID]],tblCustomers[CustomerID],tblCustomers[CustomerName],"not found")</f>
        <v>Timothy Howell</v>
      </c>
      <c r="D1126">
        <f>_xlfn.XLOOKUP(tblOrders[[#This Row],[CustomerID]],tblCustomers[CustomerID],tblCustomers[Age],"not found")</f>
        <v>51</v>
      </c>
      <c r="E1126" t="str">
        <f>_xlfn.XLOOKUP(tblOrders[[#This Row],[CustomerID]],tblCustomers[CustomerID],tblCustomers[Gender],"not found")</f>
        <v>Male</v>
      </c>
      <c r="F1126" t="str">
        <f>_xlfn.XLOOKUP(tblOrders[[#This Row],[CustomerID]],tblCustomers[CustomerID],tblCustomers[Region],"not found")</f>
        <v>Central</v>
      </c>
      <c r="G1126">
        <v>1010</v>
      </c>
      <c r="H1126" t="str">
        <f>_xlfn.XLOOKUP(tblOrders[[#This Row],[ProductID]],tblProducts[ProductID],tblProducts[ProductName],"not found")</f>
        <v>Ready</v>
      </c>
      <c r="I1126" t="str">
        <f>_xlfn.XLOOKUP(tblOrders[[#This Row],[ProductID]],tblProducts[ProductID],tblProducts[Category],"not found")</f>
        <v>Apparel</v>
      </c>
      <c r="J1126">
        <f>_xlfn.XLOOKUP(tblOrders[[#This Row],[ProductID]],tblProducts[ProductID],tblProducts[UnitPrice],"not found")</f>
        <v>98.5</v>
      </c>
      <c r="K1126" t="str">
        <f>_xlfn.XLOOKUP(tblOrders[[#This Row],[ProductID]],tblProducts[ProductID],tblProducts[Supplier],"not found")</f>
        <v>Gilbert-Moreno</v>
      </c>
      <c r="L1126" s="1" t="s">
        <v>2033</v>
      </c>
      <c r="M11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45519</v>
      </c>
      <c r="N1126">
        <v>8</v>
      </c>
      <c r="O1126">
        <v>788</v>
      </c>
      <c r="P1126">
        <f>tblOrders[[#This Row],[Quantity]]*tblOrders[[#This Row],[Unit Price]]</f>
        <v>788</v>
      </c>
      <c r="Q1126">
        <f>tblOrders[[#This Row],[TotalSales]]-tblOrders[[#This Row],[Calculated Sales]]</f>
        <v>0</v>
      </c>
    </row>
    <row r="1127" spans="1:17" x14ac:dyDescent="0.25">
      <c r="A1127">
        <v>893</v>
      </c>
      <c r="B1127">
        <v>167</v>
      </c>
      <c r="C1127" t="str">
        <f>_xlfn.XLOOKUP(tblOrders[[#This Row],[CustomerID]],tblCustomers[CustomerID],tblCustomers[CustomerName],"not found")</f>
        <v>Anna Evans</v>
      </c>
      <c r="D1127">
        <f>_xlfn.XLOOKUP(tblOrders[[#This Row],[CustomerID]],tblCustomers[CustomerID],tblCustomers[Age],"not found")</f>
        <v>23</v>
      </c>
      <c r="E1127" t="str">
        <f>_xlfn.XLOOKUP(tblOrders[[#This Row],[CustomerID]],tblCustomers[CustomerID],tblCustomers[Gender],"not found")</f>
        <v>Male</v>
      </c>
      <c r="F1127" t="str">
        <f>_xlfn.XLOOKUP(tblOrders[[#This Row],[CustomerID]],tblCustomers[CustomerID],tblCustomers[Region],"not found")</f>
        <v>Central</v>
      </c>
      <c r="G1127">
        <v>1010</v>
      </c>
      <c r="H1127" t="str">
        <f>_xlfn.XLOOKUP(tblOrders[[#This Row],[ProductID]],tblProducts[ProductID],tblProducts[ProductName],"not found")</f>
        <v>Ready</v>
      </c>
      <c r="I1127" t="str">
        <f>_xlfn.XLOOKUP(tblOrders[[#This Row],[ProductID]],tblProducts[ProductID],tblProducts[Category],"not found")</f>
        <v>Apparel</v>
      </c>
      <c r="J1127">
        <f>_xlfn.XLOOKUP(tblOrders[[#This Row],[ProductID]],tblProducts[ProductID],tblProducts[UnitPrice],"not found")</f>
        <v>98.5</v>
      </c>
      <c r="K1127" t="str">
        <f>_xlfn.XLOOKUP(tblOrders[[#This Row],[ProductID]],tblProducts[ProductID],tblProducts[Supplier],"not found")</f>
        <v>Gilbert-Moreno</v>
      </c>
      <c r="L1127" s="1" t="s">
        <v>2364</v>
      </c>
      <c r="M11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45038</v>
      </c>
      <c r="N1127">
        <v>7</v>
      </c>
      <c r="O1127">
        <v>689.5</v>
      </c>
      <c r="P1127">
        <f>tblOrders[[#This Row],[Quantity]]*tblOrders[[#This Row],[Unit Price]]</f>
        <v>689.5</v>
      </c>
      <c r="Q1127">
        <f>tblOrders[[#This Row],[TotalSales]]-tblOrders[[#This Row],[Calculated Sales]]</f>
        <v>0</v>
      </c>
    </row>
    <row r="1128" spans="1:17" x14ac:dyDescent="0.25">
      <c r="A1128">
        <v>916</v>
      </c>
      <c r="B1128">
        <v>14</v>
      </c>
      <c r="C1128" t="str">
        <f>_xlfn.XLOOKUP(tblOrders[[#This Row],[CustomerID]],tblCustomers[CustomerID],tblCustomers[CustomerName],"not found")</f>
        <v>Ryan King</v>
      </c>
      <c r="D1128">
        <f>_xlfn.XLOOKUP(tblOrders[[#This Row],[CustomerID]],tblCustomers[CustomerID],tblCustomers[Age],"not found")</f>
        <v>57</v>
      </c>
      <c r="E1128" t="str">
        <f>_xlfn.XLOOKUP(tblOrders[[#This Row],[CustomerID]],tblCustomers[CustomerID],tblCustomers[Gender],"not found")</f>
        <v>Female</v>
      </c>
      <c r="F1128" t="str">
        <f>_xlfn.XLOOKUP(tblOrders[[#This Row],[CustomerID]],tblCustomers[CustomerID],tblCustomers[Region],"not found")</f>
        <v>East</v>
      </c>
      <c r="G1128">
        <v>1010</v>
      </c>
      <c r="H1128" t="str">
        <f>_xlfn.XLOOKUP(tblOrders[[#This Row],[ProductID]],tblProducts[ProductID],tblProducts[ProductName],"not found")</f>
        <v>Ready</v>
      </c>
      <c r="I1128" t="str">
        <f>_xlfn.XLOOKUP(tblOrders[[#This Row],[ProductID]],tblProducts[ProductID],tblProducts[Category],"not found")</f>
        <v>Apparel</v>
      </c>
      <c r="J1128">
        <f>_xlfn.XLOOKUP(tblOrders[[#This Row],[ProductID]],tblProducts[ProductID],tblProducts[UnitPrice],"not found")</f>
        <v>98.5</v>
      </c>
      <c r="K1128" t="str">
        <f>_xlfn.XLOOKUP(tblOrders[[#This Row],[ProductID]],tblProducts[ProductID],tblProducts[Supplier],"not found")</f>
        <v>Gilbert-Moreno</v>
      </c>
      <c r="L1128" s="1">
        <v>45445</v>
      </c>
      <c r="M11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45445</v>
      </c>
      <c r="N1128">
        <v>8</v>
      </c>
      <c r="O1128">
        <v>788</v>
      </c>
      <c r="P1128">
        <f>tblOrders[[#This Row],[Quantity]]*tblOrders[[#This Row],[Unit Price]]</f>
        <v>788</v>
      </c>
      <c r="Q1128">
        <f>tblOrders[[#This Row],[TotalSales]]-tblOrders[[#This Row],[Calculated Sales]]</f>
        <v>0</v>
      </c>
    </row>
    <row r="1129" spans="1:17" x14ac:dyDescent="0.25">
      <c r="A1129">
        <v>966</v>
      </c>
      <c r="B1129">
        <v>804</v>
      </c>
      <c r="C1129" t="str">
        <f>_xlfn.XLOOKUP(tblOrders[[#This Row],[CustomerID]],tblCustomers[CustomerID],tblCustomers[CustomerName],"not found")</f>
        <v>David Pugh</v>
      </c>
      <c r="D1129">
        <f>_xlfn.XLOOKUP(tblOrders[[#This Row],[CustomerID]],tblCustomers[CustomerID],tblCustomers[Age],"not found")</f>
        <v>56</v>
      </c>
      <c r="E1129" t="str">
        <f>_xlfn.XLOOKUP(tblOrders[[#This Row],[CustomerID]],tblCustomers[CustomerID],tblCustomers[Gender],"not found")</f>
        <v>Male</v>
      </c>
      <c r="F1129" t="str">
        <f>_xlfn.XLOOKUP(tblOrders[[#This Row],[CustomerID]],tblCustomers[CustomerID],tblCustomers[Region],"not found")</f>
        <v>East</v>
      </c>
      <c r="G1129">
        <v>1010</v>
      </c>
      <c r="H1129" t="str">
        <f>_xlfn.XLOOKUP(tblOrders[[#This Row],[ProductID]],tblProducts[ProductID],tblProducts[ProductName],"not found")</f>
        <v>Ready</v>
      </c>
      <c r="I1129" t="str">
        <f>_xlfn.XLOOKUP(tblOrders[[#This Row],[ProductID]],tblProducts[ProductID],tblProducts[Category],"not found")</f>
        <v>Apparel</v>
      </c>
      <c r="J1129">
        <f>_xlfn.XLOOKUP(tblOrders[[#This Row],[ProductID]],tblProducts[ProductID],tblProducts[UnitPrice],"not found")</f>
        <v>98.5</v>
      </c>
      <c r="K1129" t="str">
        <f>_xlfn.XLOOKUP(tblOrders[[#This Row],[ProductID]],tblProducts[ProductID],tblProducts[Supplier],"not found")</f>
        <v>Gilbert-Moreno</v>
      </c>
      <c r="L1129" s="1">
        <v>45078</v>
      </c>
      <c r="M11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45078</v>
      </c>
      <c r="N1129">
        <v>8</v>
      </c>
      <c r="O1129">
        <v>788</v>
      </c>
      <c r="P1129">
        <f>tblOrders[[#This Row],[Quantity]]*tblOrders[[#This Row],[Unit Price]]</f>
        <v>788</v>
      </c>
      <c r="Q1129">
        <f>tblOrders[[#This Row],[TotalSales]]-tblOrders[[#This Row],[Calculated Sales]]</f>
        <v>0</v>
      </c>
    </row>
    <row r="1130" spans="1:17" x14ac:dyDescent="0.25">
      <c r="A1130">
        <v>1047</v>
      </c>
      <c r="B1130">
        <v>797</v>
      </c>
      <c r="C1130" t="str">
        <f>_xlfn.XLOOKUP(tblOrders[[#This Row],[CustomerID]],tblCustomers[CustomerID],tblCustomers[CustomerName],"not found")</f>
        <v>Leah King</v>
      </c>
      <c r="D1130">
        <f>_xlfn.XLOOKUP(tblOrders[[#This Row],[CustomerID]],tblCustomers[CustomerID],tblCustomers[Age],"not found")</f>
        <v>26</v>
      </c>
      <c r="E1130" t="str">
        <f>_xlfn.XLOOKUP(tblOrders[[#This Row],[CustomerID]],tblCustomers[CustomerID],tblCustomers[Gender],"not found")</f>
        <v>Female</v>
      </c>
      <c r="F1130" t="str">
        <f>_xlfn.XLOOKUP(tblOrders[[#This Row],[CustomerID]],tblCustomers[CustomerID],tblCustomers[Region],"not found")</f>
        <v>Central</v>
      </c>
      <c r="G1130">
        <v>1010</v>
      </c>
      <c r="H1130" t="str">
        <f>_xlfn.XLOOKUP(tblOrders[[#This Row],[ProductID]],tblProducts[ProductID],tblProducts[ProductName],"not found")</f>
        <v>Ready</v>
      </c>
      <c r="I1130" t="str">
        <f>_xlfn.XLOOKUP(tblOrders[[#This Row],[ProductID]],tblProducts[ProductID],tblProducts[Category],"not found")</f>
        <v>Apparel</v>
      </c>
      <c r="J1130">
        <f>_xlfn.XLOOKUP(tblOrders[[#This Row],[ProductID]],tblProducts[ProductID],tblProducts[UnitPrice],"not found")</f>
        <v>98.5</v>
      </c>
      <c r="K1130" t="str">
        <f>_xlfn.XLOOKUP(tblOrders[[#This Row],[ProductID]],tblProducts[ProductID],tblProducts[Supplier],"not found")</f>
        <v>Gilbert-Moreno</v>
      </c>
      <c r="L1130" s="1" t="s">
        <v>2365</v>
      </c>
      <c r="M11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44918</v>
      </c>
      <c r="N1130">
        <v>9</v>
      </c>
      <c r="O1130">
        <v>886.5</v>
      </c>
      <c r="P1130">
        <f>tblOrders[[#This Row],[Quantity]]*tblOrders[[#This Row],[Unit Price]]</f>
        <v>886.5</v>
      </c>
      <c r="Q1130">
        <f>tblOrders[[#This Row],[TotalSales]]-tblOrders[[#This Row],[Calculated Sales]]</f>
        <v>0</v>
      </c>
    </row>
    <row r="1131" spans="1:17" x14ac:dyDescent="0.25">
      <c r="A1131">
        <v>1137</v>
      </c>
      <c r="B1131">
        <v>887</v>
      </c>
      <c r="C1131" t="str">
        <f>_xlfn.XLOOKUP(tblOrders[[#This Row],[CustomerID]],tblCustomers[CustomerID],tblCustomers[CustomerName],"not found")</f>
        <v>Patrick Ford</v>
      </c>
      <c r="D1131">
        <f>_xlfn.XLOOKUP(tblOrders[[#This Row],[CustomerID]],tblCustomers[CustomerID],tblCustomers[Age],"not found")</f>
        <v>33</v>
      </c>
      <c r="E1131" t="str">
        <f>_xlfn.XLOOKUP(tblOrders[[#This Row],[CustomerID]],tblCustomers[CustomerID],tblCustomers[Gender],"not found")</f>
        <v>Male</v>
      </c>
      <c r="F1131" t="str">
        <f>_xlfn.XLOOKUP(tblOrders[[#This Row],[CustomerID]],tblCustomers[CustomerID],tblCustomers[Region],"not found")</f>
        <v>East</v>
      </c>
      <c r="G1131">
        <v>1010</v>
      </c>
      <c r="H1131" t="str">
        <f>_xlfn.XLOOKUP(tblOrders[[#This Row],[ProductID]],tblProducts[ProductID],tblProducts[ProductName],"not found")</f>
        <v>Ready</v>
      </c>
      <c r="I1131" t="str">
        <f>_xlfn.XLOOKUP(tblOrders[[#This Row],[ProductID]],tblProducts[ProductID],tblProducts[Category],"not found")</f>
        <v>Apparel</v>
      </c>
      <c r="J1131">
        <f>_xlfn.XLOOKUP(tblOrders[[#This Row],[ProductID]],tblProducts[ProductID],tblProducts[UnitPrice],"not found")</f>
        <v>98.5</v>
      </c>
      <c r="K1131" t="str">
        <f>_xlfn.XLOOKUP(tblOrders[[#This Row],[ProductID]],tblProducts[ProductID],tblProducts[Supplier],"not found")</f>
        <v>Gilbert-Moreno</v>
      </c>
      <c r="L1131" s="1">
        <v>45261</v>
      </c>
      <c r="M11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45261</v>
      </c>
      <c r="N1131">
        <v>3</v>
      </c>
      <c r="O1131">
        <v>295.5</v>
      </c>
      <c r="P1131">
        <f>tblOrders[[#This Row],[Quantity]]*tblOrders[[#This Row],[Unit Price]]</f>
        <v>295.5</v>
      </c>
      <c r="Q1131">
        <f>tblOrders[[#This Row],[TotalSales]]-tblOrders[[#This Row],[Calculated Sales]]</f>
        <v>0</v>
      </c>
    </row>
    <row r="1132" spans="1:17" x14ac:dyDescent="0.25">
      <c r="A1132">
        <v>1162</v>
      </c>
      <c r="B1132">
        <v>123</v>
      </c>
      <c r="C1132" t="str">
        <f>_xlfn.XLOOKUP(tblOrders[[#This Row],[CustomerID]],tblCustomers[CustomerID],tblCustomers[CustomerName],"not found")</f>
        <v>Jacqueline Cooper</v>
      </c>
      <c r="D1132">
        <f>_xlfn.XLOOKUP(tblOrders[[#This Row],[CustomerID]],tblCustomers[CustomerID],tblCustomers[Age],"not found")</f>
        <v>65</v>
      </c>
      <c r="E1132" t="str">
        <f>_xlfn.XLOOKUP(tblOrders[[#This Row],[CustomerID]],tblCustomers[CustomerID],tblCustomers[Gender],"not found")</f>
        <v>Male</v>
      </c>
      <c r="F1132" t="str">
        <f>_xlfn.XLOOKUP(tblOrders[[#This Row],[CustomerID]],tblCustomers[CustomerID],tblCustomers[Region],"not found")</f>
        <v>East</v>
      </c>
      <c r="G1132">
        <v>1010</v>
      </c>
      <c r="H1132" t="str">
        <f>_xlfn.XLOOKUP(tblOrders[[#This Row],[ProductID]],tblProducts[ProductID],tblProducts[ProductName],"not found")</f>
        <v>Ready</v>
      </c>
      <c r="I1132" t="str">
        <f>_xlfn.XLOOKUP(tblOrders[[#This Row],[ProductID]],tblProducts[ProductID],tblProducts[Category],"not found")</f>
        <v>Apparel</v>
      </c>
      <c r="J1132">
        <f>_xlfn.XLOOKUP(tblOrders[[#This Row],[ProductID]],tblProducts[ProductID],tblProducts[UnitPrice],"not found")</f>
        <v>98.5</v>
      </c>
      <c r="K1132" t="str">
        <f>_xlfn.XLOOKUP(tblOrders[[#This Row],[ProductID]],tblProducts[ProductID],tblProducts[Supplier],"not found")</f>
        <v>Gilbert-Moreno</v>
      </c>
      <c r="L1132" s="1" t="s">
        <v>2268</v>
      </c>
      <c r="M11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45305</v>
      </c>
      <c r="N1132">
        <v>9</v>
      </c>
      <c r="O1132">
        <v>886.5</v>
      </c>
      <c r="P1132">
        <f>tblOrders[[#This Row],[Quantity]]*tblOrders[[#This Row],[Unit Price]]</f>
        <v>886.5</v>
      </c>
      <c r="Q1132">
        <f>tblOrders[[#This Row],[TotalSales]]-tblOrders[[#This Row],[Calculated Sales]]</f>
        <v>0</v>
      </c>
    </row>
    <row r="1133" spans="1:17" x14ac:dyDescent="0.25">
      <c r="A1133">
        <v>1180</v>
      </c>
      <c r="B1133">
        <v>379</v>
      </c>
      <c r="C1133" t="str">
        <f>_xlfn.XLOOKUP(tblOrders[[#This Row],[CustomerID]],tblCustomers[CustomerID],tblCustomers[CustomerName],"not found")</f>
        <v>Mary Johnson</v>
      </c>
      <c r="D1133">
        <f>_xlfn.XLOOKUP(tblOrders[[#This Row],[CustomerID]],tblCustomers[CustomerID],tblCustomers[Age],"not found")</f>
        <v>44</v>
      </c>
      <c r="E1133" t="str">
        <f>_xlfn.XLOOKUP(tblOrders[[#This Row],[CustomerID]],tblCustomers[CustomerID],tblCustomers[Gender],"not found")</f>
        <v>Female</v>
      </c>
      <c r="F1133" t="str">
        <f>_xlfn.XLOOKUP(tblOrders[[#This Row],[CustomerID]],tblCustomers[CustomerID],tblCustomers[Region],"not found")</f>
        <v>West</v>
      </c>
      <c r="G1133">
        <v>1010</v>
      </c>
      <c r="H1133" t="str">
        <f>_xlfn.XLOOKUP(tblOrders[[#This Row],[ProductID]],tblProducts[ProductID],tblProducts[ProductName],"not found")</f>
        <v>Ready</v>
      </c>
      <c r="I1133" t="str">
        <f>_xlfn.XLOOKUP(tblOrders[[#This Row],[ProductID]],tblProducts[ProductID],tblProducts[Category],"not found")</f>
        <v>Apparel</v>
      </c>
      <c r="J1133">
        <f>_xlfn.XLOOKUP(tblOrders[[#This Row],[ProductID]],tblProducts[ProductID],tblProducts[UnitPrice],"not found")</f>
        <v>98.5</v>
      </c>
      <c r="K1133" t="str">
        <f>_xlfn.XLOOKUP(tblOrders[[#This Row],[ProductID]],tblProducts[ProductID],tblProducts[Supplier],"not found")</f>
        <v>Gilbert-Moreno</v>
      </c>
      <c r="L1133" s="1" t="s">
        <v>2233</v>
      </c>
      <c r="M11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45381</v>
      </c>
      <c r="N1133">
        <v>9</v>
      </c>
      <c r="O1133">
        <v>886.5</v>
      </c>
      <c r="P1133">
        <f>tblOrders[[#This Row],[Quantity]]*tblOrders[[#This Row],[Unit Price]]</f>
        <v>886.5</v>
      </c>
      <c r="Q1133">
        <f>tblOrders[[#This Row],[TotalSales]]-tblOrders[[#This Row],[Calculated Sales]]</f>
        <v>0</v>
      </c>
    </row>
    <row r="1134" spans="1:17" x14ac:dyDescent="0.25">
      <c r="A1134">
        <v>1214</v>
      </c>
      <c r="B1134">
        <v>640</v>
      </c>
      <c r="C1134" t="str">
        <f>_xlfn.XLOOKUP(tblOrders[[#This Row],[CustomerID]],tblCustomers[CustomerID],tblCustomers[CustomerName],"not found")</f>
        <v>Richard Landry</v>
      </c>
      <c r="D1134">
        <f>_xlfn.XLOOKUP(tblOrders[[#This Row],[CustomerID]],tblCustomers[CustomerID],tblCustomers[Age],"not found")</f>
        <v>29</v>
      </c>
      <c r="E1134" t="str">
        <f>_xlfn.XLOOKUP(tblOrders[[#This Row],[CustomerID]],tblCustomers[CustomerID],tblCustomers[Gender],"not found")</f>
        <v>Female</v>
      </c>
      <c r="F1134" t="str">
        <f>_xlfn.XLOOKUP(tblOrders[[#This Row],[CustomerID]],tblCustomers[CustomerID],tblCustomers[Region],"not found")</f>
        <v>West</v>
      </c>
      <c r="G1134">
        <v>1010</v>
      </c>
      <c r="H1134" t="str">
        <f>_xlfn.XLOOKUP(tblOrders[[#This Row],[ProductID]],tblProducts[ProductID],tblProducts[ProductName],"not found")</f>
        <v>Ready</v>
      </c>
      <c r="I1134" t="str">
        <f>_xlfn.XLOOKUP(tblOrders[[#This Row],[ProductID]],tblProducts[ProductID],tblProducts[Category],"not found")</f>
        <v>Apparel</v>
      </c>
      <c r="J1134">
        <f>_xlfn.XLOOKUP(tblOrders[[#This Row],[ProductID]],tblProducts[ProductID],tblProducts[UnitPrice],"not found")</f>
        <v>98.5</v>
      </c>
      <c r="K1134" t="str">
        <f>_xlfn.XLOOKUP(tblOrders[[#This Row],[ProductID]],tblProducts[ProductID],tblProducts[Supplier],"not found")</f>
        <v>Gilbert-Moreno</v>
      </c>
      <c r="L1134" s="1" t="s">
        <v>2169</v>
      </c>
      <c r="M11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45167</v>
      </c>
      <c r="N1134">
        <v>8</v>
      </c>
      <c r="O1134">
        <v>788</v>
      </c>
      <c r="P1134">
        <f>tblOrders[[#This Row],[Quantity]]*tblOrders[[#This Row],[Unit Price]]</f>
        <v>788</v>
      </c>
      <c r="Q1134">
        <f>tblOrders[[#This Row],[TotalSales]]-tblOrders[[#This Row],[Calculated Sales]]</f>
        <v>0</v>
      </c>
    </row>
    <row r="1135" spans="1:17" x14ac:dyDescent="0.25">
      <c r="A1135">
        <v>1215</v>
      </c>
      <c r="B1135">
        <v>640</v>
      </c>
      <c r="C1135" t="str">
        <f>_xlfn.XLOOKUP(tblOrders[[#This Row],[CustomerID]],tblCustomers[CustomerID],tblCustomers[CustomerName],"not found")</f>
        <v>Richard Landry</v>
      </c>
      <c r="D1135">
        <f>_xlfn.XLOOKUP(tblOrders[[#This Row],[CustomerID]],tblCustomers[CustomerID],tblCustomers[Age],"not found")</f>
        <v>29</v>
      </c>
      <c r="E1135" t="str">
        <f>_xlfn.XLOOKUP(tblOrders[[#This Row],[CustomerID]],tblCustomers[CustomerID],tblCustomers[Gender],"not found")</f>
        <v>Female</v>
      </c>
      <c r="F1135" t="str">
        <f>_xlfn.XLOOKUP(tblOrders[[#This Row],[CustomerID]],tblCustomers[CustomerID],tblCustomers[Region],"not found")</f>
        <v>West</v>
      </c>
      <c r="G1135">
        <v>1010</v>
      </c>
      <c r="H1135" t="str">
        <f>_xlfn.XLOOKUP(tblOrders[[#This Row],[ProductID]],tblProducts[ProductID],tblProducts[ProductName],"not found")</f>
        <v>Ready</v>
      </c>
      <c r="I1135" t="str">
        <f>_xlfn.XLOOKUP(tblOrders[[#This Row],[ProductID]],tblProducts[ProductID],tblProducts[Category],"not found")</f>
        <v>Apparel</v>
      </c>
      <c r="J1135">
        <f>_xlfn.XLOOKUP(tblOrders[[#This Row],[ProductID]],tblProducts[ProductID],tblProducts[UnitPrice],"not found")</f>
        <v>98.5</v>
      </c>
      <c r="K1135" t="str">
        <f>_xlfn.XLOOKUP(tblOrders[[#This Row],[ProductID]],tblProducts[ProductID],tblProducts[Supplier],"not found")</f>
        <v>Gilbert-Moreno</v>
      </c>
      <c r="L1135" s="1" t="s">
        <v>2240</v>
      </c>
      <c r="M11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45037</v>
      </c>
      <c r="N1135">
        <v>3</v>
      </c>
      <c r="O1135">
        <v>295.5</v>
      </c>
      <c r="P1135">
        <f>tblOrders[[#This Row],[Quantity]]*tblOrders[[#This Row],[Unit Price]]</f>
        <v>295.5</v>
      </c>
      <c r="Q1135">
        <f>tblOrders[[#This Row],[TotalSales]]-tblOrders[[#This Row],[Calculated Sales]]</f>
        <v>0</v>
      </c>
    </row>
    <row r="1136" spans="1:17" x14ac:dyDescent="0.25">
      <c r="A1136">
        <v>1237</v>
      </c>
      <c r="B1136">
        <v>263</v>
      </c>
      <c r="C1136" t="str">
        <f>_xlfn.XLOOKUP(tblOrders[[#This Row],[CustomerID]],tblCustomers[CustomerID],tblCustomers[CustomerName],"not found")</f>
        <v>Erica Sellers</v>
      </c>
      <c r="D1136">
        <f>_xlfn.XLOOKUP(tblOrders[[#This Row],[CustomerID]],tblCustomers[CustomerID],tblCustomers[Age],"not found")</f>
        <v>25</v>
      </c>
      <c r="E1136" t="str">
        <f>_xlfn.XLOOKUP(tblOrders[[#This Row],[CustomerID]],tblCustomers[CustomerID],tblCustomers[Gender],"not found")</f>
        <v>Male</v>
      </c>
      <c r="F1136" t="str">
        <f>_xlfn.XLOOKUP(tblOrders[[#This Row],[CustomerID]],tblCustomers[CustomerID],tblCustomers[Region],"not found")</f>
        <v>East</v>
      </c>
      <c r="G1136">
        <v>1010</v>
      </c>
      <c r="H1136" t="str">
        <f>_xlfn.XLOOKUP(tblOrders[[#This Row],[ProductID]],tblProducts[ProductID],tblProducts[ProductName],"not found")</f>
        <v>Ready</v>
      </c>
      <c r="I1136" t="str">
        <f>_xlfn.XLOOKUP(tblOrders[[#This Row],[ProductID]],tblProducts[ProductID],tblProducts[Category],"not found")</f>
        <v>Apparel</v>
      </c>
      <c r="J1136">
        <f>_xlfn.XLOOKUP(tblOrders[[#This Row],[ProductID]],tblProducts[ProductID],tblProducts[UnitPrice],"not found")</f>
        <v>98.5</v>
      </c>
      <c r="K1136" t="str">
        <f>_xlfn.XLOOKUP(tblOrders[[#This Row],[ProductID]],tblProducts[ProductID],tblProducts[Supplier],"not found")</f>
        <v>Gilbert-Moreno</v>
      </c>
      <c r="L1136" s="1" t="s">
        <v>2225</v>
      </c>
      <c r="M11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45008</v>
      </c>
      <c r="N1136">
        <v>2</v>
      </c>
      <c r="O1136">
        <v>197</v>
      </c>
      <c r="P1136">
        <f>tblOrders[[#This Row],[Quantity]]*tblOrders[[#This Row],[Unit Price]]</f>
        <v>197</v>
      </c>
      <c r="Q1136">
        <f>tblOrders[[#This Row],[TotalSales]]-tblOrders[[#This Row],[Calculated Sales]]</f>
        <v>0</v>
      </c>
    </row>
    <row r="1137" spans="1:17" x14ac:dyDescent="0.25">
      <c r="A1137">
        <v>1248</v>
      </c>
      <c r="B1137">
        <v>593</v>
      </c>
      <c r="C1137" t="str">
        <f>_xlfn.XLOOKUP(tblOrders[[#This Row],[CustomerID]],tblCustomers[CustomerID],tblCustomers[CustomerName],"not found")</f>
        <v>Andrea Morales</v>
      </c>
      <c r="D1137">
        <f>_xlfn.XLOOKUP(tblOrders[[#This Row],[CustomerID]],tblCustomers[CustomerID],tblCustomers[Age],"not found")</f>
        <v>66</v>
      </c>
      <c r="E1137" t="str">
        <f>_xlfn.XLOOKUP(tblOrders[[#This Row],[CustomerID]],tblCustomers[CustomerID],tblCustomers[Gender],"not found")</f>
        <v>Female</v>
      </c>
      <c r="F1137" t="str">
        <f>_xlfn.XLOOKUP(tblOrders[[#This Row],[CustomerID]],tblCustomers[CustomerID],tblCustomers[Region],"not found")</f>
        <v>East</v>
      </c>
      <c r="G1137">
        <v>1010</v>
      </c>
      <c r="H1137" t="str">
        <f>_xlfn.XLOOKUP(tblOrders[[#This Row],[ProductID]],tblProducts[ProductID],tblProducts[ProductName],"not found")</f>
        <v>Ready</v>
      </c>
      <c r="I1137" t="str">
        <f>_xlfn.XLOOKUP(tblOrders[[#This Row],[ProductID]],tblProducts[ProductID],tblProducts[Category],"not found")</f>
        <v>Apparel</v>
      </c>
      <c r="J1137">
        <f>_xlfn.XLOOKUP(tblOrders[[#This Row],[ProductID]],tblProducts[ProductID],tblProducts[UnitPrice],"not found")</f>
        <v>98.5</v>
      </c>
      <c r="K1137" t="str">
        <f>_xlfn.XLOOKUP(tblOrders[[#This Row],[ProductID]],tblProducts[ProductID],tblProducts[Supplier],"not found")</f>
        <v>Gilbert-Moreno</v>
      </c>
      <c r="L1137" s="1">
        <v>44961</v>
      </c>
      <c r="M11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44961</v>
      </c>
      <c r="N1137">
        <v>1</v>
      </c>
      <c r="O1137">
        <v>98.5</v>
      </c>
      <c r="P1137">
        <f>tblOrders[[#This Row],[Quantity]]*tblOrders[[#This Row],[Unit Price]]</f>
        <v>98.5</v>
      </c>
      <c r="Q1137">
        <f>tblOrders[[#This Row],[TotalSales]]-tblOrders[[#This Row],[Calculated Sales]]</f>
        <v>0</v>
      </c>
    </row>
    <row r="1138" spans="1:17" x14ac:dyDescent="0.25">
      <c r="A1138">
        <v>1308</v>
      </c>
      <c r="B1138">
        <v>662</v>
      </c>
      <c r="C1138" t="str">
        <f>_xlfn.XLOOKUP(tblOrders[[#This Row],[CustomerID]],tblCustomers[CustomerID],tblCustomers[CustomerName],"not found")</f>
        <v>Justin Vasquez</v>
      </c>
      <c r="D1138">
        <f>_xlfn.XLOOKUP(tblOrders[[#This Row],[CustomerID]],tblCustomers[CustomerID],tblCustomers[Age],"not found")</f>
        <v>44</v>
      </c>
      <c r="E1138" t="str">
        <f>_xlfn.XLOOKUP(tblOrders[[#This Row],[CustomerID]],tblCustomers[CustomerID],tblCustomers[Gender],"not found")</f>
        <v>Female</v>
      </c>
      <c r="F1138" t="str">
        <f>_xlfn.XLOOKUP(tblOrders[[#This Row],[CustomerID]],tblCustomers[CustomerID],tblCustomers[Region],"not found")</f>
        <v>Central</v>
      </c>
      <c r="G1138">
        <v>1010</v>
      </c>
      <c r="H1138" t="str">
        <f>_xlfn.XLOOKUP(tblOrders[[#This Row],[ProductID]],tblProducts[ProductID],tblProducts[ProductName],"not found")</f>
        <v>Ready</v>
      </c>
      <c r="I1138" t="str">
        <f>_xlfn.XLOOKUP(tblOrders[[#This Row],[ProductID]],tblProducts[ProductID],tblProducts[Category],"not found")</f>
        <v>Apparel</v>
      </c>
      <c r="J1138">
        <f>_xlfn.XLOOKUP(tblOrders[[#This Row],[ProductID]],tblProducts[ProductID],tblProducts[UnitPrice],"not found")</f>
        <v>98.5</v>
      </c>
      <c r="K1138" t="str">
        <f>_xlfn.XLOOKUP(tblOrders[[#This Row],[ProductID]],tblProducts[ProductID],tblProducts[Supplier],"not found")</f>
        <v>Gilbert-Moreno</v>
      </c>
      <c r="L1138" s="1">
        <v>45629</v>
      </c>
      <c r="M11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45629</v>
      </c>
      <c r="N1138">
        <v>1</v>
      </c>
      <c r="O1138">
        <v>98.5</v>
      </c>
      <c r="P1138">
        <f>tblOrders[[#This Row],[Quantity]]*tblOrders[[#This Row],[Unit Price]]</f>
        <v>98.5</v>
      </c>
      <c r="Q1138">
        <f>tblOrders[[#This Row],[TotalSales]]-tblOrders[[#This Row],[Calculated Sales]]</f>
        <v>0</v>
      </c>
    </row>
    <row r="1139" spans="1:17" x14ac:dyDescent="0.25">
      <c r="A1139">
        <v>1364</v>
      </c>
      <c r="B1139">
        <v>320</v>
      </c>
      <c r="C1139" t="str">
        <f>_xlfn.XLOOKUP(tblOrders[[#This Row],[CustomerID]],tblCustomers[CustomerID],tblCustomers[CustomerName],"not found")</f>
        <v>Bryan Higgins</v>
      </c>
      <c r="D1139">
        <f>_xlfn.XLOOKUP(tblOrders[[#This Row],[CustomerID]],tblCustomers[CustomerID],tblCustomers[Age],"not found")</f>
        <v>23</v>
      </c>
      <c r="E1139" t="str">
        <f>_xlfn.XLOOKUP(tblOrders[[#This Row],[CustomerID]],tblCustomers[CustomerID],tblCustomers[Gender],"not found")</f>
        <v>Female</v>
      </c>
      <c r="F1139" t="str">
        <f>_xlfn.XLOOKUP(tblOrders[[#This Row],[CustomerID]],tblCustomers[CustomerID],tblCustomers[Region],"not found")</f>
        <v>Central</v>
      </c>
      <c r="G1139">
        <v>1010</v>
      </c>
      <c r="H1139" t="str">
        <f>_xlfn.XLOOKUP(tblOrders[[#This Row],[ProductID]],tblProducts[ProductID],tblProducts[ProductName],"not found")</f>
        <v>Ready</v>
      </c>
      <c r="I1139" t="str">
        <f>_xlfn.XLOOKUP(tblOrders[[#This Row],[ProductID]],tblProducts[ProductID],tblProducts[Category],"not found")</f>
        <v>Apparel</v>
      </c>
      <c r="J1139">
        <f>_xlfn.XLOOKUP(tblOrders[[#This Row],[ProductID]],tblProducts[ProductID],tblProducts[UnitPrice],"not found")</f>
        <v>98.5</v>
      </c>
      <c r="K1139" t="str">
        <f>_xlfn.XLOOKUP(tblOrders[[#This Row],[ProductID]],tblProducts[ProductID],tblProducts[Supplier],"not found")</f>
        <v>Gilbert-Moreno</v>
      </c>
      <c r="L1139" s="1">
        <v>44906</v>
      </c>
      <c r="M11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44906</v>
      </c>
      <c r="N1139">
        <v>2</v>
      </c>
      <c r="O1139">
        <v>197</v>
      </c>
      <c r="P1139">
        <f>tblOrders[[#This Row],[Quantity]]*tblOrders[[#This Row],[Unit Price]]</f>
        <v>197</v>
      </c>
      <c r="Q1139">
        <f>tblOrders[[#This Row],[TotalSales]]-tblOrders[[#This Row],[Calculated Sales]]</f>
        <v>0</v>
      </c>
    </row>
    <row r="1140" spans="1:17" x14ac:dyDescent="0.25">
      <c r="A1140">
        <v>1405</v>
      </c>
      <c r="B1140">
        <v>186</v>
      </c>
      <c r="C1140" t="str">
        <f>_xlfn.XLOOKUP(tblOrders[[#This Row],[CustomerID]],tblCustomers[CustomerID],tblCustomers[CustomerName],"not found")</f>
        <v>Chase Ross</v>
      </c>
      <c r="D1140">
        <f>_xlfn.XLOOKUP(tblOrders[[#This Row],[CustomerID]],tblCustomers[CustomerID],tblCustomers[Age],"not found")</f>
        <v>43</v>
      </c>
      <c r="E1140" t="str">
        <f>_xlfn.XLOOKUP(tblOrders[[#This Row],[CustomerID]],tblCustomers[CustomerID],tblCustomers[Gender],"not found")</f>
        <v>Male</v>
      </c>
      <c r="F1140" t="str">
        <f>_xlfn.XLOOKUP(tblOrders[[#This Row],[CustomerID]],tblCustomers[CustomerID],tblCustomers[Region],"not found")</f>
        <v>Central</v>
      </c>
      <c r="G1140">
        <v>1010</v>
      </c>
      <c r="H1140" t="str">
        <f>_xlfn.XLOOKUP(tblOrders[[#This Row],[ProductID]],tblProducts[ProductID],tblProducts[ProductName],"not found")</f>
        <v>Ready</v>
      </c>
      <c r="I1140" t="str">
        <f>_xlfn.XLOOKUP(tblOrders[[#This Row],[ProductID]],tblProducts[ProductID],tblProducts[Category],"not found")</f>
        <v>Apparel</v>
      </c>
      <c r="J1140">
        <f>_xlfn.XLOOKUP(tblOrders[[#This Row],[ProductID]],tblProducts[ProductID],tblProducts[UnitPrice],"not found")</f>
        <v>98.5</v>
      </c>
      <c r="K1140" t="str">
        <f>_xlfn.XLOOKUP(tblOrders[[#This Row],[ProductID]],tblProducts[ProductID],tblProducts[Supplier],"not found")</f>
        <v>Gilbert-Moreno</v>
      </c>
      <c r="L1140" s="1">
        <v>45146</v>
      </c>
      <c r="M11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45146</v>
      </c>
      <c r="N1140">
        <v>9</v>
      </c>
      <c r="O1140">
        <v>886.5</v>
      </c>
      <c r="P1140">
        <f>tblOrders[[#This Row],[Quantity]]*tblOrders[[#This Row],[Unit Price]]</f>
        <v>886.5</v>
      </c>
      <c r="Q1140">
        <f>tblOrders[[#This Row],[TotalSales]]-tblOrders[[#This Row],[Calculated Sales]]</f>
        <v>0</v>
      </c>
    </row>
    <row r="1141" spans="1:17" x14ac:dyDescent="0.25">
      <c r="A1141">
        <v>1499</v>
      </c>
      <c r="B1141">
        <v>431</v>
      </c>
      <c r="C1141" t="str">
        <f>_xlfn.XLOOKUP(tblOrders[[#This Row],[CustomerID]],tblCustomers[CustomerID],tblCustomers[CustomerName],"not found")</f>
        <v>William Salazar</v>
      </c>
      <c r="D1141">
        <f>_xlfn.XLOOKUP(tblOrders[[#This Row],[CustomerID]],tblCustomers[CustomerID],tblCustomers[Age],"not found")</f>
        <v>20</v>
      </c>
      <c r="E1141" t="str">
        <f>_xlfn.XLOOKUP(tblOrders[[#This Row],[CustomerID]],tblCustomers[CustomerID],tblCustomers[Gender],"not found")</f>
        <v>Female</v>
      </c>
      <c r="F1141" t="str">
        <f>_xlfn.XLOOKUP(tblOrders[[#This Row],[CustomerID]],tblCustomers[CustomerID],tblCustomers[Region],"not found")</f>
        <v>West</v>
      </c>
      <c r="G1141">
        <v>1010</v>
      </c>
      <c r="H1141" t="str">
        <f>_xlfn.XLOOKUP(tblOrders[[#This Row],[ProductID]],tblProducts[ProductID],tblProducts[ProductName],"not found")</f>
        <v>Ready</v>
      </c>
      <c r="I1141" t="str">
        <f>_xlfn.XLOOKUP(tblOrders[[#This Row],[ProductID]],tblProducts[ProductID],tblProducts[Category],"not found")</f>
        <v>Apparel</v>
      </c>
      <c r="J1141">
        <f>_xlfn.XLOOKUP(tblOrders[[#This Row],[ProductID]],tblProducts[ProductID],tblProducts[UnitPrice],"not found")</f>
        <v>98.5</v>
      </c>
      <c r="K1141" t="str">
        <f>_xlfn.XLOOKUP(tblOrders[[#This Row],[ProductID]],tblProducts[ProductID],tblProducts[Supplier],"not found")</f>
        <v>Gilbert-Moreno</v>
      </c>
      <c r="L1141" s="1" t="s">
        <v>2366</v>
      </c>
      <c r="M11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45258</v>
      </c>
      <c r="N1141">
        <v>5</v>
      </c>
      <c r="O1141">
        <v>492.5</v>
      </c>
      <c r="P1141">
        <f>tblOrders[[#This Row],[Quantity]]*tblOrders[[#This Row],[Unit Price]]</f>
        <v>492.5</v>
      </c>
      <c r="Q1141">
        <f>tblOrders[[#This Row],[TotalSales]]-tblOrders[[#This Row],[Calculated Sales]]</f>
        <v>0</v>
      </c>
    </row>
    <row r="1142" spans="1:17" x14ac:dyDescent="0.25">
      <c r="A1142">
        <v>1564</v>
      </c>
      <c r="B1142">
        <v>495</v>
      </c>
      <c r="C1142" t="str">
        <f>_xlfn.XLOOKUP(tblOrders[[#This Row],[CustomerID]],tblCustomers[CustomerID],tblCustomers[CustomerName],"not found")</f>
        <v>Taylor Hernandez</v>
      </c>
      <c r="D1142">
        <f>_xlfn.XLOOKUP(tblOrders[[#This Row],[CustomerID]],tblCustomers[CustomerID],tblCustomers[Age],"not found")</f>
        <v>19</v>
      </c>
      <c r="E1142" t="str">
        <f>_xlfn.XLOOKUP(tblOrders[[#This Row],[CustomerID]],tblCustomers[CustomerID],tblCustomers[Gender],"not found")</f>
        <v>Male</v>
      </c>
      <c r="F1142" t="str">
        <f>_xlfn.XLOOKUP(tblOrders[[#This Row],[CustomerID]],tblCustomers[CustomerID],tblCustomers[Region],"not found")</f>
        <v>East</v>
      </c>
      <c r="G1142">
        <v>1010</v>
      </c>
      <c r="H1142" t="str">
        <f>_xlfn.XLOOKUP(tblOrders[[#This Row],[ProductID]],tblProducts[ProductID],tblProducts[ProductName],"not found")</f>
        <v>Ready</v>
      </c>
      <c r="I1142" t="str">
        <f>_xlfn.XLOOKUP(tblOrders[[#This Row],[ProductID]],tblProducts[ProductID],tblProducts[Category],"not found")</f>
        <v>Apparel</v>
      </c>
      <c r="J1142">
        <f>_xlfn.XLOOKUP(tblOrders[[#This Row],[ProductID]],tblProducts[ProductID],tblProducts[UnitPrice],"not found")</f>
        <v>98.5</v>
      </c>
      <c r="K1142" t="str">
        <f>_xlfn.XLOOKUP(tblOrders[[#This Row],[ProductID]],tblProducts[ProductID],tblProducts[Supplier],"not found")</f>
        <v>Gilbert-Moreno</v>
      </c>
      <c r="L1142" s="1">
        <v>44930</v>
      </c>
      <c r="M11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44930</v>
      </c>
      <c r="N1142">
        <v>7</v>
      </c>
      <c r="O1142">
        <v>689.5</v>
      </c>
      <c r="P1142">
        <f>tblOrders[[#This Row],[Quantity]]*tblOrders[[#This Row],[Unit Price]]</f>
        <v>689.5</v>
      </c>
      <c r="Q1142">
        <f>tblOrders[[#This Row],[TotalSales]]-tblOrders[[#This Row],[Calculated Sales]]</f>
        <v>0</v>
      </c>
    </row>
    <row r="1143" spans="1:17" x14ac:dyDescent="0.25">
      <c r="A1143">
        <v>1752</v>
      </c>
      <c r="B1143">
        <v>460</v>
      </c>
      <c r="C1143" t="str">
        <f>_xlfn.XLOOKUP(tblOrders[[#This Row],[CustomerID]],tblCustomers[CustomerID],tblCustomers[CustomerName],"not found")</f>
        <v>Jason Owen</v>
      </c>
      <c r="D1143">
        <f>_xlfn.XLOOKUP(tblOrders[[#This Row],[CustomerID]],tblCustomers[CustomerID],tblCustomers[Age],"not found")</f>
        <v>56</v>
      </c>
      <c r="E1143" t="str">
        <f>_xlfn.XLOOKUP(tblOrders[[#This Row],[CustomerID]],tblCustomers[CustomerID],tblCustomers[Gender],"not found")</f>
        <v>Male</v>
      </c>
      <c r="F1143" t="str">
        <f>_xlfn.XLOOKUP(tblOrders[[#This Row],[CustomerID]],tblCustomers[CustomerID],tblCustomers[Region],"not found")</f>
        <v>North</v>
      </c>
      <c r="G1143">
        <v>1010</v>
      </c>
      <c r="H1143" t="str">
        <f>_xlfn.XLOOKUP(tblOrders[[#This Row],[ProductID]],tblProducts[ProductID],tblProducts[ProductName],"not found")</f>
        <v>Ready</v>
      </c>
      <c r="I1143" t="str">
        <f>_xlfn.XLOOKUP(tblOrders[[#This Row],[ProductID]],tblProducts[ProductID],tblProducts[Category],"not found")</f>
        <v>Apparel</v>
      </c>
      <c r="J1143">
        <f>_xlfn.XLOOKUP(tblOrders[[#This Row],[ProductID]],tblProducts[ProductID],tblProducts[UnitPrice],"not found")</f>
        <v>98.5</v>
      </c>
      <c r="K1143" t="str">
        <f>_xlfn.XLOOKUP(tblOrders[[#This Row],[ProductID]],tblProducts[ProductID],tblProducts[Supplier],"not found")</f>
        <v>Gilbert-Moreno</v>
      </c>
      <c r="L1143" s="1" t="s">
        <v>2139</v>
      </c>
      <c r="M11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45442</v>
      </c>
      <c r="N1143">
        <v>9</v>
      </c>
      <c r="O1143">
        <v>886.5</v>
      </c>
      <c r="P1143">
        <f>tblOrders[[#This Row],[Quantity]]*tblOrders[[#This Row],[Unit Price]]</f>
        <v>886.5</v>
      </c>
      <c r="Q1143">
        <f>tblOrders[[#This Row],[TotalSales]]-tblOrders[[#This Row],[Calculated Sales]]</f>
        <v>0</v>
      </c>
    </row>
    <row r="1144" spans="1:17" x14ac:dyDescent="0.25">
      <c r="A1144">
        <v>77</v>
      </c>
      <c r="B1144">
        <v>780</v>
      </c>
      <c r="C1144" t="str">
        <f>_xlfn.XLOOKUP(tblOrders[[#This Row],[CustomerID]],tblCustomers[CustomerID],tblCustomers[CustomerName],"not found")</f>
        <v>Evelyn White</v>
      </c>
      <c r="D1144">
        <f>_xlfn.XLOOKUP(tblOrders[[#This Row],[CustomerID]],tblCustomers[CustomerID],tblCustomers[Age],"not found")</f>
        <v>26</v>
      </c>
      <c r="E1144" t="str">
        <f>_xlfn.XLOOKUP(tblOrders[[#This Row],[CustomerID]],tblCustomers[CustomerID],tblCustomers[Gender],"not found")</f>
        <v>Female</v>
      </c>
      <c r="F1144" t="str">
        <f>_xlfn.XLOOKUP(tblOrders[[#This Row],[CustomerID]],tblCustomers[CustomerID],tblCustomers[Region],"not found")</f>
        <v>Central</v>
      </c>
      <c r="G1144">
        <v>1043</v>
      </c>
      <c r="H1144" t="str">
        <f>_xlfn.XLOOKUP(tblOrders[[#This Row],[ProductID]],tblProducts[ProductID],tblProducts[ProductName],"not found")</f>
        <v>Rock</v>
      </c>
      <c r="I1144" t="str">
        <f>_xlfn.XLOOKUP(tblOrders[[#This Row],[ProductID]],tblProducts[ProductID],tblProducts[Category],"not found")</f>
        <v>Electronics</v>
      </c>
      <c r="J1144">
        <f>_xlfn.XLOOKUP(tblOrders[[#This Row],[ProductID]],tblProducts[ProductID],tblProducts[UnitPrice],"not found")</f>
        <v>377.27</v>
      </c>
      <c r="K1144" t="str">
        <f>_xlfn.XLOOKUP(tblOrders[[#This Row],[ProductID]],tblProducts[ProductID],tblProducts[Supplier],"not found")</f>
        <v>Harding-Miller</v>
      </c>
      <c r="L1144" s="1" t="s">
        <v>2148</v>
      </c>
      <c r="M11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45473</v>
      </c>
      <c r="N1144">
        <v>9</v>
      </c>
      <c r="O1144">
        <v>3395.43</v>
      </c>
      <c r="P1144">
        <f>tblOrders[[#This Row],[Quantity]]*tblOrders[[#This Row],[Unit Price]]</f>
        <v>3395.43</v>
      </c>
      <c r="Q1144">
        <f>tblOrders[[#This Row],[TotalSales]]-tblOrders[[#This Row],[Calculated Sales]]</f>
        <v>0</v>
      </c>
    </row>
    <row r="1145" spans="1:17" x14ac:dyDescent="0.25">
      <c r="A1145">
        <v>136</v>
      </c>
      <c r="B1145">
        <v>83</v>
      </c>
      <c r="C1145" t="str">
        <f>_xlfn.XLOOKUP(tblOrders[[#This Row],[CustomerID]],tblCustomers[CustomerID],tblCustomers[CustomerName],"not found")</f>
        <v>Juan Harper</v>
      </c>
      <c r="D1145">
        <f>_xlfn.XLOOKUP(tblOrders[[#This Row],[CustomerID]],tblCustomers[CustomerID],tblCustomers[Age],"not found")</f>
        <v>41</v>
      </c>
      <c r="E1145" t="str">
        <f>_xlfn.XLOOKUP(tblOrders[[#This Row],[CustomerID]],tblCustomers[CustomerID],tblCustomers[Gender],"not found")</f>
        <v>Male</v>
      </c>
      <c r="F1145" t="str">
        <f>_xlfn.XLOOKUP(tblOrders[[#This Row],[CustomerID]],tblCustomers[CustomerID],tblCustomers[Region],"not found")</f>
        <v>North</v>
      </c>
      <c r="G1145">
        <v>1043</v>
      </c>
      <c r="H1145" t="str">
        <f>_xlfn.XLOOKUP(tblOrders[[#This Row],[ProductID]],tblProducts[ProductID],tblProducts[ProductName],"not found")</f>
        <v>Rock</v>
      </c>
      <c r="I1145" t="str">
        <f>_xlfn.XLOOKUP(tblOrders[[#This Row],[ProductID]],tblProducts[ProductID],tblProducts[Category],"not found")</f>
        <v>Electronics</v>
      </c>
      <c r="J1145">
        <f>_xlfn.XLOOKUP(tblOrders[[#This Row],[ProductID]],tblProducts[ProductID],tblProducts[UnitPrice],"not found")</f>
        <v>377.27</v>
      </c>
      <c r="K1145" t="str">
        <f>_xlfn.XLOOKUP(tblOrders[[#This Row],[ProductID]],tblProducts[ProductID],tblProducts[Supplier],"not found")</f>
        <v>Harding-Miller</v>
      </c>
      <c r="L1145" s="1">
        <v>45118</v>
      </c>
      <c r="M11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45118</v>
      </c>
      <c r="N1145">
        <v>9</v>
      </c>
      <c r="O1145">
        <v>3395.43</v>
      </c>
      <c r="P1145">
        <f>tblOrders[[#This Row],[Quantity]]*tblOrders[[#This Row],[Unit Price]]</f>
        <v>3395.43</v>
      </c>
      <c r="Q1145">
        <f>tblOrders[[#This Row],[TotalSales]]-tblOrders[[#This Row],[Calculated Sales]]</f>
        <v>0</v>
      </c>
    </row>
    <row r="1146" spans="1:17" x14ac:dyDescent="0.25">
      <c r="A1146">
        <v>382</v>
      </c>
      <c r="B1146">
        <v>77</v>
      </c>
      <c r="C1146" t="str">
        <f>_xlfn.XLOOKUP(tblOrders[[#This Row],[CustomerID]],tblCustomers[CustomerID],tblCustomers[CustomerName],"not found")</f>
        <v>Melissa Flores</v>
      </c>
      <c r="D1146">
        <f>_xlfn.XLOOKUP(tblOrders[[#This Row],[CustomerID]],tblCustomers[CustomerID],tblCustomers[Age],"not found")</f>
        <v>69</v>
      </c>
      <c r="E1146" t="str">
        <f>_xlfn.XLOOKUP(tblOrders[[#This Row],[CustomerID]],tblCustomers[CustomerID],tblCustomers[Gender],"not found")</f>
        <v>Female</v>
      </c>
      <c r="F1146" t="str">
        <f>_xlfn.XLOOKUP(tblOrders[[#This Row],[CustomerID]],tblCustomers[CustomerID],tblCustomers[Region],"not found")</f>
        <v>Central</v>
      </c>
      <c r="G1146">
        <v>1043</v>
      </c>
      <c r="H1146" t="str">
        <f>_xlfn.XLOOKUP(tblOrders[[#This Row],[ProductID]],tblProducts[ProductID],tblProducts[ProductName],"not found")</f>
        <v>Rock</v>
      </c>
      <c r="I1146" t="str">
        <f>_xlfn.XLOOKUP(tblOrders[[#This Row],[ProductID]],tblProducts[ProductID],tblProducts[Category],"not found")</f>
        <v>Electronics</v>
      </c>
      <c r="J1146">
        <f>_xlfn.XLOOKUP(tblOrders[[#This Row],[ProductID]],tblProducts[ProductID],tblProducts[UnitPrice],"not found")</f>
        <v>377.27</v>
      </c>
      <c r="K1146" t="str">
        <f>_xlfn.XLOOKUP(tblOrders[[#This Row],[ProductID]],tblProducts[ProductID],tblProducts[Supplier],"not found")</f>
        <v>Harding-Miller</v>
      </c>
      <c r="L1146" s="1">
        <v>45447</v>
      </c>
      <c r="M11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45447</v>
      </c>
      <c r="N1146">
        <v>5</v>
      </c>
      <c r="O1146">
        <v>1886.35</v>
      </c>
      <c r="P1146">
        <f>tblOrders[[#This Row],[Quantity]]*tblOrders[[#This Row],[Unit Price]]</f>
        <v>1886.35</v>
      </c>
      <c r="Q1146">
        <f>tblOrders[[#This Row],[TotalSales]]-tblOrders[[#This Row],[Calculated Sales]]</f>
        <v>0</v>
      </c>
    </row>
    <row r="1147" spans="1:17" x14ac:dyDescent="0.25">
      <c r="A1147">
        <v>507</v>
      </c>
      <c r="B1147">
        <v>307</v>
      </c>
      <c r="C1147" t="str">
        <f>_xlfn.XLOOKUP(tblOrders[[#This Row],[CustomerID]],tblCustomers[CustomerID],tblCustomers[CustomerName],"not found")</f>
        <v>Theresa Edwards</v>
      </c>
      <c r="D1147">
        <f>_xlfn.XLOOKUP(tblOrders[[#This Row],[CustomerID]],tblCustomers[CustomerID],tblCustomers[Age],"not found")</f>
        <v>20</v>
      </c>
      <c r="E1147" t="str">
        <f>_xlfn.XLOOKUP(tblOrders[[#This Row],[CustomerID]],tblCustomers[CustomerID],tblCustomers[Gender],"not found")</f>
        <v>Male</v>
      </c>
      <c r="F1147" t="str">
        <f>_xlfn.XLOOKUP(tblOrders[[#This Row],[CustomerID]],tblCustomers[CustomerID],tblCustomers[Region],"not found")</f>
        <v>South</v>
      </c>
      <c r="G1147">
        <v>1043</v>
      </c>
      <c r="H1147" t="str">
        <f>_xlfn.XLOOKUP(tblOrders[[#This Row],[ProductID]],tblProducts[ProductID],tblProducts[ProductName],"not found")</f>
        <v>Rock</v>
      </c>
      <c r="I1147" t="str">
        <f>_xlfn.XLOOKUP(tblOrders[[#This Row],[ProductID]],tblProducts[ProductID],tblProducts[Category],"not found")</f>
        <v>Electronics</v>
      </c>
      <c r="J1147">
        <f>_xlfn.XLOOKUP(tblOrders[[#This Row],[ProductID]],tblProducts[ProductID],tblProducts[UnitPrice],"not found")</f>
        <v>377.27</v>
      </c>
      <c r="K1147" t="str">
        <f>_xlfn.XLOOKUP(tblOrders[[#This Row],[ProductID]],tblProducts[ProductID],tblProducts[Supplier],"not found")</f>
        <v>Harding-Miller</v>
      </c>
      <c r="L1147" s="1">
        <v>45171</v>
      </c>
      <c r="M11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45171</v>
      </c>
      <c r="N1147">
        <v>2</v>
      </c>
      <c r="O1147">
        <v>754.54</v>
      </c>
      <c r="P1147">
        <f>tblOrders[[#This Row],[Quantity]]*tblOrders[[#This Row],[Unit Price]]</f>
        <v>754.54</v>
      </c>
      <c r="Q1147">
        <f>tblOrders[[#This Row],[TotalSales]]-tblOrders[[#This Row],[Calculated Sales]]</f>
        <v>0</v>
      </c>
    </row>
    <row r="1148" spans="1:17" x14ac:dyDescent="0.25">
      <c r="A1148">
        <v>521</v>
      </c>
      <c r="B1148">
        <v>330</v>
      </c>
      <c r="C1148" t="str">
        <f>_xlfn.XLOOKUP(tblOrders[[#This Row],[CustomerID]],tblCustomers[CustomerID],tblCustomers[CustomerName],"not found")</f>
        <v>Dana Mccullough</v>
      </c>
      <c r="D1148">
        <f>_xlfn.XLOOKUP(tblOrders[[#This Row],[CustomerID]],tblCustomers[CustomerID],tblCustomers[Age],"not found")</f>
        <v>29</v>
      </c>
      <c r="E1148" t="str">
        <f>_xlfn.XLOOKUP(tblOrders[[#This Row],[CustomerID]],tblCustomers[CustomerID],tblCustomers[Gender],"not found")</f>
        <v>Male</v>
      </c>
      <c r="F1148" t="str">
        <f>_xlfn.XLOOKUP(tblOrders[[#This Row],[CustomerID]],tblCustomers[CustomerID],tblCustomers[Region],"not found")</f>
        <v>South</v>
      </c>
      <c r="G1148">
        <v>1043</v>
      </c>
      <c r="H1148" t="str">
        <f>_xlfn.XLOOKUP(tblOrders[[#This Row],[ProductID]],tblProducts[ProductID],tblProducts[ProductName],"not found")</f>
        <v>Rock</v>
      </c>
      <c r="I1148" t="str">
        <f>_xlfn.XLOOKUP(tblOrders[[#This Row],[ProductID]],tblProducts[ProductID],tblProducts[Category],"not found")</f>
        <v>Electronics</v>
      </c>
      <c r="J1148">
        <f>_xlfn.XLOOKUP(tblOrders[[#This Row],[ProductID]],tblProducts[ProductID],tblProducts[UnitPrice],"not found")</f>
        <v>377.27</v>
      </c>
      <c r="K1148" t="str">
        <f>_xlfn.XLOOKUP(tblOrders[[#This Row],[ProductID]],tblProducts[ProductID],tblProducts[Supplier],"not found")</f>
        <v>Harding-Miller</v>
      </c>
      <c r="L1148" s="1" t="s">
        <v>2052</v>
      </c>
      <c r="M11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44980</v>
      </c>
      <c r="N1148">
        <v>9</v>
      </c>
      <c r="O1148">
        <v>3395.43</v>
      </c>
      <c r="P1148">
        <f>tblOrders[[#This Row],[Quantity]]*tblOrders[[#This Row],[Unit Price]]</f>
        <v>3395.43</v>
      </c>
      <c r="Q1148">
        <f>tblOrders[[#This Row],[TotalSales]]-tblOrders[[#This Row],[Calculated Sales]]</f>
        <v>0</v>
      </c>
    </row>
    <row r="1149" spans="1:17" x14ac:dyDescent="0.25">
      <c r="A1149">
        <v>715</v>
      </c>
      <c r="B1149">
        <v>201</v>
      </c>
      <c r="C1149" t="str">
        <f>_xlfn.XLOOKUP(tblOrders[[#This Row],[CustomerID]],tblCustomers[CustomerID],tblCustomers[CustomerName],"not found")</f>
        <v>Caroline Miller</v>
      </c>
      <c r="D1149">
        <f>_xlfn.XLOOKUP(tblOrders[[#This Row],[CustomerID]],tblCustomers[CustomerID],tblCustomers[Age],"not found")</f>
        <v>23</v>
      </c>
      <c r="E1149" t="str">
        <f>_xlfn.XLOOKUP(tblOrders[[#This Row],[CustomerID]],tblCustomers[CustomerID],tblCustomers[Gender],"not found")</f>
        <v>Male</v>
      </c>
      <c r="F1149" t="str">
        <f>_xlfn.XLOOKUP(tblOrders[[#This Row],[CustomerID]],tblCustomers[CustomerID],tblCustomers[Region],"not found")</f>
        <v>South</v>
      </c>
      <c r="G1149">
        <v>1043</v>
      </c>
      <c r="H1149" t="str">
        <f>_xlfn.XLOOKUP(tblOrders[[#This Row],[ProductID]],tblProducts[ProductID],tblProducts[ProductName],"not found")</f>
        <v>Rock</v>
      </c>
      <c r="I1149" t="str">
        <f>_xlfn.XLOOKUP(tblOrders[[#This Row],[ProductID]],tblProducts[ProductID],tblProducts[Category],"not found")</f>
        <v>Electronics</v>
      </c>
      <c r="J1149">
        <f>_xlfn.XLOOKUP(tblOrders[[#This Row],[ProductID]],tblProducts[ProductID],tblProducts[UnitPrice],"not found")</f>
        <v>377.27</v>
      </c>
      <c r="K1149" t="str">
        <f>_xlfn.XLOOKUP(tblOrders[[#This Row],[ProductID]],tblProducts[ProductID],tblProducts[Supplier],"not found")</f>
        <v>Harding-Miller</v>
      </c>
      <c r="L1149" s="1">
        <v>45240</v>
      </c>
      <c r="M11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45240</v>
      </c>
      <c r="N1149">
        <v>2</v>
      </c>
      <c r="O1149">
        <v>754.54</v>
      </c>
      <c r="P1149">
        <f>tblOrders[[#This Row],[Quantity]]*tblOrders[[#This Row],[Unit Price]]</f>
        <v>754.54</v>
      </c>
      <c r="Q1149">
        <f>tblOrders[[#This Row],[TotalSales]]-tblOrders[[#This Row],[Calculated Sales]]</f>
        <v>0</v>
      </c>
    </row>
    <row r="1150" spans="1:17" x14ac:dyDescent="0.25">
      <c r="A1150">
        <v>724</v>
      </c>
      <c r="B1150">
        <v>496</v>
      </c>
      <c r="C1150" t="str">
        <f>_xlfn.XLOOKUP(tblOrders[[#This Row],[CustomerID]],tblCustomers[CustomerID],tblCustomers[CustomerName],"not found")</f>
        <v>Jack Phillips</v>
      </c>
      <c r="D1150">
        <f>_xlfn.XLOOKUP(tblOrders[[#This Row],[CustomerID]],tblCustomers[CustomerID],tblCustomers[Age],"not found")</f>
        <v>68</v>
      </c>
      <c r="E1150" t="str">
        <f>_xlfn.XLOOKUP(tblOrders[[#This Row],[CustomerID]],tblCustomers[CustomerID],tblCustomers[Gender],"not found")</f>
        <v>Male</v>
      </c>
      <c r="F1150" t="str">
        <f>_xlfn.XLOOKUP(tblOrders[[#This Row],[CustomerID]],tblCustomers[CustomerID],tblCustomers[Region],"not found")</f>
        <v>East</v>
      </c>
      <c r="G1150">
        <v>1043</v>
      </c>
      <c r="H1150" t="str">
        <f>_xlfn.XLOOKUP(tblOrders[[#This Row],[ProductID]],tblProducts[ProductID],tblProducts[ProductName],"not found")</f>
        <v>Rock</v>
      </c>
      <c r="I1150" t="str">
        <f>_xlfn.XLOOKUP(tblOrders[[#This Row],[ProductID]],tblProducts[ProductID],tblProducts[Category],"not found")</f>
        <v>Electronics</v>
      </c>
      <c r="J1150">
        <f>_xlfn.XLOOKUP(tblOrders[[#This Row],[ProductID]],tblProducts[ProductID],tblProducts[UnitPrice],"not found")</f>
        <v>377.27</v>
      </c>
      <c r="K1150" t="str">
        <f>_xlfn.XLOOKUP(tblOrders[[#This Row],[ProductID]],tblProducts[ProductID],tblProducts[Supplier],"not found")</f>
        <v>Harding-Miller</v>
      </c>
      <c r="L1150" s="1" t="s">
        <v>2236</v>
      </c>
      <c r="M11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45137</v>
      </c>
      <c r="N1150">
        <v>1</v>
      </c>
      <c r="O1150">
        <v>377.27</v>
      </c>
      <c r="P1150">
        <f>tblOrders[[#This Row],[Quantity]]*tblOrders[[#This Row],[Unit Price]]</f>
        <v>377.27</v>
      </c>
      <c r="Q1150">
        <f>tblOrders[[#This Row],[TotalSales]]-tblOrders[[#This Row],[Calculated Sales]]</f>
        <v>0</v>
      </c>
    </row>
    <row r="1151" spans="1:17" x14ac:dyDescent="0.25">
      <c r="A1151">
        <v>775</v>
      </c>
      <c r="B1151">
        <v>152</v>
      </c>
      <c r="C1151" t="str">
        <f>_xlfn.XLOOKUP(tblOrders[[#This Row],[CustomerID]],tblCustomers[CustomerID],tblCustomers[CustomerName],"not found")</f>
        <v>Leah Donaldson</v>
      </c>
      <c r="D1151">
        <f>_xlfn.XLOOKUP(tblOrders[[#This Row],[CustomerID]],tblCustomers[CustomerID],tblCustomers[Age],"not found")</f>
        <v>24</v>
      </c>
      <c r="E1151" t="str">
        <f>_xlfn.XLOOKUP(tblOrders[[#This Row],[CustomerID]],tblCustomers[CustomerID],tblCustomers[Gender],"not found")</f>
        <v>Male</v>
      </c>
      <c r="F1151" t="str">
        <f>_xlfn.XLOOKUP(tblOrders[[#This Row],[CustomerID]],tblCustomers[CustomerID],tblCustomers[Region],"not found")</f>
        <v>South</v>
      </c>
      <c r="G1151">
        <v>1043</v>
      </c>
      <c r="H1151" t="str">
        <f>_xlfn.XLOOKUP(tblOrders[[#This Row],[ProductID]],tblProducts[ProductID],tblProducts[ProductName],"not found")</f>
        <v>Rock</v>
      </c>
      <c r="I1151" t="str">
        <f>_xlfn.XLOOKUP(tblOrders[[#This Row],[ProductID]],tblProducts[ProductID],tblProducts[Category],"not found")</f>
        <v>Electronics</v>
      </c>
      <c r="J1151">
        <f>_xlfn.XLOOKUP(tblOrders[[#This Row],[ProductID]],tblProducts[ProductID],tblProducts[UnitPrice],"not found")</f>
        <v>377.27</v>
      </c>
      <c r="K1151" t="str">
        <f>_xlfn.XLOOKUP(tblOrders[[#This Row],[ProductID]],tblProducts[ProductID],tblProducts[Supplier],"not found")</f>
        <v>Harding-Miller</v>
      </c>
      <c r="L1151" s="1">
        <v>44816</v>
      </c>
      <c r="M11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44816</v>
      </c>
      <c r="N1151">
        <v>6</v>
      </c>
      <c r="O1151">
        <v>2263.62</v>
      </c>
      <c r="P1151">
        <f>tblOrders[[#This Row],[Quantity]]*tblOrders[[#This Row],[Unit Price]]</f>
        <v>2263.62</v>
      </c>
      <c r="Q1151">
        <f>tblOrders[[#This Row],[TotalSales]]-tblOrders[[#This Row],[Calculated Sales]]</f>
        <v>0</v>
      </c>
    </row>
    <row r="1152" spans="1:17" x14ac:dyDescent="0.25">
      <c r="A1152">
        <v>822</v>
      </c>
      <c r="B1152">
        <v>508</v>
      </c>
      <c r="C1152" t="str">
        <f>_xlfn.XLOOKUP(tblOrders[[#This Row],[CustomerID]],tblCustomers[CustomerID],tblCustomers[CustomerName],"not found")</f>
        <v>George Kidd</v>
      </c>
      <c r="D1152">
        <f>_xlfn.XLOOKUP(tblOrders[[#This Row],[CustomerID]],tblCustomers[CustomerID],tblCustomers[Age],"not found")</f>
        <v>58</v>
      </c>
      <c r="E1152" t="str">
        <f>_xlfn.XLOOKUP(tblOrders[[#This Row],[CustomerID]],tblCustomers[CustomerID],tblCustomers[Gender],"not found")</f>
        <v>Female</v>
      </c>
      <c r="F1152" t="str">
        <f>_xlfn.XLOOKUP(tblOrders[[#This Row],[CustomerID]],tblCustomers[CustomerID],tblCustomers[Region],"not found")</f>
        <v>South</v>
      </c>
      <c r="G1152">
        <v>1043</v>
      </c>
      <c r="H1152" t="str">
        <f>_xlfn.XLOOKUP(tblOrders[[#This Row],[ProductID]],tblProducts[ProductID],tblProducts[ProductName],"not found")</f>
        <v>Rock</v>
      </c>
      <c r="I1152" t="str">
        <f>_xlfn.XLOOKUP(tblOrders[[#This Row],[ProductID]],tblProducts[ProductID],tblProducts[Category],"not found")</f>
        <v>Electronics</v>
      </c>
      <c r="J1152">
        <f>_xlfn.XLOOKUP(tblOrders[[#This Row],[ProductID]],tblProducts[ProductID],tblProducts[UnitPrice],"not found")</f>
        <v>377.27</v>
      </c>
      <c r="K1152" t="str">
        <f>_xlfn.XLOOKUP(tblOrders[[#This Row],[ProductID]],tblProducts[ProductID],tblProducts[Supplier],"not found")</f>
        <v>Harding-Miller</v>
      </c>
      <c r="L1152" s="1" t="s">
        <v>2367</v>
      </c>
      <c r="M11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45406</v>
      </c>
      <c r="N1152">
        <v>6</v>
      </c>
      <c r="O1152">
        <v>2263.62</v>
      </c>
      <c r="P1152">
        <f>tblOrders[[#This Row],[Quantity]]*tblOrders[[#This Row],[Unit Price]]</f>
        <v>2263.62</v>
      </c>
      <c r="Q1152">
        <f>tblOrders[[#This Row],[TotalSales]]-tblOrders[[#This Row],[Calculated Sales]]</f>
        <v>0</v>
      </c>
    </row>
    <row r="1153" spans="1:17" x14ac:dyDescent="0.25">
      <c r="A1153">
        <v>943</v>
      </c>
      <c r="B1153">
        <v>858</v>
      </c>
      <c r="C1153" t="str">
        <f>_xlfn.XLOOKUP(tblOrders[[#This Row],[CustomerID]],tblCustomers[CustomerID],tblCustomers[CustomerName],"not found")</f>
        <v>Jacob Nelson</v>
      </c>
      <c r="D1153">
        <f>_xlfn.XLOOKUP(tblOrders[[#This Row],[CustomerID]],tblCustomers[CustomerID],tblCustomers[Age],"not found")</f>
        <v>32</v>
      </c>
      <c r="E1153" t="str">
        <f>_xlfn.XLOOKUP(tblOrders[[#This Row],[CustomerID]],tblCustomers[CustomerID],tblCustomers[Gender],"not found")</f>
        <v>Female</v>
      </c>
      <c r="F1153" t="str">
        <f>_xlfn.XLOOKUP(tblOrders[[#This Row],[CustomerID]],tblCustomers[CustomerID],tblCustomers[Region],"not found")</f>
        <v>West</v>
      </c>
      <c r="G1153">
        <v>1043</v>
      </c>
      <c r="H1153" t="str">
        <f>_xlfn.XLOOKUP(tblOrders[[#This Row],[ProductID]],tblProducts[ProductID],tblProducts[ProductName],"not found")</f>
        <v>Rock</v>
      </c>
      <c r="I1153" t="str">
        <f>_xlfn.XLOOKUP(tblOrders[[#This Row],[ProductID]],tblProducts[ProductID],tblProducts[Category],"not found")</f>
        <v>Electronics</v>
      </c>
      <c r="J1153">
        <f>_xlfn.XLOOKUP(tblOrders[[#This Row],[ProductID]],tblProducts[ProductID],tblProducts[UnitPrice],"not found")</f>
        <v>377.27</v>
      </c>
      <c r="K1153" t="str">
        <f>_xlfn.XLOOKUP(tblOrders[[#This Row],[ProductID]],tblProducts[ProductID],tblProducts[Supplier],"not found")</f>
        <v>Harding-Miller</v>
      </c>
      <c r="L1153" s="1" t="s">
        <v>2350</v>
      </c>
      <c r="M11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44952</v>
      </c>
      <c r="N1153">
        <v>5</v>
      </c>
      <c r="O1153">
        <v>1886.35</v>
      </c>
      <c r="P1153">
        <f>tblOrders[[#This Row],[Quantity]]*tblOrders[[#This Row],[Unit Price]]</f>
        <v>1886.35</v>
      </c>
      <c r="Q1153">
        <f>tblOrders[[#This Row],[TotalSales]]-tblOrders[[#This Row],[Calculated Sales]]</f>
        <v>0</v>
      </c>
    </row>
    <row r="1154" spans="1:17" x14ac:dyDescent="0.25">
      <c r="A1154">
        <v>1079</v>
      </c>
      <c r="B1154">
        <v>895</v>
      </c>
      <c r="C1154" t="str">
        <f>_xlfn.XLOOKUP(tblOrders[[#This Row],[CustomerID]],tblCustomers[CustomerID],tblCustomers[CustomerName],"not found")</f>
        <v>Tommy Lambert</v>
      </c>
      <c r="D1154">
        <f>_xlfn.XLOOKUP(tblOrders[[#This Row],[CustomerID]],tblCustomers[CustomerID],tblCustomers[Age],"not found")</f>
        <v>56</v>
      </c>
      <c r="E1154" t="str">
        <f>_xlfn.XLOOKUP(tblOrders[[#This Row],[CustomerID]],tblCustomers[CustomerID],tblCustomers[Gender],"not found")</f>
        <v>Female</v>
      </c>
      <c r="F1154" t="str">
        <f>_xlfn.XLOOKUP(tblOrders[[#This Row],[CustomerID]],tblCustomers[CustomerID],tblCustomers[Region],"not found")</f>
        <v>West</v>
      </c>
      <c r="G1154">
        <v>1043</v>
      </c>
      <c r="H1154" t="str">
        <f>_xlfn.XLOOKUP(tblOrders[[#This Row],[ProductID]],tblProducts[ProductID],tblProducts[ProductName],"not found")</f>
        <v>Rock</v>
      </c>
      <c r="I1154" t="str">
        <f>_xlfn.XLOOKUP(tblOrders[[#This Row],[ProductID]],tblProducts[ProductID],tblProducts[Category],"not found")</f>
        <v>Electronics</v>
      </c>
      <c r="J1154">
        <f>_xlfn.XLOOKUP(tblOrders[[#This Row],[ProductID]],tblProducts[ProductID],tblProducts[UnitPrice],"not found")</f>
        <v>377.27</v>
      </c>
      <c r="K1154" t="str">
        <f>_xlfn.XLOOKUP(tblOrders[[#This Row],[ProductID]],tblProducts[ProductID],tblProducts[Supplier],"not found")</f>
        <v>Harding-Miller</v>
      </c>
      <c r="L1154" s="1">
        <v>45514</v>
      </c>
      <c r="M11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45514</v>
      </c>
      <c r="N1154">
        <v>1</v>
      </c>
      <c r="O1154">
        <v>377.27</v>
      </c>
      <c r="P1154">
        <f>tblOrders[[#This Row],[Quantity]]*tblOrders[[#This Row],[Unit Price]]</f>
        <v>377.27</v>
      </c>
      <c r="Q1154">
        <f>tblOrders[[#This Row],[TotalSales]]-tblOrders[[#This Row],[Calculated Sales]]</f>
        <v>0</v>
      </c>
    </row>
    <row r="1155" spans="1:17" x14ac:dyDescent="0.25">
      <c r="A1155">
        <v>1084</v>
      </c>
      <c r="B1155">
        <v>90</v>
      </c>
      <c r="C1155" t="str">
        <f>_xlfn.XLOOKUP(tblOrders[[#This Row],[CustomerID]],tblCustomers[CustomerID],tblCustomers[CustomerName],"not found")</f>
        <v>Karen Luna</v>
      </c>
      <c r="D1155">
        <f>_xlfn.XLOOKUP(tblOrders[[#This Row],[CustomerID]],tblCustomers[CustomerID],tblCustomers[Age],"not found")</f>
        <v>35</v>
      </c>
      <c r="E1155" t="str">
        <f>_xlfn.XLOOKUP(tblOrders[[#This Row],[CustomerID]],tblCustomers[CustomerID],tblCustomers[Gender],"not found")</f>
        <v>Male</v>
      </c>
      <c r="F1155" t="str">
        <f>_xlfn.XLOOKUP(tblOrders[[#This Row],[CustomerID]],tblCustomers[CustomerID],tblCustomers[Region],"not found")</f>
        <v>West</v>
      </c>
      <c r="G1155">
        <v>1043</v>
      </c>
      <c r="H1155" t="str">
        <f>_xlfn.XLOOKUP(tblOrders[[#This Row],[ProductID]],tblProducts[ProductID],tblProducts[ProductName],"not found")</f>
        <v>Rock</v>
      </c>
      <c r="I1155" t="str">
        <f>_xlfn.XLOOKUP(tblOrders[[#This Row],[ProductID]],tblProducts[ProductID],tblProducts[Category],"not found")</f>
        <v>Electronics</v>
      </c>
      <c r="J1155">
        <f>_xlfn.XLOOKUP(tblOrders[[#This Row],[ProductID]],tblProducts[ProductID],tblProducts[UnitPrice],"not found")</f>
        <v>377.27</v>
      </c>
      <c r="K1155" t="str">
        <f>_xlfn.XLOOKUP(tblOrders[[#This Row],[ProductID]],tblProducts[ProductID],tblProducts[Supplier],"not found")</f>
        <v>Harding-Miller</v>
      </c>
      <c r="L1155" s="1" t="s">
        <v>2098</v>
      </c>
      <c r="M11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44919</v>
      </c>
      <c r="N1155">
        <v>4</v>
      </c>
      <c r="O1155">
        <v>1509.08</v>
      </c>
      <c r="P1155">
        <f>tblOrders[[#This Row],[Quantity]]*tblOrders[[#This Row],[Unit Price]]</f>
        <v>1509.08</v>
      </c>
      <c r="Q1155">
        <f>tblOrders[[#This Row],[TotalSales]]-tblOrders[[#This Row],[Calculated Sales]]</f>
        <v>0</v>
      </c>
    </row>
    <row r="1156" spans="1:17" x14ac:dyDescent="0.25">
      <c r="A1156">
        <v>1234</v>
      </c>
      <c r="B1156">
        <v>563</v>
      </c>
      <c r="C1156" t="str">
        <f>_xlfn.XLOOKUP(tblOrders[[#This Row],[CustomerID]],tblCustomers[CustomerID],tblCustomers[CustomerName],"not found")</f>
        <v>Timothy Robertson</v>
      </c>
      <c r="D1156">
        <f>_xlfn.XLOOKUP(tblOrders[[#This Row],[CustomerID]],tblCustomers[CustomerID],tblCustomers[Age],"not found")</f>
        <v>52</v>
      </c>
      <c r="E1156" t="str">
        <f>_xlfn.XLOOKUP(tblOrders[[#This Row],[CustomerID]],tblCustomers[CustomerID],tblCustomers[Gender],"not found")</f>
        <v>Male</v>
      </c>
      <c r="F1156" t="str">
        <f>_xlfn.XLOOKUP(tblOrders[[#This Row],[CustomerID]],tblCustomers[CustomerID],tblCustomers[Region],"not found")</f>
        <v>North</v>
      </c>
      <c r="G1156">
        <v>1043</v>
      </c>
      <c r="H1156" t="str">
        <f>_xlfn.XLOOKUP(tblOrders[[#This Row],[ProductID]],tblProducts[ProductID],tblProducts[ProductName],"not found")</f>
        <v>Rock</v>
      </c>
      <c r="I1156" t="str">
        <f>_xlfn.XLOOKUP(tblOrders[[#This Row],[ProductID]],tblProducts[ProductID],tblProducts[Category],"not found")</f>
        <v>Electronics</v>
      </c>
      <c r="J1156">
        <f>_xlfn.XLOOKUP(tblOrders[[#This Row],[ProductID]],tblProducts[ProductID],tblProducts[UnitPrice],"not found")</f>
        <v>377.27</v>
      </c>
      <c r="K1156" t="str">
        <f>_xlfn.XLOOKUP(tblOrders[[#This Row],[ProductID]],tblProducts[ProductID],tblProducts[Supplier],"not found")</f>
        <v>Harding-Miller</v>
      </c>
      <c r="L1156" s="1" t="s">
        <v>2045</v>
      </c>
      <c r="M11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45168</v>
      </c>
      <c r="N1156">
        <v>2</v>
      </c>
      <c r="O1156">
        <v>754.54</v>
      </c>
      <c r="P1156">
        <f>tblOrders[[#This Row],[Quantity]]*tblOrders[[#This Row],[Unit Price]]</f>
        <v>754.54</v>
      </c>
      <c r="Q1156">
        <f>tblOrders[[#This Row],[TotalSales]]-tblOrders[[#This Row],[Calculated Sales]]</f>
        <v>0</v>
      </c>
    </row>
    <row r="1157" spans="1:17" x14ac:dyDescent="0.25">
      <c r="A1157">
        <v>1258</v>
      </c>
      <c r="B1157">
        <v>794</v>
      </c>
      <c r="C1157" t="str">
        <f>_xlfn.XLOOKUP(tblOrders[[#This Row],[CustomerID]],tblCustomers[CustomerID],tblCustomers[CustomerName],"not found")</f>
        <v>Alexandra Rogers</v>
      </c>
      <c r="D1157">
        <f>_xlfn.XLOOKUP(tblOrders[[#This Row],[CustomerID]],tblCustomers[CustomerID],tblCustomers[Age],"not found")</f>
        <v>65</v>
      </c>
      <c r="E1157" t="str">
        <f>_xlfn.XLOOKUP(tblOrders[[#This Row],[CustomerID]],tblCustomers[CustomerID],tblCustomers[Gender],"not found")</f>
        <v>Male</v>
      </c>
      <c r="F1157" t="str">
        <f>_xlfn.XLOOKUP(tblOrders[[#This Row],[CustomerID]],tblCustomers[CustomerID],tblCustomers[Region],"not found")</f>
        <v>North</v>
      </c>
      <c r="G1157">
        <v>1043</v>
      </c>
      <c r="H1157" t="str">
        <f>_xlfn.XLOOKUP(tblOrders[[#This Row],[ProductID]],tblProducts[ProductID],tblProducts[ProductName],"not found")</f>
        <v>Rock</v>
      </c>
      <c r="I1157" t="str">
        <f>_xlfn.XLOOKUP(tblOrders[[#This Row],[ProductID]],tblProducts[ProductID],tblProducts[Category],"not found")</f>
        <v>Electronics</v>
      </c>
      <c r="J1157">
        <f>_xlfn.XLOOKUP(tblOrders[[#This Row],[ProductID]],tblProducts[ProductID],tblProducts[UnitPrice],"not found")</f>
        <v>377.27</v>
      </c>
      <c r="K1157" t="str">
        <f>_xlfn.XLOOKUP(tblOrders[[#This Row],[ProductID]],tblProducts[ProductID],tblProducts[Supplier],"not found")</f>
        <v>Harding-Miller</v>
      </c>
      <c r="L1157" s="1" t="s">
        <v>2338</v>
      </c>
      <c r="M11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45093</v>
      </c>
      <c r="N1157">
        <v>7</v>
      </c>
      <c r="O1157">
        <v>2640.89</v>
      </c>
      <c r="P1157">
        <f>tblOrders[[#This Row],[Quantity]]*tblOrders[[#This Row],[Unit Price]]</f>
        <v>2640.89</v>
      </c>
      <c r="Q1157">
        <f>tblOrders[[#This Row],[TotalSales]]-tblOrders[[#This Row],[Calculated Sales]]</f>
        <v>0</v>
      </c>
    </row>
    <row r="1158" spans="1:17" x14ac:dyDescent="0.25">
      <c r="A1158">
        <v>1500</v>
      </c>
      <c r="B1158">
        <v>722</v>
      </c>
      <c r="C1158" t="str">
        <f>_xlfn.XLOOKUP(tblOrders[[#This Row],[CustomerID]],tblCustomers[CustomerID],tblCustomers[CustomerName],"not found")</f>
        <v>Kimberly Martinez</v>
      </c>
      <c r="D1158">
        <f>_xlfn.XLOOKUP(tblOrders[[#This Row],[CustomerID]],tblCustomers[CustomerID],tblCustomers[Age],"not found")</f>
        <v>35</v>
      </c>
      <c r="E1158" t="str">
        <f>_xlfn.XLOOKUP(tblOrders[[#This Row],[CustomerID]],tblCustomers[CustomerID],tblCustomers[Gender],"not found")</f>
        <v>Male</v>
      </c>
      <c r="F1158" t="str">
        <f>_xlfn.XLOOKUP(tblOrders[[#This Row],[CustomerID]],tblCustomers[CustomerID],tblCustomers[Region],"not found")</f>
        <v>Central</v>
      </c>
      <c r="G1158">
        <v>1043</v>
      </c>
      <c r="H1158" t="str">
        <f>_xlfn.XLOOKUP(tblOrders[[#This Row],[ProductID]],tblProducts[ProductID],tblProducts[ProductName],"not found")</f>
        <v>Rock</v>
      </c>
      <c r="I1158" t="str">
        <f>_xlfn.XLOOKUP(tblOrders[[#This Row],[ProductID]],tblProducts[ProductID],tblProducts[Category],"not found")</f>
        <v>Electronics</v>
      </c>
      <c r="J1158">
        <f>_xlfn.XLOOKUP(tblOrders[[#This Row],[ProductID]],tblProducts[ProductID],tblProducts[UnitPrice],"not found")</f>
        <v>377.27</v>
      </c>
      <c r="K1158" t="str">
        <f>_xlfn.XLOOKUP(tblOrders[[#This Row],[ProductID]],tblProducts[ProductID],tblProducts[Supplier],"not found")</f>
        <v>Harding-Miller</v>
      </c>
      <c r="L1158" s="1" t="s">
        <v>2256</v>
      </c>
      <c r="M11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45011</v>
      </c>
      <c r="N1158">
        <v>2</v>
      </c>
      <c r="O1158">
        <v>754.54</v>
      </c>
      <c r="P1158">
        <f>tblOrders[[#This Row],[Quantity]]*tblOrders[[#This Row],[Unit Price]]</f>
        <v>754.54</v>
      </c>
      <c r="Q1158">
        <f>tblOrders[[#This Row],[TotalSales]]-tblOrders[[#This Row],[Calculated Sales]]</f>
        <v>0</v>
      </c>
    </row>
    <row r="1159" spans="1:17" x14ac:dyDescent="0.25">
      <c r="A1159">
        <v>1758</v>
      </c>
      <c r="B1159">
        <v>303</v>
      </c>
      <c r="C1159" t="str">
        <f>_xlfn.XLOOKUP(tblOrders[[#This Row],[CustomerID]],tblCustomers[CustomerID],tblCustomers[CustomerName],"not found")</f>
        <v>Amy Meyer</v>
      </c>
      <c r="D1159">
        <f>_xlfn.XLOOKUP(tblOrders[[#This Row],[CustomerID]],tblCustomers[CustomerID],tblCustomers[Age],"not found")</f>
        <v>52</v>
      </c>
      <c r="E1159" t="str">
        <f>_xlfn.XLOOKUP(tblOrders[[#This Row],[CustomerID]],tblCustomers[CustomerID],tblCustomers[Gender],"not found")</f>
        <v>Male</v>
      </c>
      <c r="F1159" t="str">
        <f>_xlfn.XLOOKUP(tblOrders[[#This Row],[CustomerID]],tblCustomers[CustomerID],tblCustomers[Region],"not found")</f>
        <v>West</v>
      </c>
      <c r="G1159">
        <v>1043</v>
      </c>
      <c r="H1159" t="str">
        <f>_xlfn.XLOOKUP(tblOrders[[#This Row],[ProductID]],tblProducts[ProductID],tblProducts[ProductName],"not found")</f>
        <v>Rock</v>
      </c>
      <c r="I1159" t="str">
        <f>_xlfn.XLOOKUP(tblOrders[[#This Row],[ProductID]],tblProducts[ProductID],tblProducts[Category],"not found")</f>
        <v>Electronics</v>
      </c>
      <c r="J1159">
        <f>_xlfn.XLOOKUP(tblOrders[[#This Row],[ProductID]],tblProducts[ProductID],tblProducts[UnitPrice],"not found")</f>
        <v>377.27</v>
      </c>
      <c r="K1159" t="str">
        <f>_xlfn.XLOOKUP(tblOrders[[#This Row],[ProductID]],tblProducts[ProductID],tblProducts[Supplier],"not found")</f>
        <v>Harding-Miller</v>
      </c>
      <c r="L1159" s="1" t="s">
        <v>2122</v>
      </c>
      <c r="M11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45368</v>
      </c>
      <c r="N1159">
        <v>6</v>
      </c>
      <c r="O1159">
        <v>2263.62</v>
      </c>
      <c r="P1159">
        <f>tblOrders[[#This Row],[Quantity]]*tblOrders[[#This Row],[Unit Price]]</f>
        <v>2263.62</v>
      </c>
      <c r="Q1159">
        <f>tblOrders[[#This Row],[TotalSales]]-tblOrders[[#This Row],[Calculated Sales]]</f>
        <v>0</v>
      </c>
    </row>
    <row r="1160" spans="1:17" x14ac:dyDescent="0.25">
      <c r="A1160">
        <v>1928</v>
      </c>
      <c r="B1160">
        <v>206</v>
      </c>
      <c r="C1160" t="str">
        <f>_xlfn.XLOOKUP(tblOrders[[#This Row],[CustomerID]],tblCustomers[CustomerID],tblCustomers[CustomerName],"not found")</f>
        <v>April Miller</v>
      </c>
      <c r="D1160">
        <f>_xlfn.XLOOKUP(tblOrders[[#This Row],[CustomerID]],tblCustomers[CustomerID],tblCustomers[Age],"not found")</f>
        <v>42</v>
      </c>
      <c r="E1160" t="str">
        <f>_xlfn.XLOOKUP(tblOrders[[#This Row],[CustomerID]],tblCustomers[CustomerID],tblCustomers[Gender],"not found")</f>
        <v>Male</v>
      </c>
      <c r="F1160" t="str">
        <f>_xlfn.XLOOKUP(tblOrders[[#This Row],[CustomerID]],tblCustomers[CustomerID],tblCustomers[Region],"not found")</f>
        <v>North</v>
      </c>
      <c r="G1160">
        <v>1043</v>
      </c>
      <c r="H1160" t="str">
        <f>_xlfn.XLOOKUP(tblOrders[[#This Row],[ProductID]],tblProducts[ProductID],tblProducts[ProductName],"not found")</f>
        <v>Rock</v>
      </c>
      <c r="I1160" t="str">
        <f>_xlfn.XLOOKUP(tblOrders[[#This Row],[ProductID]],tblProducts[ProductID],tblProducts[Category],"not found")</f>
        <v>Electronics</v>
      </c>
      <c r="J1160">
        <f>_xlfn.XLOOKUP(tblOrders[[#This Row],[ProductID]],tblProducts[ProductID],tblProducts[UnitPrice],"not found")</f>
        <v>377.27</v>
      </c>
      <c r="K1160" t="str">
        <f>_xlfn.XLOOKUP(tblOrders[[#This Row],[ProductID]],tblProducts[ProductID],tblProducts[Supplier],"not found")</f>
        <v>Harding-Miller</v>
      </c>
      <c r="L1160" s="1">
        <v>45116</v>
      </c>
      <c r="M11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45116</v>
      </c>
      <c r="N1160">
        <v>8</v>
      </c>
      <c r="O1160">
        <v>3018.16</v>
      </c>
      <c r="P1160">
        <f>tblOrders[[#This Row],[Quantity]]*tblOrders[[#This Row],[Unit Price]]</f>
        <v>3018.16</v>
      </c>
      <c r="Q1160">
        <f>tblOrders[[#This Row],[TotalSales]]-tblOrders[[#This Row],[Calculated Sales]]</f>
        <v>0</v>
      </c>
    </row>
    <row r="1161" spans="1:17" x14ac:dyDescent="0.25">
      <c r="A1161">
        <v>78</v>
      </c>
      <c r="B1161">
        <v>20</v>
      </c>
      <c r="C1161" t="str">
        <f>_xlfn.XLOOKUP(tblOrders[[#This Row],[CustomerID]],tblCustomers[CustomerID],tblCustomers[CustomerName],"not found")</f>
        <v>Kimberly Acosta</v>
      </c>
      <c r="D1161">
        <f>_xlfn.XLOOKUP(tblOrders[[#This Row],[CustomerID]],tblCustomers[CustomerID],tblCustomers[Age],"not found")</f>
        <v>48</v>
      </c>
      <c r="E1161" t="str">
        <f>_xlfn.XLOOKUP(tblOrders[[#This Row],[CustomerID]],tblCustomers[CustomerID],tblCustomers[Gender],"not found")</f>
        <v>Male</v>
      </c>
      <c r="F1161" t="str">
        <f>_xlfn.XLOOKUP(tblOrders[[#This Row],[CustomerID]],tblCustomers[CustomerID],tblCustomers[Region],"not found")</f>
        <v>North</v>
      </c>
      <c r="G1161">
        <v>1077</v>
      </c>
      <c r="H1161" t="str">
        <f>_xlfn.XLOOKUP(tblOrders[[#This Row],[ProductID]],tblProducts[ProductID],tblProducts[ProductName],"not found")</f>
        <v>Send</v>
      </c>
      <c r="I1161" t="str">
        <f>_xlfn.XLOOKUP(tblOrders[[#This Row],[ProductID]],tblProducts[ProductID],tblProducts[Category],"not found")</f>
        <v>Furniture</v>
      </c>
      <c r="J1161">
        <f>_xlfn.XLOOKUP(tblOrders[[#This Row],[ProductID]],tblProducts[ProductID],tblProducts[UnitPrice],"not found")</f>
        <v>428.55</v>
      </c>
      <c r="K1161" t="str">
        <f>_xlfn.XLOOKUP(tblOrders[[#This Row],[ProductID]],tblProducts[ProductID],tblProducts[Supplier],"not found")</f>
        <v>Jimenez-Marks</v>
      </c>
      <c r="L1161" s="1" t="s">
        <v>2366</v>
      </c>
      <c r="M11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45258</v>
      </c>
      <c r="N1161">
        <v>3</v>
      </c>
      <c r="O1161">
        <v>1285.6500000000001</v>
      </c>
      <c r="P1161">
        <f>tblOrders[[#This Row],[Quantity]]*tblOrders[[#This Row],[Unit Price]]</f>
        <v>1285.6500000000001</v>
      </c>
      <c r="Q1161">
        <f>tblOrders[[#This Row],[TotalSales]]-tblOrders[[#This Row],[Calculated Sales]]</f>
        <v>0</v>
      </c>
    </row>
    <row r="1162" spans="1:17" x14ac:dyDescent="0.25">
      <c r="A1162">
        <v>100</v>
      </c>
      <c r="B1162">
        <v>68</v>
      </c>
      <c r="C1162" t="str">
        <f>_xlfn.XLOOKUP(tblOrders[[#This Row],[CustomerID]],tblCustomers[CustomerID],tblCustomers[CustomerName],"not found")</f>
        <v>Alex Walker</v>
      </c>
      <c r="D1162">
        <f>_xlfn.XLOOKUP(tblOrders[[#This Row],[CustomerID]],tblCustomers[CustomerID],tblCustomers[Age],"not found")</f>
        <v>54</v>
      </c>
      <c r="E1162" t="str">
        <f>_xlfn.XLOOKUP(tblOrders[[#This Row],[CustomerID]],tblCustomers[CustomerID],tblCustomers[Gender],"not found")</f>
        <v>Male</v>
      </c>
      <c r="F1162" t="str">
        <f>_xlfn.XLOOKUP(tblOrders[[#This Row],[CustomerID]],tblCustomers[CustomerID],tblCustomers[Region],"not found")</f>
        <v>West</v>
      </c>
      <c r="G1162">
        <v>1077</v>
      </c>
      <c r="H1162" t="str">
        <f>_xlfn.XLOOKUP(tblOrders[[#This Row],[ProductID]],tblProducts[ProductID],tblProducts[ProductName],"not found")</f>
        <v>Send</v>
      </c>
      <c r="I1162" t="str">
        <f>_xlfn.XLOOKUP(tblOrders[[#This Row],[ProductID]],tblProducts[ProductID],tblProducts[Category],"not found")</f>
        <v>Furniture</v>
      </c>
      <c r="J1162">
        <f>_xlfn.XLOOKUP(tblOrders[[#This Row],[ProductID]],tblProducts[ProductID],tblProducts[UnitPrice],"not found")</f>
        <v>428.55</v>
      </c>
      <c r="K1162" t="str">
        <f>_xlfn.XLOOKUP(tblOrders[[#This Row],[ProductID]],tblProducts[ProductID],tblProducts[Supplier],"not found")</f>
        <v>Jimenez-Marks</v>
      </c>
      <c r="L1162" s="1" t="s">
        <v>2309</v>
      </c>
      <c r="M11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45443</v>
      </c>
      <c r="N1162">
        <v>1</v>
      </c>
      <c r="O1162">
        <v>428.55</v>
      </c>
      <c r="P1162">
        <f>tblOrders[[#This Row],[Quantity]]*tblOrders[[#This Row],[Unit Price]]</f>
        <v>428.55</v>
      </c>
      <c r="Q1162">
        <f>tblOrders[[#This Row],[TotalSales]]-tblOrders[[#This Row],[Calculated Sales]]</f>
        <v>0</v>
      </c>
    </row>
    <row r="1163" spans="1:17" x14ac:dyDescent="0.25">
      <c r="A1163">
        <v>288</v>
      </c>
      <c r="B1163">
        <v>975</v>
      </c>
      <c r="C1163" t="str">
        <f>_xlfn.XLOOKUP(tblOrders[[#This Row],[CustomerID]],tblCustomers[CustomerID],tblCustomers[CustomerName],"not found")</f>
        <v>Pedro Williams</v>
      </c>
      <c r="D1163">
        <f>_xlfn.XLOOKUP(tblOrders[[#This Row],[CustomerID]],tblCustomers[CustomerID],tblCustomers[Age],"not found")</f>
        <v>69</v>
      </c>
      <c r="E1163" t="str">
        <f>_xlfn.XLOOKUP(tblOrders[[#This Row],[CustomerID]],tblCustomers[CustomerID],tblCustomers[Gender],"not found")</f>
        <v>Female</v>
      </c>
      <c r="F1163" t="str">
        <f>_xlfn.XLOOKUP(tblOrders[[#This Row],[CustomerID]],tblCustomers[CustomerID],tblCustomers[Region],"not found")</f>
        <v>East</v>
      </c>
      <c r="G1163">
        <v>1077</v>
      </c>
      <c r="H1163" t="str">
        <f>_xlfn.XLOOKUP(tblOrders[[#This Row],[ProductID]],tblProducts[ProductID],tblProducts[ProductName],"not found")</f>
        <v>Send</v>
      </c>
      <c r="I1163" t="str">
        <f>_xlfn.XLOOKUP(tblOrders[[#This Row],[ProductID]],tblProducts[ProductID],tblProducts[Category],"not found")</f>
        <v>Furniture</v>
      </c>
      <c r="J1163">
        <f>_xlfn.XLOOKUP(tblOrders[[#This Row],[ProductID]],tblProducts[ProductID],tblProducts[UnitPrice],"not found")</f>
        <v>428.55</v>
      </c>
      <c r="K1163" t="str">
        <f>_xlfn.XLOOKUP(tblOrders[[#This Row],[ProductID]],tblProducts[ProductID],tblProducts[Supplier],"not found")</f>
        <v>Jimenez-Marks</v>
      </c>
      <c r="L1163" s="1">
        <v>44927</v>
      </c>
      <c r="M11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44927</v>
      </c>
      <c r="N1163">
        <v>7</v>
      </c>
      <c r="O1163">
        <v>2999.85</v>
      </c>
      <c r="P1163">
        <f>tblOrders[[#This Row],[Quantity]]*tblOrders[[#This Row],[Unit Price]]</f>
        <v>2999.85</v>
      </c>
      <c r="Q1163">
        <f>tblOrders[[#This Row],[TotalSales]]-tblOrders[[#This Row],[Calculated Sales]]</f>
        <v>0</v>
      </c>
    </row>
    <row r="1164" spans="1:17" x14ac:dyDescent="0.25">
      <c r="A1164">
        <v>495</v>
      </c>
      <c r="B1164">
        <v>721</v>
      </c>
      <c r="C1164" t="str">
        <f>_xlfn.XLOOKUP(tblOrders[[#This Row],[CustomerID]],tblCustomers[CustomerID],tblCustomers[CustomerName],"not found")</f>
        <v>Mary Parker</v>
      </c>
      <c r="D1164">
        <f>_xlfn.XLOOKUP(tblOrders[[#This Row],[CustomerID]],tblCustomers[CustomerID],tblCustomers[Age],"not found")</f>
        <v>30</v>
      </c>
      <c r="E1164" t="str">
        <f>_xlfn.XLOOKUP(tblOrders[[#This Row],[CustomerID]],tblCustomers[CustomerID],tblCustomers[Gender],"not found")</f>
        <v>Male</v>
      </c>
      <c r="F1164" t="str">
        <f>_xlfn.XLOOKUP(tblOrders[[#This Row],[CustomerID]],tblCustomers[CustomerID],tblCustomers[Region],"not found")</f>
        <v>East</v>
      </c>
      <c r="G1164">
        <v>1077</v>
      </c>
      <c r="H1164" t="str">
        <f>_xlfn.XLOOKUP(tblOrders[[#This Row],[ProductID]],tblProducts[ProductID],tblProducts[ProductName],"not found")</f>
        <v>Send</v>
      </c>
      <c r="I1164" t="str">
        <f>_xlfn.XLOOKUP(tblOrders[[#This Row],[ProductID]],tblProducts[ProductID],tblProducts[Category],"not found")</f>
        <v>Furniture</v>
      </c>
      <c r="J1164">
        <f>_xlfn.XLOOKUP(tblOrders[[#This Row],[ProductID]],tblProducts[ProductID],tblProducts[UnitPrice],"not found")</f>
        <v>428.55</v>
      </c>
      <c r="K1164" t="str">
        <f>_xlfn.XLOOKUP(tblOrders[[#This Row],[ProductID]],tblProducts[ProductID],tblProducts[Supplier],"not found")</f>
        <v>Jimenez-Marks</v>
      </c>
      <c r="L1164" s="1" t="s">
        <v>2201</v>
      </c>
      <c r="M11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44892</v>
      </c>
      <c r="N1164">
        <v>5</v>
      </c>
      <c r="O1164">
        <v>2142.75</v>
      </c>
      <c r="P1164">
        <f>tblOrders[[#This Row],[Quantity]]*tblOrders[[#This Row],[Unit Price]]</f>
        <v>2142.75</v>
      </c>
      <c r="Q1164">
        <f>tblOrders[[#This Row],[TotalSales]]-tblOrders[[#This Row],[Calculated Sales]]</f>
        <v>0</v>
      </c>
    </row>
    <row r="1165" spans="1:17" x14ac:dyDescent="0.25">
      <c r="A1165">
        <v>818</v>
      </c>
      <c r="B1165">
        <v>198</v>
      </c>
      <c r="C1165" t="str">
        <f>_xlfn.XLOOKUP(tblOrders[[#This Row],[CustomerID]],tblCustomers[CustomerID],tblCustomers[CustomerName],"not found")</f>
        <v>Jessica Cherry</v>
      </c>
      <c r="D1165">
        <f>_xlfn.XLOOKUP(tblOrders[[#This Row],[CustomerID]],tblCustomers[CustomerID],tblCustomers[Age],"not found")</f>
        <v>50</v>
      </c>
      <c r="E1165" t="str">
        <f>_xlfn.XLOOKUP(tblOrders[[#This Row],[CustomerID]],tblCustomers[CustomerID],tblCustomers[Gender],"not found")</f>
        <v>Female</v>
      </c>
      <c r="F1165" t="str">
        <f>_xlfn.XLOOKUP(tblOrders[[#This Row],[CustomerID]],tblCustomers[CustomerID],tblCustomers[Region],"not found")</f>
        <v>North</v>
      </c>
      <c r="G1165">
        <v>1077</v>
      </c>
      <c r="H1165" t="str">
        <f>_xlfn.XLOOKUP(tblOrders[[#This Row],[ProductID]],tblProducts[ProductID],tblProducts[ProductName],"not found")</f>
        <v>Send</v>
      </c>
      <c r="I1165" t="str">
        <f>_xlfn.XLOOKUP(tblOrders[[#This Row],[ProductID]],tblProducts[ProductID],tblProducts[Category],"not found")</f>
        <v>Furniture</v>
      </c>
      <c r="J1165">
        <f>_xlfn.XLOOKUP(tblOrders[[#This Row],[ProductID]],tblProducts[ProductID],tblProducts[UnitPrice],"not found")</f>
        <v>428.55</v>
      </c>
      <c r="K1165" t="str">
        <f>_xlfn.XLOOKUP(tblOrders[[#This Row],[ProductID]],tblProducts[ProductID],tblProducts[Supplier],"not found")</f>
        <v>Jimenez-Marks</v>
      </c>
      <c r="L1165" s="1" t="s">
        <v>2201</v>
      </c>
      <c r="M11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44892</v>
      </c>
      <c r="N1165">
        <v>9</v>
      </c>
      <c r="O1165">
        <v>3856.95</v>
      </c>
      <c r="P1165">
        <f>tblOrders[[#This Row],[Quantity]]*tblOrders[[#This Row],[Unit Price]]</f>
        <v>3856.9500000000003</v>
      </c>
      <c r="Q1165">
        <f>tblOrders[[#This Row],[TotalSales]]-tblOrders[[#This Row],[Calculated Sales]]</f>
        <v>0</v>
      </c>
    </row>
    <row r="1166" spans="1:17" x14ac:dyDescent="0.25">
      <c r="A1166">
        <v>860</v>
      </c>
      <c r="B1166">
        <v>355</v>
      </c>
      <c r="C1166" t="str">
        <f>_xlfn.XLOOKUP(tblOrders[[#This Row],[CustomerID]],tblCustomers[CustomerID],tblCustomers[CustomerName],"not found")</f>
        <v>Thomas Bush</v>
      </c>
      <c r="D1166">
        <f>_xlfn.XLOOKUP(tblOrders[[#This Row],[CustomerID]],tblCustomers[CustomerID],tblCustomers[Age],"not found")</f>
        <v>36</v>
      </c>
      <c r="E1166" t="str">
        <f>_xlfn.XLOOKUP(tblOrders[[#This Row],[CustomerID]],tblCustomers[CustomerID],tblCustomers[Gender],"not found")</f>
        <v>Female</v>
      </c>
      <c r="F1166" t="str">
        <f>_xlfn.XLOOKUP(tblOrders[[#This Row],[CustomerID]],tblCustomers[CustomerID],tblCustomers[Region],"not found")</f>
        <v>Central</v>
      </c>
      <c r="G1166">
        <v>1077</v>
      </c>
      <c r="H1166" t="str">
        <f>_xlfn.XLOOKUP(tblOrders[[#This Row],[ProductID]],tblProducts[ProductID],tblProducts[ProductName],"not found")</f>
        <v>Send</v>
      </c>
      <c r="I1166" t="str">
        <f>_xlfn.XLOOKUP(tblOrders[[#This Row],[ProductID]],tblProducts[ProductID],tblProducts[Category],"not found")</f>
        <v>Furniture</v>
      </c>
      <c r="J1166">
        <f>_xlfn.XLOOKUP(tblOrders[[#This Row],[ProductID]],tblProducts[ProductID],tblProducts[UnitPrice],"not found")</f>
        <v>428.55</v>
      </c>
      <c r="K1166" t="str">
        <f>_xlfn.XLOOKUP(tblOrders[[#This Row],[ProductID]],tblProducts[ProductID],tblProducts[Supplier],"not found")</f>
        <v>Jimenez-Marks</v>
      </c>
      <c r="L1166" s="1" t="s">
        <v>2115</v>
      </c>
      <c r="M11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1166">
        <v>9</v>
      </c>
      <c r="O1166">
        <v>3856.95</v>
      </c>
      <c r="P1166">
        <f>tblOrders[[#This Row],[Quantity]]*tblOrders[[#This Row],[Unit Price]]</f>
        <v>3856.9500000000003</v>
      </c>
      <c r="Q1166">
        <f>tblOrders[[#This Row],[TotalSales]]-tblOrders[[#This Row],[Calculated Sales]]</f>
        <v>0</v>
      </c>
    </row>
    <row r="1167" spans="1:17" x14ac:dyDescent="0.25">
      <c r="A1167">
        <v>985</v>
      </c>
      <c r="B1167">
        <v>252</v>
      </c>
      <c r="C1167" t="str">
        <f>_xlfn.XLOOKUP(tblOrders[[#This Row],[CustomerID]],tblCustomers[CustomerID],tblCustomers[CustomerName],"not found")</f>
        <v>Robert Gonzales</v>
      </c>
      <c r="D1167">
        <f>_xlfn.XLOOKUP(tblOrders[[#This Row],[CustomerID]],tblCustomers[CustomerID],tblCustomers[Age],"not found")</f>
        <v>36</v>
      </c>
      <c r="E1167" t="str">
        <f>_xlfn.XLOOKUP(tblOrders[[#This Row],[CustomerID]],tblCustomers[CustomerID],tblCustomers[Gender],"not found")</f>
        <v>Female</v>
      </c>
      <c r="F1167" t="str">
        <f>_xlfn.XLOOKUP(tblOrders[[#This Row],[CustomerID]],tblCustomers[CustomerID],tblCustomers[Region],"not found")</f>
        <v>West</v>
      </c>
      <c r="G1167">
        <v>1077</v>
      </c>
      <c r="H1167" t="str">
        <f>_xlfn.XLOOKUP(tblOrders[[#This Row],[ProductID]],tblProducts[ProductID],tblProducts[ProductName],"not found")</f>
        <v>Send</v>
      </c>
      <c r="I1167" t="str">
        <f>_xlfn.XLOOKUP(tblOrders[[#This Row],[ProductID]],tblProducts[ProductID],tblProducts[Category],"not found")</f>
        <v>Furniture</v>
      </c>
      <c r="J1167">
        <f>_xlfn.XLOOKUP(tblOrders[[#This Row],[ProductID]],tblProducts[ProductID],tblProducts[UnitPrice],"not found")</f>
        <v>428.55</v>
      </c>
      <c r="K1167" t="str">
        <f>_xlfn.XLOOKUP(tblOrders[[#This Row],[ProductID]],tblProducts[ProductID],tblProducts[Supplier],"not found")</f>
        <v>Jimenez-Marks</v>
      </c>
      <c r="L1167" s="1" t="s">
        <v>2365</v>
      </c>
      <c r="M11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44918</v>
      </c>
      <c r="N1167">
        <v>7</v>
      </c>
      <c r="O1167">
        <v>2999.85</v>
      </c>
      <c r="P1167">
        <f>tblOrders[[#This Row],[Quantity]]*tblOrders[[#This Row],[Unit Price]]</f>
        <v>2999.85</v>
      </c>
      <c r="Q1167">
        <f>tblOrders[[#This Row],[TotalSales]]-tblOrders[[#This Row],[Calculated Sales]]</f>
        <v>0</v>
      </c>
    </row>
    <row r="1168" spans="1:17" x14ac:dyDescent="0.25">
      <c r="A1168">
        <v>1249</v>
      </c>
      <c r="B1168">
        <v>926</v>
      </c>
      <c r="C1168" t="str">
        <f>_xlfn.XLOOKUP(tblOrders[[#This Row],[CustomerID]],tblCustomers[CustomerID],tblCustomers[CustomerName],"not found")</f>
        <v>Nicole Hernandez</v>
      </c>
      <c r="D1168">
        <f>_xlfn.XLOOKUP(tblOrders[[#This Row],[CustomerID]],tblCustomers[CustomerID],tblCustomers[Age],"not found")</f>
        <v>23</v>
      </c>
      <c r="E1168" t="str">
        <f>_xlfn.XLOOKUP(tblOrders[[#This Row],[CustomerID]],tblCustomers[CustomerID],tblCustomers[Gender],"not found")</f>
        <v>Female</v>
      </c>
      <c r="F1168" t="str">
        <f>_xlfn.XLOOKUP(tblOrders[[#This Row],[CustomerID]],tblCustomers[CustomerID],tblCustomers[Region],"not found")</f>
        <v>North</v>
      </c>
      <c r="G1168">
        <v>1077</v>
      </c>
      <c r="H1168" t="str">
        <f>_xlfn.XLOOKUP(tblOrders[[#This Row],[ProductID]],tblProducts[ProductID],tblProducts[ProductName],"not found")</f>
        <v>Send</v>
      </c>
      <c r="I1168" t="str">
        <f>_xlfn.XLOOKUP(tblOrders[[#This Row],[ProductID]],tblProducts[ProductID],tblProducts[Category],"not found")</f>
        <v>Furniture</v>
      </c>
      <c r="J1168">
        <f>_xlfn.XLOOKUP(tblOrders[[#This Row],[ProductID]],tblProducts[ProductID],tblProducts[UnitPrice],"not found")</f>
        <v>428.55</v>
      </c>
      <c r="K1168" t="str">
        <f>_xlfn.XLOOKUP(tblOrders[[#This Row],[ProductID]],tblProducts[ProductID],tblProducts[Supplier],"not found")</f>
        <v>Jimenez-Marks</v>
      </c>
      <c r="L1168" s="1" t="s">
        <v>2039</v>
      </c>
      <c r="M11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45215</v>
      </c>
      <c r="N1168">
        <v>8</v>
      </c>
      <c r="O1168">
        <v>3428.4</v>
      </c>
      <c r="P1168">
        <f>tblOrders[[#This Row],[Quantity]]*tblOrders[[#This Row],[Unit Price]]</f>
        <v>3428.4</v>
      </c>
      <c r="Q1168">
        <f>tblOrders[[#This Row],[TotalSales]]-tblOrders[[#This Row],[Calculated Sales]]</f>
        <v>0</v>
      </c>
    </row>
    <row r="1169" spans="1:17" x14ac:dyDescent="0.25">
      <c r="A1169">
        <v>1278</v>
      </c>
      <c r="B1169">
        <v>815</v>
      </c>
      <c r="C1169" t="str">
        <f>_xlfn.XLOOKUP(tblOrders[[#This Row],[CustomerID]],tblCustomers[CustomerID],tblCustomers[CustomerName],"not found")</f>
        <v>Robert Greene</v>
      </c>
      <c r="D1169">
        <f>_xlfn.XLOOKUP(tblOrders[[#This Row],[CustomerID]],tblCustomers[CustomerID],tblCustomers[Age],"not found")</f>
        <v>18</v>
      </c>
      <c r="E1169" t="str">
        <f>_xlfn.XLOOKUP(tblOrders[[#This Row],[CustomerID]],tblCustomers[CustomerID],tblCustomers[Gender],"not found")</f>
        <v>Male</v>
      </c>
      <c r="F1169" t="str">
        <f>_xlfn.XLOOKUP(tblOrders[[#This Row],[CustomerID]],tblCustomers[CustomerID],tblCustomers[Region],"not found")</f>
        <v>South</v>
      </c>
      <c r="G1169">
        <v>1077</v>
      </c>
      <c r="H1169" t="str">
        <f>_xlfn.XLOOKUP(tblOrders[[#This Row],[ProductID]],tblProducts[ProductID],tblProducts[ProductName],"not found")</f>
        <v>Send</v>
      </c>
      <c r="I1169" t="str">
        <f>_xlfn.XLOOKUP(tblOrders[[#This Row],[ProductID]],tblProducts[ProductID],tblProducts[Category],"not found")</f>
        <v>Furniture</v>
      </c>
      <c r="J1169">
        <f>_xlfn.XLOOKUP(tblOrders[[#This Row],[ProductID]],tblProducts[ProductID],tblProducts[UnitPrice],"not found")</f>
        <v>428.55</v>
      </c>
      <c r="K1169" t="str">
        <f>_xlfn.XLOOKUP(tblOrders[[#This Row],[ProductID]],tblProducts[ProductID],tblProducts[Supplier],"not found")</f>
        <v>Jimenez-Marks</v>
      </c>
      <c r="L1169" s="1">
        <v>45630</v>
      </c>
      <c r="M11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45630</v>
      </c>
      <c r="N1169">
        <v>9</v>
      </c>
      <c r="O1169">
        <v>3856.95</v>
      </c>
      <c r="P1169">
        <f>tblOrders[[#This Row],[Quantity]]*tblOrders[[#This Row],[Unit Price]]</f>
        <v>3856.9500000000003</v>
      </c>
      <c r="Q1169">
        <f>tblOrders[[#This Row],[TotalSales]]-tblOrders[[#This Row],[Calculated Sales]]</f>
        <v>0</v>
      </c>
    </row>
    <row r="1170" spans="1:17" x14ac:dyDescent="0.25">
      <c r="A1170">
        <v>1329</v>
      </c>
      <c r="B1170">
        <v>355</v>
      </c>
      <c r="C1170" t="str">
        <f>_xlfn.XLOOKUP(tblOrders[[#This Row],[CustomerID]],tblCustomers[CustomerID],tblCustomers[CustomerName],"not found")</f>
        <v>Thomas Bush</v>
      </c>
      <c r="D1170">
        <f>_xlfn.XLOOKUP(tblOrders[[#This Row],[CustomerID]],tblCustomers[CustomerID],tblCustomers[Age],"not found")</f>
        <v>36</v>
      </c>
      <c r="E1170" t="str">
        <f>_xlfn.XLOOKUP(tblOrders[[#This Row],[CustomerID]],tblCustomers[CustomerID],tblCustomers[Gender],"not found")</f>
        <v>Female</v>
      </c>
      <c r="F1170" t="str">
        <f>_xlfn.XLOOKUP(tblOrders[[#This Row],[CustomerID]],tblCustomers[CustomerID],tblCustomers[Region],"not found")</f>
        <v>Central</v>
      </c>
      <c r="G1170">
        <v>1077</v>
      </c>
      <c r="H1170" t="str">
        <f>_xlfn.XLOOKUP(tblOrders[[#This Row],[ProductID]],tblProducts[ProductID],tblProducts[ProductName],"not found")</f>
        <v>Send</v>
      </c>
      <c r="I1170" t="str">
        <f>_xlfn.XLOOKUP(tblOrders[[#This Row],[ProductID]],tblProducts[ProductID],tblProducts[Category],"not found")</f>
        <v>Furniture</v>
      </c>
      <c r="J1170">
        <f>_xlfn.XLOOKUP(tblOrders[[#This Row],[ProductID]],tblProducts[ProductID],tblProducts[UnitPrice],"not found")</f>
        <v>428.55</v>
      </c>
      <c r="K1170" t="str">
        <f>_xlfn.XLOOKUP(tblOrders[[#This Row],[ProductID]],tblProducts[ProductID],tblProducts[Supplier],"not found")</f>
        <v>Jimenez-Marks</v>
      </c>
      <c r="L1170" s="1" t="s">
        <v>2274</v>
      </c>
      <c r="M11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44915</v>
      </c>
      <c r="N1170">
        <v>3</v>
      </c>
      <c r="O1170">
        <v>1285.6500000000001</v>
      </c>
      <c r="P1170">
        <f>tblOrders[[#This Row],[Quantity]]*tblOrders[[#This Row],[Unit Price]]</f>
        <v>1285.6500000000001</v>
      </c>
      <c r="Q1170">
        <f>tblOrders[[#This Row],[TotalSales]]-tblOrders[[#This Row],[Calculated Sales]]</f>
        <v>0</v>
      </c>
    </row>
    <row r="1171" spans="1:17" x14ac:dyDescent="0.25">
      <c r="A1171">
        <v>1427</v>
      </c>
      <c r="B1171">
        <v>210</v>
      </c>
      <c r="C1171" t="str">
        <f>_xlfn.XLOOKUP(tblOrders[[#This Row],[CustomerID]],tblCustomers[CustomerID],tblCustomers[CustomerName],"not found")</f>
        <v>Ashley Green</v>
      </c>
      <c r="D1171">
        <f>_xlfn.XLOOKUP(tblOrders[[#This Row],[CustomerID]],tblCustomers[CustomerID],tblCustomers[Age],"not found")</f>
        <v>68</v>
      </c>
      <c r="E1171" t="str">
        <f>_xlfn.XLOOKUP(tblOrders[[#This Row],[CustomerID]],tblCustomers[CustomerID],tblCustomers[Gender],"not found")</f>
        <v>Female</v>
      </c>
      <c r="F1171" t="str">
        <f>_xlfn.XLOOKUP(tblOrders[[#This Row],[CustomerID]],tblCustomers[CustomerID],tblCustomers[Region],"not found")</f>
        <v>West</v>
      </c>
      <c r="G1171">
        <v>1077</v>
      </c>
      <c r="H1171" t="str">
        <f>_xlfn.XLOOKUP(tblOrders[[#This Row],[ProductID]],tblProducts[ProductID],tblProducts[ProductName],"not found")</f>
        <v>Send</v>
      </c>
      <c r="I1171" t="str">
        <f>_xlfn.XLOOKUP(tblOrders[[#This Row],[ProductID]],tblProducts[ProductID],tblProducts[Category],"not found")</f>
        <v>Furniture</v>
      </c>
      <c r="J1171">
        <f>_xlfn.XLOOKUP(tblOrders[[#This Row],[ProductID]],tblProducts[ProductID],tblProducts[UnitPrice],"not found")</f>
        <v>428.55</v>
      </c>
      <c r="K1171" t="str">
        <f>_xlfn.XLOOKUP(tblOrders[[#This Row],[ProductID]],tblProducts[ProductID],tblProducts[Supplier],"not found")</f>
        <v>Jimenez-Marks</v>
      </c>
      <c r="L1171" s="1">
        <v>44959</v>
      </c>
      <c r="M11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44959</v>
      </c>
      <c r="N1171">
        <v>7</v>
      </c>
      <c r="O1171">
        <v>2999.85</v>
      </c>
      <c r="P1171">
        <f>tblOrders[[#This Row],[Quantity]]*tblOrders[[#This Row],[Unit Price]]</f>
        <v>2999.85</v>
      </c>
      <c r="Q1171">
        <f>tblOrders[[#This Row],[TotalSales]]-tblOrders[[#This Row],[Calculated Sales]]</f>
        <v>0</v>
      </c>
    </row>
    <row r="1172" spans="1:17" x14ac:dyDescent="0.25">
      <c r="A1172">
        <v>1489</v>
      </c>
      <c r="B1172">
        <v>487</v>
      </c>
      <c r="C1172" t="str">
        <f>_xlfn.XLOOKUP(tblOrders[[#This Row],[CustomerID]],tblCustomers[CustomerID],tblCustomers[CustomerName],"not found")</f>
        <v>Amber Gentry</v>
      </c>
      <c r="D1172">
        <f>_xlfn.XLOOKUP(tblOrders[[#This Row],[CustomerID]],tblCustomers[CustomerID],tblCustomers[Age],"not found")</f>
        <v>47</v>
      </c>
      <c r="E1172" t="str">
        <f>_xlfn.XLOOKUP(tblOrders[[#This Row],[CustomerID]],tblCustomers[CustomerID],tblCustomers[Gender],"not found")</f>
        <v>Male</v>
      </c>
      <c r="F1172" t="str">
        <f>_xlfn.XLOOKUP(tblOrders[[#This Row],[CustomerID]],tblCustomers[CustomerID],tblCustomers[Region],"not found")</f>
        <v>South</v>
      </c>
      <c r="G1172">
        <v>1077</v>
      </c>
      <c r="H1172" t="str">
        <f>_xlfn.XLOOKUP(tblOrders[[#This Row],[ProductID]],tblProducts[ProductID],tblProducts[ProductName],"not found")</f>
        <v>Send</v>
      </c>
      <c r="I1172" t="str">
        <f>_xlfn.XLOOKUP(tblOrders[[#This Row],[ProductID]],tblProducts[ProductID],tblProducts[Category],"not found")</f>
        <v>Furniture</v>
      </c>
      <c r="J1172">
        <f>_xlfn.XLOOKUP(tblOrders[[#This Row],[ProductID]],tblProducts[ProductID],tblProducts[UnitPrice],"not found")</f>
        <v>428.55</v>
      </c>
      <c r="K1172" t="str">
        <f>_xlfn.XLOOKUP(tblOrders[[#This Row],[ProductID]],tblProducts[ProductID],tblProducts[Supplier],"not found")</f>
        <v>Jimenez-Marks</v>
      </c>
      <c r="L1172" s="1" t="s">
        <v>2257</v>
      </c>
      <c r="M11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1172">
        <v>3</v>
      </c>
      <c r="O1172">
        <v>1285.6500000000001</v>
      </c>
      <c r="P1172">
        <f>tblOrders[[#This Row],[Quantity]]*tblOrders[[#This Row],[Unit Price]]</f>
        <v>1285.6500000000001</v>
      </c>
      <c r="Q1172">
        <f>tblOrders[[#This Row],[TotalSales]]-tblOrders[[#This Row],[Calculated Sales]]</f>
        <v>0</v>
      </c>
    </row>
    <row r="1173" spans="1:17" x14ac:dyDescent="0.25">
      <c r="A1173">
        <v>1532</v>
      </c>
      <c r="B1173">
        <v>456</v>
      </c>
      <c r="C1173" t="str">
        <f>_xlfn.XLOOKUP(tblOrders[[#This Row],[CustomerID]],tblCustomers[CustomerID],tblCustomers[CustomerName],"not found")</f>
        <v>Valerie Mays</v>
      </c>
      <c r="D1173">
        <f>_xlfn.XLOOKUP(tblOrders[[#This Row],[CustomerID]],tblCustomers[CustomerID],tblCustomers[Age],"not found")</f>
        <v>50</v>
      </c>
      <c r="E1173" t="str">
        <f>_xlfn.XLOOKUP(tblOrders[[#This Row],[CustomerID]],tblCustomers[CustomerID],tblCustomers[Gender],"not found")</f>
        <v>Male</v>
      </c>
      <c r="F1173" t="str">
        <f>_xlfn.XLOOKUP(tblOrders[[#This Row],[CustomerID]],tblCustomers[CustomerID],tblCustomers[Region],"not found")</f>
        <v>West</v>
      </c>
      <c r="G1173">
        <v>1077</v>
      </c>
      <c r="H1173" t="str">
        <f>_xlfn.XLOOKUP(tblOrders[[#This Row],[ProductID]],tblProducts[ProductID],tblProducts[ProductName],"not found")</f>
        <v>Send</v>
      </c>
      <c r="I1173" t="str">
        <f>_xlfn.XLOOKUP(tblOrders[[#This Row],[ProductID]],tblProducts[ProductID],tblProducts[Category],"not found")</f>
        <v>Furniture</v>
      </c>
      <c r="J1173">
        <f>_xlfn.XLOOKUP(tblOrders[[#This Row],[ProductID]],tblProducts[ProductID],tblProducts[UnitPrice],"not found")</f>
        <v>428.55</v>
      </c>
      <c r="K1173" t="str">
        <f>_xlfn.XLOOKUP(tblOrders[[#This Row],[ProductID]],tblProducts[ProductID],tblProducts[Supplier],"not found")</f>
        <v>Jimenez-Marks</v>
      </c>
      <c r="L1173" s="1">
        <v>45513</v>
      </c>
      <c r="M11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45513</v>
      </c>
      <c r="N1173">
        <v>6</v>
      </c>
      <c r="O1173">
        <v>2571.3000000000002</v>
      </c>
      <c r="P1173">
        <f>tblOrders[[#This Row],[Quantity]]*tblOrders[[#This Row],[Unit Price]]</f>
        <v>2571.3000000000002</v>
      </c>
      <c r="Q1173">
        <f>tblOrders[[#This Row],[TotalSales]]-tblOrders[[#This Row],[Calculated Sales]]</f>
        <v>0</v>
      </c>
    </row>
    <row r="1174" spans="1:17" x14ac:dyDescent="0.25">
      <c r="A1174">
        <v>1669</v>
      </c>
      <c r="B1174">
        <v>121</v>
      </c>
      <c r="C1174" t="str">
        <f>_xlfn.XLOOKUP(tblOrders[[#This Row],[CustomerID]],tblCustomers[CustomerID],tblCustomers[CustomerName],"not found")</f>
        <v>Michelle Johnson</v>
      </c>
      <c r="D1174">
        <f>_xlfn.XLOOKUP(tblOrders[[#This Row],[CustomerID]],tblCustomers[CustomerID],tblCustomers[Age],"not found")</f>
        <v>18</v>
      </c>
      <c r="E1174" t="str">
        <f>_xlfn.XLOOKUP(tblOrders[[#This Row],[CustomerID]],tblCustomers[CustomerID],tblCustomers[Gender],"not found")</f>
        <v>Male</v>
      </c>
      <c r="F1174" t="str">
        <f>_xlfn.XLOOKUP(tblOrders[[#This Row],[CustomerID]],tblCustomers[CustomerID],tblCustomers[Region],"not found")</f>
        <v>East</v>
      </c>
      <c r="G1174">
        <v>1077</v>
      </c>
      <c r="H1174" t="str">
        <f>_xlfn.XLOOKUP(tblOrders[[#This Row],[ProductID]],tblProducts[ProductID],tblProducts[ProductName],"not found")</f>
        <v>Send</v>
      </c>
      <c r="I1174" t="str">
        <f>_xlfn.XLOOKUP(tblOrders[[#This Row],[ProductID]],tblProducts[ProductID],tblProducts[Category],"not found")</f>
        <v>Furniture</v>
      </c>
      <c r="J1174">
        <f>_xlfn.XLOOKUP(tblOrders[[#This Row],[ProductID]],tblProducts[ProductID],tblProducts[UnitPrice],"not found")</f>
        <v>428.55</v>
      </c>
      <c r="K1174" t="str">
        <f>_xlfn.XLOOKUP(tblOrders[[#This Row],[ProductID]],tblProducts[ProductID],tblProducts[Supplier],"not found")</f>
        <v>Jimenez-Marks</v>
      </c>
      <c r="L1174" s="1" t="s">
        <v>2368</v>
      </c>
      <c r="M11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45396</v>
      </c>
      <c r="N1174">
        <v>3</v>
      </c>
      <c r="O1174">
        <v>1285.6500000000001</v>
      </c>
      <c r="P1174">
        <f>tblOrders[[#This Row],[Quantity]]*tblOrders[[#This Row],[Unit Price]]</f>
        <v>1285.6500000000001</v>
      </c>
      <c r="Q1174">
        <f>tblOrders[[#This Row],[TotalSales]]-tblOrders[[#This Row],[Calculated Sales]]</f>
        <v>0</v>
      </c>
    </row>
    <row r="1175" spans="1:17" x14ac:dyDescent="0.25">
      <c r="A1175">
        <v>1703</v>
      </c>
      <c r="B1175">
        <v>339</v>
      </c>
      <c r="C1175" t="str">
        <f>_xlfn.XLOOKUP(tblOrders[[#This Row],[CustomerID]],tblCustomers[CustomerID],tblCustomers[CustomerName],"not found")</f>
        <v>Michael Chang</v>
      </c>
      <c r="D1175">
        <f>_xlfn.XLOOKUP(tblOrders[[#This Row],[CustomerID]],tblCustomers[CustomerID],tblCustomers[Age],"not found")</f>
        <v>18</v>
      </c>
      <c r="E1175" t="str">
        <f>_xlfn.XLOOKUP(tblOrders[[#This Row],[CustomerID]],tblCustomers[CustomerID],tblCustomers[Gender],"not found")</f>
        <v>Female</v>
      </c>
      <c r="F1175" t="str">
        <f>_xlfn.XLOOKUP(tblOrders[[#This Row],[CustomerID]],tblCustomers[CustomerID],tblCustomers[Region],"not found")</f>
        <v>West</v>
      </c>
      <c r="G1175">
        <v>1077</v>
      </c>
      <c r="H1175" t="str">
        <f>_xlfn.XLOOKUP(tblOrders[[#This Row],[ProductID]],tblProducts[ProductID],tblProducts[ProductName],"not found")</f>
        <v>Send</v>
      </c>
      <c r="I1175" t="str">
        <f>_xlfn.XLOOKUP(tblOrders[[#This Row],[ProductID]],tblProducts[ProductID],tblProducts[Category],"not found")</f>
        <v>Furniture</v>
      </c>
      <c r="J1175">
        <f>_xlfn.XLOOKUP(tblOrders[[#This Row],[ProductID]],tblProducts[ProductID],tblProducts[UnitPrice],"not found")</f>
        <v>428.55</v>
      </c>
      <c r="K1175" t="str">
        <f>_xlfn.XLOOKUP(tblOrders[[#This Row],[ProductID]],tblProducts[ProductID],tblProducts[Supplier],"not found")</f>
        <v>Jimenez-Marks</v>
      </c>
      <c r="L1175" s="1" t="s">
        <v>2255</v>
      </c>
      <c r="M11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45121</v>
      </c>
      <c r="N1175">
        <v>7</v>
      </c>
      <c r="O1175">
        <v>2999.85</v>
      </c>
      <c r="P1175">
        <f>tblOrders[[#This Row],[Quantity]]*tblOrders[[#This Row],[Unit Price]]</f>
        <v>2999.85</v>
      </c>
      <c r="Q1175">
        <f>tblOrders[[#This Row],[TotalSales]]-tblOrders[[#This Row],[Calculated Sales]]</f>
        <v>0</v>
      </c>
    </row>
    <row r="1176" spans="1:17" x14ac:dyDescent="0.25">
      <c r="A1176">
        <v>1810</v>
      </c>
      <c r="B1176">
        <v>897</v>
      </c>
      <c r="C1176" t="str">
        <f>_xlfn.XLOOKUP(tblOrders[[#This Row],[CustomerID]],tblCustomers[CustomerID],tblCustomers[CustomerName],"not found")</f>
        <v>John Mcdowell</v>
      </c>
      <c r="D1176">
        <f>_xlfn.XLOOKUP(tblOrders[[#This Row],[CustomerID]],tblCustomers[CustomerID],tblCustomers[Age],"not found")</f>
        <v>48</v>
      </c>
      <c r="E1176" t="str">
        <f>_xlfn.XLOOKUP(tblOrders[[#This Row],[CustomerID]],tblCustomers[CustomerID],tblCustomers[Gender],"not found")</f>
        <v>Female</v>
      </c>
      <c r="F1176" t="str">
        <f>_xlfn.XLOOKUP(tblOrders[[#This Row],[CustomerID]],tblCustomers[CustomerID],tblCustomers[Region],"not found")</f>
        <v>North</v>
      </c>
      <c r="G1176">
        <v>1077</v>
      </c>
      <c r="H1176" t="str">
        <f>_xlfn.XLOOKUP(tblOrders[[#This Row],[ProductID]],tblProducts[ProductID],tblProducts[ProductName],"not found")</f>
        <v>Send</v>
      </c>
      <c r="I1176" t="str">
        <f>_xlfn.XLOOKUP(tblOrders[[#This Row],[ProductID]],tblProducts[ProductID],tblProducts[Category],"not found")</f>
        <v>Furniture</v>
      </c>
      <c r="J1176">
        <f>_xlfn.XLOOKUP(tblOrders[[#This Row],[ProductID]],tblProducts[ProductID],tblProducts[UnitPrice],"not found")</f>
        <v>428.55</v>
      </c>
      <c r="K1176" t="str">
        <f>_xlfn.XLOOKUP(tblOrders[[#This Row],[ProductID]],tblProducts[ProductID],tblProducts[Supplier],"not found")</f>
        <v>Jimenez-Marks</v>
      </c>
      <c r="L1176" s="1">
        <v>44992</v>
      </c>
      <c r="M11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44992</v>
      </c>
      <c r="N1176">
        <v>8</v>
      </c>
      <c r="O1176">
        <v>3428.4</v>
      </c>
      <c r="P1176">
        <f>tblOrders[[#This Row],[Quantity]]*tblOrders[[#This Row],[Unit Price]]</f>
        <v>3428.4</v>
      </c>
      <c r="Q1176">
        <f>tblOrders[[#This Row],[TotalSales]]-tblOrders[[#This Row],[Calculated Sales]]</f>
        <v>0</v>
      </c>
    </row>
    <row r="1177" spans="1:17" x14ac:dyDescent="0.25">
      <c r="A1177">
        <v>1821</v>
      </c>
      <c r="B1177">
        <v>280</v>
      </c>
      <c r="C1177" t="str">
        <f>_xlfn.XLOOKUP(tblOrders[[#This Row],[CustomerID]],tblCustomers[CustomerID],tblCustomers[CustomerName],"not found")</f>
        <v>George Reynolds</v>
      </c>
      <c r="D1177">
        <f>_xlfn.XLOOKUP(tblOrders[[#This Row],[CustomerID]],tblCustomers[CustomerID],tblCustomers[Age],"not found")</f>
        <v>67</v>
      </c>
      <c r="E1177" t="str">
        <f>_xlfn.XLOOKUP(tblOrders[[#This Row],[CustomerID]],tblCustomers[CustomerID],tblCustomers[Gender],"not found")</f>
        <v>Male</v>
      </c>
      <c r="F1177" t="str">
        <f>_xlfn.XLOOKUP(tblOrders[[#This Row],[CustomerID]],tblCustomers[CustomerID],tblCustomers[Region],"not found")</f>
        <v>North</v>
      </c>
      <c r="G1177">
        <v>1077</v>
      </c>
      <c r="H1177" t="str">
        <f>_xlfn.XLOOKUP(tblOrders[[#This Row],[ProductID]],tblProducts[ProductID],tblProducts[ProductName],"not found")</f>
        <v>Send</v>
      </c>
      <c r="I1177" t="str">
        <f>_xlfn.XLOOKUP(tblOrders[[#This Row],[ProductID]],tblProducts[ProductID],tblProducts[Category],"not found")</f>
        <v>Furniture</v>
      </c>
      <c r="J1177">
        <f>_xlfn.XLOOKUP(tblOrders[[#This Row],[ProductID]],tblProducts[ProductID],tblProducts[UnitPrice],"not found")</f>
        <v>428.55</v>
      </c>
      <c r="K1177" t="str">
        <f>_xlfn.XLOOKUP(tblOrders[[#This Row],[ProductID]],tblProducts[ProductID],tblProducts[Supplier],"not found")</f>
        <v>Jimenez-Marks</v>
      </c>
      <c r="L1177" s="1">
        <v>45414</v>
      </c>
      <c r="M11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45414</v>
      </c>
      <c r="N1177">
        <v>8</v>
      </c>
      <c r="O1177">
        <v>3428.4</v>
      </c>
      <c r="P1177">
        <f>tblOrders[[#This Row],[Quantity]]*tblOrders[[#This Row],[Unit Price]]</f>
        <v>3428.4</v>
      </c>
      <c r="Q1177">
        <f>tblOrders[[#This Row],[TotalSales]]-tblOrders[[#This Row],[Calculated Sales]]</f>
        <v>0</v>
      </c>
    </row>
    <row r="1178" spans="1:17" x14ac:dyDescent="0.25">
      <c r="A1178">
        <v>79</v>
      </c>
      <c r="B1178">
        <v>654</v>
      </c>
      <c r="C1178" t="str">
        <f>_xlfn.XLOOKUP(tblOrders[[#This Row],[CustomerID]],tblCustomers[CustomerID],tblCustomers[CustomerName],"not found")</f>
        <v>Alexander Contreras</v>
      </c>
      <c r="D1178">
        <f>_xlfn.XLOOKUP(tblOrders[[#This Row],[CustomerID]],tblCustomers[CustomerID],tblCustomers[Age],"not found")</f>
        <v>21</v>
      </c>
      <c r="E1178" t="str">
        <f>_xlfn.XLOOKUP(tblOrders[[#This Row],[CustomerID]],tblCustomers[CustomerID],tblCustomers[Gender],"not found")</f>
        <v>Male</v>
      </c>
      <c r="F1178" t="str">
        <f>_xlfn.XLOOKUP(tblOrders[[#This Row],[CustomerID]],tblCustomers[CustomerID],tblCustomers[Region],"not found")</f>
        <v>Central</v>
      </c>
      <c r="G1178">
        <v>1082</v>
      </c>
      <c r="H1178" t="str">
        <f>_xlfn.XLOOKUP(tblOrders[[#This Row],[ProductID]],tblProducts[ProductID],tblProducts[ProductName],"not found")</f>
        <v>Agreement</v>
      </c>
      <c r="I1178" t="str">
        <f>_xlfn.XLOOKUP(tblOrders[[#This Row],[ProductID]],tblProducts[ProductID],tblProducts[Category],"not found")</f>
        <v>Beauty</v>
      </c>
      <c r="J1178">
        <f>_xlfn.XLOOKUP(tblOrders[[#This Row],[ProductID]],tblProducts[ProductID],tblProducts[UnitPrice],"not found")</f>
        <v>271.83999999999997</v>
      </c>
      <c r="K1178" t="str">
        <f>_xlfn.XLOOKUP(tblOrders[[#This Row],[ProductID]],tblProducts[ProductID],tblProducts[Supplier],"not found")</f>
        <v>Evans, Odonnell and Rogers</v>
      </c>
      <c r="L1178" s="1">
        <v>45599</v>
      </c>
      <c r="M11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45599</v>
      </c>
      <c r="N1178">
        <v>6</v>
      </c>
      <c r="O1178">
        <v>1631.04</v>
      </c>
      <c r="P1178">
        <f>tblOrders[[#This Row],[Quantity]]*tblOrders[[#This Row],[Unit Price]]</f>
        <v>1631.04</v>
      </c>
      <c r="Q1178">
        <f>tblOrders[[#This Row],[TotalSales]]-tblOrders[[#This Row],[Calculated Sales]]</f>
        <v>0</v>
      </c>
    </row>
    <row r="1179" spans="1:17" x14ac:dyDescent="0.25">
      <c r="A1179">
        <v>216</v>
      </c>
      <c r="B1179">
        <v>620</v>
      </c>
      <c r="C1179" t="str">
        <f>_xlfn.XLOOKUP(tblOrders[[#This Row],[CustomerID]],tblCustomers[CustomerID],tblCustomers[CustomerName],"not found")</f>
        <v>Mark Watkins</v>
      </c>
      <c r="D1179">
        <f>_xlfn.XLOOKUP(tblOrders[[#This Row],[CustomerID]],tblCustomers[CustomerID],tblCustomers[Age],"not found")</f>
        <v>28</v>
      </c>
      <c r="E1179" t="str">
        <f>_xlfn.XLOOKUP(tblOrders[[#This Row],[CustomerID]],tblCustomers[CustomerID],tblCustomers[Gender],"not found")</f>
        <v>Male</v>
      </c>
      <c r="F1179" t="str">
        <f>_xlfn.XLOOKUP(tblOrders[[#This Row],[CustomerID]],tblCustomers[CustomerID],tblCustomers[Region],"not found")</f>
        <v>West</v>
      </c>
      <c r="G1179">
        <v>1082</v>
      </c>
      <c r="H1179" t="str">
        <f>_xlfn.XLOOKUP(tblOrders[[#This Row],[ProductID]],tblProducts[ProductID],tblProducts[ProductName],"not found")</f>
        <v>Agreement</v>
      </c>
      <c r="I1179" t="str">
        <f>_xlfn.XLOOKUP(tblOrders[[#This Row],[ProductID]],tblProducts[ProductID],tblProducts[Category],"not found")</f>
        <v>Beauty</v>
      </c>
      <c r="J1179">
        <f>_xlfn.XLOOKUP(tblOrders[[#This Row],[ProductID]],tblProducts[ProductID],tblProducts[UnitPrice],"not found")</f>
        <v>271.83999999999997</v>
      </c>
      <c r="K1179" t="str">
        <f>_xlfn.XLOOKUP(tblOrders[[#This Row],[ProductID]],tblProducts[ProductID],tblProducts[Supplier],"not found")</f>
        <v>Evans, Odonnell and Rogers</v>
      </c>
      <c r="L1179" s="1" t="s">
        <v>2313</v>
      </c>
      <c r="M11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45494</v>
      </c>
      <c r="N1179">
        <v>1</v>
      </c>
      <c r="O1179">
        <v>271.83999999999997</v>
      </c>
      <c r="P1179">
        <f>tblOrders[[#This Row],[Quantity]]*tblOrders[[#This Row],[Unit Price]]</f>
        <v>271.83999999999997</v>
      </c>
      <c r="Q1179">
        <f>tblOrders[[#This Row],[TotalSales]]-tblOrders[[#This Row],[Calculated Sales]]</f>
        <v>0</v>
      </c>
    </row>
    <row r="1180" spans="1:17" x14ac:dyDescent="0.25">
      <c r="A1180">
        <v>265</v>
      </c>
      <c r="B1180">
        <v>148</v>
      </c>
      <c r="C1180" t="str">
        <f>_xlfn.XLOOKUP(tblOrders[[#This Row],[CustomerID]],tblCustomers[CustomerID],tblCustomers[CustomerName],"not found")</f>
        <v>Dana Young</v>
      </c>
      <c r="D1180">
        <f>_xlfn.XLOOKUP(tblOrders[[#This Row],[CustomerID]],tblCustomers[CustomerID],tblCustomers[Age],"not found")</f>
        <v>33</v>
      </c>
      <c r="E1180" t="str">
        <f>_xlfn.XLOOKUP(tblOrders[[#This Row],[CustomerID]],tblCustomers[CustomerID],tblCustomers[Gender],"not found")</f>
        <v>Male</v>
      </c>
      <c r="F1180" t="str">
        <f>_xlfn.XLOOKUP(tblOrders[[#This Row],[CustomerID]],tblCustomers[CustomerID],tblCustomers[Region],"not found")</f>
        <v>South</v>
      </c>
      <c r="G1180">
        <v>1082</v>
      </c>
      <c r="H1180" t="str">
        <f>_xlfn.XLOOKUP(tblOrders[[#This Row],[ProductID]],tblProducts[ProductID],tblProducts[ProductName],"not found")</f>
        <v>Agreement</v>
      </c>
      <c r="I1180" t="str">
        <f>_xlfn.XLOOKUP(tblOrders[[#This Row],[ProductID]],tblProducts[ProductID],tblProducts[Category],"not found")</f>
        <v>Beauty</v>
      </c>
      <c r="J1180">
        <f>_xlfn.XLOOKUP(tblOrders[[#This Row],[ProductID]],tblProducts[ProductID],tblProducts[UnitPrice],"not found")</f>
        <v>271.83999999999997</v>
      </c>
      <c r="K1180" t="str">
        <f>_xlfn.XLOOKUP(tblOrders[[#This Row],[ProductID]],tblProducts[ProductID],tblProducts[Supplier],"not found")</f>
        <v>Evans, Odonnell and Rogers</v>
      </c>
      <c r="L1180" s="1">
        <v>44997</v>
      </c>
      <c r="M11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44997</v>
      </c>
      <c r="N1180">
        <v>8</v>
      </c>
      <c r="O1180">
        <v>2174.7199999999998</v>
      </c>
      <c r="P1180">
        <f>tblOrders[[#This Row],[Quantity]]*tblOrders[[#This Row],[Unit Price]]</f>
        <v>2174.7199999999998</v>
      </c>
      <c r="Q1180">
        <f>tblOrders[[#This Row],[TotalSales]]-tblOrders[[#This Row],[Calculated Sales]]</f>
        <v>0</v>
      </c>
    </row>
    <row r="1181" spans="1:17" x14ac:dyDescent="0.25">
      <c r="A1181">
        <v>329</v>
      </c>
      <c r="B1181">
        <v>101</v>
      </c>
      <c r="C1181" t="str">
        <f>_xlfn.XLOOKUP(tblOrders[[#This Row],[CustomerID]],tblCustomers[CustomerID],tblCustomers[CustomerName],"not found")</f>
        <v>Kayla Copeland</v>
      </c>
      <c r="D1181">
        <f>_xlfn.XLOOKUP(tblOrders[[#This Row],[CustomerID]],tblCustomers[CustomerID],tblCustomers[Age],"not found")</f>
        <v>57</v>
      </c>
      <c r="E1181" t="str">
        <f>_xlfn.XLOOKUP(tblOrders[[#This Row],[CustomerID]],tblCustomers[CustomerID],tblCustomers[Gender],"not found")</f>
        <v>Female</v>
      </c>
      <c r="F1181" t="str">
        <f>_xlfn.XLOOKUP(tblOrders[[#This Row],[CustomerID]],tblCustomers[CustomerID],tblCustomers[Region],"not found")</f>
        <v>West</v>
      </c>
      <c r="G1181">
        <v>1082</v>
      </c>
      <c r="H1181" t="str">
        <f>_xlfn.XLOOKUP(tblOrders[[#This Row],[ProductID]],tblProducts[ProductID],tblProducts[ProductName],"not found")</f>
        <v>Agreement</v>
      </c>
      <c r="I1181" t="str">
        <f>_xlfn.XLOOKUP(tblOrders[[#This Row],[ProductID]],tblProducts[ProductID],tblProducts[Category],"not found")</f>
        <v>Beauty</v>
      </c>
      <c r="J1181">
        <f>_xlfn.XLOOKUP(tblOrders[[#This Row],[ProductID]],tblProducts[ProductID],tblProducts[UnitPrice],"not found")</f>
        <v>271.83999999999997</v>
      </c>
      <c r="K1181" t="str">
        <f>_xlfn.XLOOKUP(tblOrders[[#This Row],[ProductID]],tblProducts[ProductID],tblProducts[Supplier],"not found")</f>
        <v>Evans, Odonnell and Rogers</v>
      </c>
      <c r="L1181" s="1">
        <v>45331</v>
      </c>
      <c r="M11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45331</v>
      </c>
      <c r="N1181">
        <v>8</v>
      </c>
      <c r="O1181">
        <v>2174.7199999999998</v>
      </c>
      <c r="P1181">
        <f>tblOrders[[#This Row],[Quantity]]*tblOrders[[#This Row],[Unit Price]]</f>
        <v>2174.7199999999998</v>
      </c>
      <c r="Q1181">
        <f>tblOrders[[#This Row],[TotalSales]]-tblOrders[[#This Row],[Calculated Sales]]</f>
        <v>0</v>
      </c>
    </row>
    <row r="1182" spans="1:17" x14ac:dyDescent="0.25">
      <c r="A1182">
        <v>453</v>
      </c>
      <c r="B1182">
        <v>734</v>
      </c>
      <c r="C1182" t="str">
        <f>_xlfn.XLOOKUP(tblOrders[[#This Row],[CustomerID]],tblCustomers[CustomerID],tblCustomers[CustomerName],"not found")</f>
        <v>Kevin Ruiz</v>
      </c>
      <c r="D1182">
        <f>_xlfn.XLOOKUP(tblOrders[[#This Row],[CustomerID]],tblCustomers[CustomerID],tblCustomers[Age],"not found")</f>
        <v>29</v>
      </c>
      <c r="E1182" t="str">
        <f>_xlfn.XLOOKUP(tblOrders[[#This Row],[CustomerID]],tblCustomers[CustomerID],tblCustomers[Gender],"not found")</f>
        <v>Female</v>
      </c>
      <c r="F1182" t="str">
        <f>_xlfn.XLOOKUP(tblOrders[[#This Row],[CustomerID]],tblCustomers[CustomerID],tblCustomers[Region],"not found")</f>
        <v>South</v>
      </c>
      <c r="G1182">
        <v>1082</v>
      </c>
      <c r="H1182" t="str">
        <f>_xlfn.XLOOKUP(tblOrders[[#This Row],[ProductID]],tblProducts[ProductID],tblProducts[ProductName],"not found")</f>
        <v>Agreement</v>
      </c>
      <c r="I1182" t="str">
        <f>_xlfn.XLOOKUP(tblOrders[[#This Row],[ProductID]],tblProducts[ProductID],tblProducts[Category],"not found")</f>
        <v>Beauty</v>
      </c>
      <c r="J1182">
        <f>_xlfn.XLOOKUP(tblOrders[[#This Row],[ProductID]],tblProducts[ProductID],tblProducts[UnitPrice],"not found")</f>
        <v>271.83999999999997</v>
      </c>
      <c r="K1182" t="str">
        <f>_xlfn.XLOOKUP(tblOrders[[#This Row],[ProductID]],tblProducts[ProductID],tblProducts[Supplier],"not found")</f>
        <v>Evans, Odonnell and Rogers</v>
      </c>
      <c r="L1182" s="1" t="s">
        <v>2313</v>
      </c>
      <c r="M11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45494</v>
      </c>
      <c r="N1182">
        <v>9</v>
      </c>
      <c r="O1182">
        <v>2446.56</v>
      </c>
      <c r="P1182">
        <f>tblOrders[[#This Row],[Quantity]]*tblOrders[[#This Row],[Unit Price]]</f>
        <v>2446.56</v>
      </c>
      <c r="Q1182">
        <f>tblOrders[[#This Row],[TotalSales]]-tblOrders[[#This Row],[Calculated Sales]]</f>
        <v>0</v>
      </c>
    </row>
    <row r="1183" spans="1:17" x14ac:dyDescent="0.25">
      <c r="A1183">
        <v>532</v>
      </c>
      <c r="B1183">
        <v>136</v>
      </c>
      <c r="C1183" t="str">
        <f>_xlfn.XLOOKUP(tblOrders[[#This Row],[CustomerID]],tblCustomers[CustomerID],tblCustomers[CustomerName],"not found")</f>
        <v>Lance Williams</v>
      </c>
      <c r="D1183">
        <f>_xlfn.XLOOKUP(tblOrders[[#This Row],[CustomerID]],tblCustomers[CustomerID],tblCustomers[Age],"not found")</f>
        <v>45</v>
      </c>
      <c r="E1183" t="str">
        <f>_xlfn.XLOOKUP(tblOrders[[#This Row],[CustomerID]],tblCustomers[CustomerID],tblCustomers[Gender],"not found")</f>
        <v>Male</v>
      </c>
      <c r="F1183" t="str">
        <f>_xlfn.XLOOKUP(tblOrders[[#This Row],[CustomerID]],tblCustomers[CustomerID],tblCustomers[Region],"not found")</f>
        <v>Central</v>
      </c>
      <c r="G1183">
        <v>1082</v>
      </c>
      <c r="H1183" t="str">
        <f>_xlfn.XLOOKUP(tblOrders[[#This Row],[ProductID]],tblProducts[ProductID],tblProducts[ProductName],"not found")</f>
        <v>Agreement</v>
      </c>
      <c r="I1183" t="str">
        <f>_xlfn.XLOOKUP(tblOrders[[#This Row],[ProductID]],tblProducts[ProductID],tblProducts[Category],"not found")</f>
        <v>Beauty</v>
      </c>
      <c r="J1183">
        <f>_xlfn.XLOOKUP(tblOrders[[#This Row],[ProductID]],tblProducts[ProductID],tblProducts[UnitPrice],"not found")</f>
        <v>271.83999999999997</v>
      </c>
      <c r="K1183" t="str">
        <f>_xlfn.XLOOKUP(tblOrders[[#This Row],[ProductID]],tblProducts[ProductID],tblProducts[Supplier],"not found")</f>
        <v>Evans, Odonnell and Rogers</v>
      </c>
      <c r="L1183" s="1">
        <v>45019</v>
      </c>
      <c r="M11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45019</v>
      </c>
      <c r="N1183">
        <v>5</v>
      </c>
      <c r="O1183">
        <v>1359.2</v>
      </c>
      <c r="P1183">
        <f>tblOrders[[#This Row],[Quantity]]*tblOrders[[#This Row],[Unit Price]]</f>
        <v>1359.1999999999998</v>
      </c>
      <c r="Q1183">
        <f>tblOrders[[#This Row],[TotalSales]]-tblOrders[[#This Row],[Calculated Sales]]</f>
        <v>0</v>
      </c>
    </row>
    <row r="1184" spans="1:17" x14ac:dyDescent="0.25">
      <c r="A1184">
        <v>585</v>
      </c>
      <c r="B1184">
        <v>680</v>
      </c>
      <c r="C1184" t="str">
        <f>_xlfn.XLOOKUP(tblOrders[[#This Row],[CustomerID]],tblCustomers[CustomerID],tblCustomers[CustomerName],"not found")</f>
        <v>Katrina Miller</v>
      </c>
      <c r="D1184">
        <f>_xlfn.XLOOKUP(tblOrders[[#This Row],[CustomerID]],tblCustomers[CustomerID],tblCustomers[Age],"not found")</f>
        <v>63</v>
      </c>
      <c r="E1184" t="str">
        <f>_xlfn.XLOOKUP(tblOrders[[#This Row],[CustomerID]],tblCustomers[CustomerID],tblCustomers[Gender],"not found")</f>
        <v>Male</v>
      </c>
      <c r="F1184" t="str">
        <f>_xlfn.XLOOKUP(tblOrders[[#This Row],[CustomerID]],tblCustomers[CustomerID],tblCustomers[Region],"not found")</f>
        <v>West</v>
      </c>
      <c r="G1184">
        <v>1082</v>
      </c>
      <c r="H1184" t="str">
        <f>_xlfn.XLOOKUP(tblOrders[[#This Row],[ProductID]],tblProducts[ProductID],tblProducts[ProductName],"not found")</f>
        <v>Agreement</v>
      </c>
      <c r="I1184" t="str">
        <f>_xlfn.XLOOKUP(tblOrders[[#This Row],[ProductID]],tblProducts[ProductID],tblProducts[Category],"not found")</f>
        <v>Beauty</v>
      </c>
      <c r="J1184">
        <f>_xlfn.XLOOKUP(tblOrders[[#This Row],[ProductID]],tblProducts[ProductID],tblProducts[UnitPrice],"not found")</f>
        <v>271.83999999999997</v>
      </c>
      <c r="K1184" t="str">
        <f>_xlfn.XLOOKUP(tblOrders[[#This Row],[ProductID]],tblProducts[ProductID],tblProducts[Supplier],"not found")</f>
        <v>Evans, Odonnell and Rogers</v>
      </c>
      <c r="L1184" s="1">
        <v>44846</v>
      </c>
      <c r="M11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44846</v>
      </c>
      <c r="N1184">
        <v>2</v>
      </c>
      <c r="O1184">
        <v>543.67999999999995</v>
      </c>
      <c r="P1184">
        <f>tblOrders[[#This Row],[Quantity]]*tblOrders[[#This Row],[Unit Price]]</f>
        <v>543.67999999999995</v>
      </c>
      <c r="Q1184">
        <f>tblOrders[[#This Row],[TotalSales]]-tblOrders[[#This Row],[Calculated Sales]]</f>
        <v>0</v>
      </c>
    </row>
    <row r="1185" spans="1:17" x14ac:dyDescent="0.25">
      <c r="A1185">
        <v>592</v>
      </c>
      <c r="B1185">
        <v>800</v>
      </c>
      <c r="C1185" t="str">
        <f>_xlfn.XLOOKUP(tblOrders[[#This Row],[CustomerID]],tblCustomers[CustomerID],tblCustomers[CustomerName],"not found")</f>
        <v>Brian Manning</v>
      </c>
      <c r="D1185">
        <f>_xlfn.XLOOKUP(tblOrders[[#This Row],[CustomerID]],tblCustomers[CustomerID],tblCustomers[Age],"not found")</f>
        <v>27</v>
      </c>
      <c r="E1185" t="str">
        <f>_xlfn.XLOOKUP(tblOrders[[#This Row],[CustomerID]],tblCustomers[CustomerID],tblCustomers[Gender],"not found")</f>
        <v>Male</v>
      </c>
      <c r="F1185" t="str">
        <f>_xlfn.XLOOKUP(tblOrders[[#This Row],[CustomerID]],tblCustomers[CustomerID],tblCustomers[Region],"not found")</f>
        <v>South</v>
      </c>
      <c r="G1185">
        <v>1082</v>
      </c>
      <c r="H1185" t="str">
        <f>_xlfn.XLOOKUP(tblOrders[[#This Row],[ProductID]],tblProducts[ProductID],tblProducts[ProductName],"not found")</f>
        <v>Agreement</v>
      </c>
      <c r="I1185" t="str">
        <f>_xlfn.XLOOKUP(tblOrders[[#This Row],[ProductID]],tblProducts[ProductID],tblProducts[Category],"not found")</f>
        <v>Beauty</v>
      </c>
      <c r="J1185">
        <f>_xlfn.XLOOKUP(tblOrders[[#This Row],[ProductID]],tblProducts[ProductID],tblProducts[UnitPrice],"not found")</f>
        <v>271.83999999999997</v>
      </c>
      <c r="K1185" t="str">
        <f>_xlfn.XLOOKUP(tblOrders[[#This Row],[ProductID]],tblProducts[ProductID],tblProducts[Supplier],"not found")</f>
        <v>Evans, Odonnell and Rogers</v>
      </c>
      <c r="L1185" s="1">
        <v>45570</v>
      </c>
      <c r="M11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45570</v>
      </c>
      <c r="N1185">
        <v>6</v>
      </c>
      <c r="O1185">
        <v>1631.04</v>
      </c>
      <c r="P1185">
        <f>tblOrders[[#This Row],[Quantity]]*tblOrders[[#This Row],[Unit Price]]</f>
        <v>1631.04</v>
      </c>
      <c r="Q1185">
        <f>tblOrders[[#This Row],[TotalSales]]-tblOrders[[#This Row],[Calculated Sales]]</f>
        <v>0</v>
      </c>
    </row>
    <row r="1186" spans="1:17" x14ac:dyDescent="0.25">
      <c r="A1186">
        <v>644</v>
      </c>
      <c r="B1186">
        <v>517</v>
      </c>
      <c r="C1186" t="str">
        <f>_xlfn.XLOOKUP(tblOrders[[#This Row],[CustomerID]],tblCustomers[CustomerID],tblCustomers[CustomerName],"not found")</f>
        <v>Gina Brown</v>
      </c>
      <c r="D1186">
        <f>_xlfn.XLOOKUP(tblOrders[[#This Row],[CustomerID]],tblCustomers[CustomerID],tblCustomers[Age],"not found")</f>
        <v>26</v>
      </c>
      <c r="E1186" t="str">
        <f>_xlfn.XLOOKUP(tblOrders[[#This Row],[CustomerID]],tblCustomers[CustomerID],tblCustomers[Gender],"not found")</f>
        <v>Male</v>
      </c>
      <c r="F1186" t="str">
        <f>_xlfn.XLOOKUP(tblOrders[[#This Row],[CustomerID]],tblCustomers[CustomerID],tblCustomers[Region],"not found")</f>
        <v>Central</v>
      </c>
      <c r="G1186">
        <v>1082</v>
      </c>
      <c r="H1186" t="str">
        <f>_xlfn.XLOOKUP(tblOrders[[#This Row],[ProductID]],tblProducts[ProductID],tblProducts[ProductName],"not found")</f>
        <v>Agreement</v>
      </c>
      <c r="I1186" t="str">
        <f>_xlfn.XLOOKUP(tblOrders[[#This Row],[ProductID]],tblProducts[ProductID],tblProducts[Category],"not found")</f>
        <v>Beauty</v>
      </c>
      <c r="J1186">
        <f>_xlfn.XLOOKUP(tblOrders[[#This Row],[ProductID]],tblProducts[ProductID],tblProducts[UnitPrice],"not found")</f>
        <v>271.83999999999997</v>
      </c>
      <c r="K1186" t="str">
        <f>_xlfn.XLOOKUP(tblOrders[[#This Row],[ProductID]],tblProducts[ProductID],tblProducts[Supplier],"not found")</f>
        <v>Evans, Odonnell and Rogers</v>
      </c>
      <c r="L1186" s="1">
        <v>45603</v>
      </c>
      <c r="M11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45603</v>
      </c>
      <c r="N1186">
        <v>1</v>
      </c>
      <c r="O1186">
        <v>271.83999999999997</v>
      </c>
      <c r="P1186">
        <f>tblOrders[[#This Row],[Quantity]]*tblOrders[[#This Row],[Unit Price]]</f>
        <v>271.83999999999997</v>
      </c>
      <c r="Q1186">
        <f>tblOrders[[#This Row],[TotalSales]]-tblOrders[[#This Row],[Calculated Sales]]</f>
        <v>0</v>
      </c>
    </row>
    <row r="1187" spans="1:17" x14ac:dyDescent="0.25">
      <c r="A1187">
        <v>741</v>
      </c>
      <c r="B1187">
        <v>532</v>
      </c>
      <c r="C1187" t="str">
        <f>_xlfn.XLOOKUP(tblOrders[[#This Row],[CustomerID]],tblCustomers[CustomerID],tblCustomers[CustomerName],"not found")</f>
        <v>Samuel Delacruz</v>
      </c>
      <c r="D1187">
        <f>_xlfn.XLOOKUP(tblOrders[[#This Row],[CustomerID]],tblCustomers[CustomerID],tblCustomers[Age],"not found")</f>
        <v>47</v>
      </c>
      <c r="E1187" t="str">
        <f>_xlfn.XLOOKUP(tblOrders[[#This Row],[CustomerID]],tblCustomers[CustomerID],tblCustomers[Gender],"not found")</f>
        <v>Female</v>
      </c>
      <c r="F1187" t="str">
        <f>_xlfn.XLOOKUP(tblOrders[[#This Row],[CustomerID]],tblCustomers[CustomerID],tblCustomers[Region],"not found")</f>
        <v>West</v>
      </c>
      <c r="G1187">
        <v>1082</v>
      </c>
      <c r="H1187" t="str">
        <f>_xlfn.XLOOKUP(tblOrders[[#This Row],[ProductID]],tblProducts[ProductID],tblProducts[ProductName],"not found")</f>
        <v>Agreement</v>
      </c>
      <c r="I1187" t="str">
        <f>_xlfn.XLOOKUP(tblOrders[[#This Row],[ProductID]],tblProducts[ProductID],tblProducts[Category],"not found")</f>
        <v>Beauty</v>
      </c>
      <c r="J1187">
        <f>_xlfn.XLOOKUP(tblOrders[[#This Row],[ProductID]],tblProducts[ProductID],tblProducts[UnitPrice],"not found")</f>
        <v>271.83999999999997</v>
      </c>
      <c r="K1187" t="str">
        <f>_xlfn.XLOOKUP(tblOrders[[#This Row],[ProductID]],tblProducts[ProductID],tblProducts[Supplier],"not found")</f>
        <v>Evans, Odonnell and Rogers</v>
      </c>
      <c r="L1187" s="1">
        <v>45627</v>
      </c>
      <c r="M11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45627</v>
      </c>
      <c r="N1187">
        <v>6</v>
      </c>
      <c r="O1187">
        <v>1631.04</v>
      </c>
      <c r="P1187">
        <f>tblOrders[[#This Row],[Quantity]]*tblOrders[[#This Row],[Unit Price]]</f>
        <v>1631.04</v>
      </c>
      <c r="Q1187">
        <f>tblOrders[[#This Row],[TotalSales]]-tblOrders[[#This Row],[Calculated Sales]]</f>
        <v>0</v>
      </c>
    </row>
    <row r="1188" spans="1:17" x14ac:dyDescent="0.25">
      <c r="A1188">
        <v>796</v>
      </c>
      <c r="B1188">
        <v>208</v>
      </c>
      <c r="C1188" t="str">
        <f>_xlfn.XLOOKUP(tblOrders[[#This Row],[CustomerID]],tblCustomers[CustomerID],tblCustomers[CustomerName],"not found")</f>
        <v>Louis Mathews</v>
      </c>
      <c r="D1188">
        <f>_xlfn.XLOOKUP(tblOrders[[#This Row],[CustomerID]],tblCustomers[CustomerID],tblCustomers[Age],"not found")</f>
        <v>67</v>
      </c>
      <c r="E1188" t="str">
        <f>_xlfn.XLOOKUP(tblOrders[[#This Row],[CustomerID]],tblCustomers[CustomerID],tblCustomers[Gender],"not found")</f>
        <v>Female</v>
      </c>
      <c r="F1188" t="str">
        <f>_xlfn.XLOOKUP(tblOrders[[#This Row],[CustomerID]],tblCustomers[CustomerID],tblCustomers[Region],"not found")</f>
        <v>Central</v>
      </c>
      <c r="G1188">
        <v>1082</v>
      </c>
      <c r="H1188" t="str">
        <f>_xlfn.XLOOKUP(tblOrders[[#This Row],[ProductID]],tblProducts[ProductID],tblProducts[ProductName],"not found")</f>
        <v>Agreement</v>
      </c>
      <c r="I1188" t="str">
        <f>_xlfn.XLOOKUP(tblOrders[[#This Row],[ProductID]],tblProducts[ProductID],tblProducts[Category],"not found")</f>
        <v>Beauty</v>
      </c>
      <c r="J1188">
        <f>_xlfn.XLOOKUP(tblOrders[[#This Row],[ProductID]],tblProducts[ProductID],tblProducts[UnitPrice],"not found")</f>
        <v>271.83999999999997</v>
      </c>
      <c r="K1188" t="str">
        <f>_xlfn.XLOOKUP(tblOrders[[#This Row],[ProductID]],tblProducts[ProductID],tblProducts[Supplier],"not found")</f>
        <v>Evans, Odonnell and Rogers</v>
      </c>
      <c r="L1188" s="1">
        <v>44937</v>
      </c>
      <c r="M11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1188">
        <v>5</v>
      </c>
      <c r="O1188">
        <v>1359.2</v>
      </c>
      <c r="P1188">
        <f>tblOrders[[#This Row],[Quantity]]*tblOrders[[#This Row],[Unit Price]]</f>
        <v>1359.1999999999998</v>
      </c>
      <c r="Q1188">
        <f>tblOrders[[#This Row],[TotalSales]]-tblOrders[[#This Row],[Calculated Sales]]</f>
        <v>0</v>
      </c>
    </row>
    <row r="1189" spans="1:17" x14ac:dyDescent="0.25">
      <c r="A1189">
        <v>1233</v>
      </c>
      <c r="B1189">
        <v>740</v>
      </c>
      <c r="C1189" t="str">
        <f>_xlfn.XLOOKUP(tblOrders[[#This Row],[CustomerID]],tblCustomers[CustomerID],tblCustomers[CustomerName],"not found")</f>
        <v>Jonathan Strong</v>
      </c>
      <c r="D1189">
        <f>_xlfn.XLOOKUP(tblOrders[[#This Row],[CustomerID]],tblCustomers[CustomerID],tblCustomers[Age],"not found")</f>
        <v>31</v>
      </c>
      <c r="E1189" t="str">
        <f>_xlfn.XLOOKUP(tblOrders[[#This Row],[CustomerID]],tblCustomers[CustomerID],tblCustomers[Gender],"not found")</f>
        <v>Female</v>
      </c>
      <c r="F1189" t="str">
        <f>_xlfn.XLOOKUP(tblOrders[[#This Row],[CustomerID]],tblCustomers[CustomerID],tblCustomers[Region],"not found")</f>
        <v>North</v>
      </c>
      <c r="G1189">
        <v>1082</v>
      </c>
      <c r="H1189" t="str">
        <f>_xlfn.XLOOKUP(tblOrders[[#This Row],[ProductID]],tblProducts[ProductID],tblProducts[ProductName],"not found")</f>
        <v>Agreement</v>
      </c>
      <c r="I1189" t="str">
        <f>_xlfn.XLOOKUP(tblOrders[[#This Row],[ProductID]],tblProducts[ProductID],tblProducts[Category],"not found")</f>
        <v>Beauty</v>
      </c>
      <c r="J1189">
        <f>_xlfn.XLOOKUP(tblOrders[[#This Row],[ProductID]],tblProducts[ProductID],tblProducts[UnitPrice],"not found")</f>
        <v>271.83999999999997</v>
      </c>
      <c r="K1189" t="str">
        <f>_xlfn.XLOOKUP(tblOrders[[#This Row],[ProductID]],tblProducts[ProductID],tblProducts[Supplier],"not found")</f>
        <v>Evans, Odonnell and Rogers</v>
      </c>
      <c r="L1189" s="1" t="s">
        <v>2231</v>
      </c>
      <c r="M11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45587</v>
      </c>
      <c r="N1189">
        <v>4</v>
      </c>
      <c r="O1189">
        <v>1087.3599999999999</v>
      </c>
      <c r="P1189">
        <f>tblOrders[[#This Row],[Quantity]]*tblOrders[[#This Row],[Unit Price]]</f>
        <v>1087.3599999999999</v>
      </c>
      <c r="Q1189">
        <f>tblOrders[[#This Row],[TotalSales]]-tblOrders[[#This Row],[Calculated Sales]]</f>
        <v>0</v>
      </c>
    </row>
    <row r="1190" spans="1:17" x14ac:dyDescent="0.25">
      <c r="A1190">
        <v>1339</v>
      </c>
      <c r="B1190">
        <v>517</v>
      </c>
      <c r="C1190" t="str">
        <f>_xlfn.XLOOKUP(tblOrders[[#This Row],[CustomerID]],tblCustomers[CustomerID],tblCustomers[CustomerName],"not found")</f>
        <v>Gina Brown</v>
      </c>
      <c r="D1190">
        <f>_xlfn.XLOOKUP(tblOrders[[#This Row],[CustomerID]],tblCustomers[CustomerID],tblCustomers[Age],"not found")</f>
        <v>26</v>
      </c>
      <c r="E1190" t="str">
        <f>_xlfn.XLOOKUP(tblOrders[[#This Row],[CustomerID]],tblCustomers[CustomerID],tblCustomers[Gender],"not found")</f>
        <v>Male</v>
      </c>
      <c r="F1190" t="str">
        <f>_xlfn.XLOOKUP(tblOrders[[#This Row],[CustomerID]],tblCustomers[CustomerID],tblCustomers[Region],"not found")</f>
        <v>Central</v>
      </c>
      <c r="G1190">
        <v>1082</v>
      </c>
      <c r="H1190" t="str">
        <f>_xlfn.XLOOKUP(tblOrders[[#This Row],[ProductID]],tblProducts[ProductID],tblProducts[ProductName],"not found")</f>
        <v>Agreement</v>
      </c>
      <c r="I1190" t="str">
        <f>_xlfn.XLOOKUP(tblOrders[[#This Row],[ProductID]],tblProducts[ProductID],tblProducts[Category],"not found")</f>
        <v>Beauty</v>
      </c>
      <c r="J1190">
        <f>_xlfn.XLOOKUP(tblOrders[[#This Row],[ProductID]],tblProducts[ProductID],tblProducts[UnitPrice],"not found")</f>
        <v>271.83999999999997</v>
      </c>
      <c r="K1190" t="str">
        <f>_xlfn.XLOOKUP(tblOrders[[#This Row],[ProductID]],tblProducts[ProductID],tblProducts[Supplier],"not found")</f>
        <v>Evans, Odonnell and Rogers</v>
      </c>
      <c r="L1190" s="1">
        <v>45390</v>
      </c>
      <c r="M11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45390</v>
      </c>
      <c r="N1190">
        <v>7</v>
      </c>
      <c r="O1190">
        <v>1902.88</v>
      </c>
      <c r="P1190">
        <f>tblOrders[[#This Row],[Quantity]]*tblOrders[[#This Row],[Unit Price]]</f>
        <v>1902.8799999999999</v>
      </c>
      <c r="Q1190">
        <f>tblOrders[[#This Row],[TotalSales]]-tblOrders[[#This Row],[Calculated Sales]]</f>
        <v>0</v>
      </c>
    </row>
    <row r="1191" spans="1:17" x14ac:dyDescent="0.25">
      <c r="A1191">
        <v>1379</v>
      </c>
      <c r="B1191">
        <v>646</v>
      </c>
      <c r="C1191" t="str">
        <f>_xlfn.XLOOKUP(tblOrders[[#This Row],[CustomerID]],tblCustomers[CustomerID],tblCustomers[CustomerName],"not found")</f>
        <v>Donald Smith</v>
      </c>
      <c r="D1191">
        <f>_xlfn.XLOOKUP(tblOrders[[#This Row],[CustomerID]],tblCustomers[CustomerID],tblCustomers[Age],"not found")</f>
        <v>47</v>
      </c>
      <c r="E1191" t="str">
        <f>_xlfn.XLOOKUP(tblOrders[[#This Row],[CustomerID]],tblCustomers[CustomerID],tblCustomers[Gender],"not found")</f>
        <v>Female</v>
      </c>
      <c r="F1191" t="str">
        <f>_xlfn.XLOOKUP(tblOrders[[#This Row],[CustomerID]],tblCustomers[CustomerID],tblCustomers[Region],"not found")</f>
        <v>East</v>
      </c>
      <c r="G1191">
        <v>1082</v>
      </c>
      <c r="H1191" t="str">
        <f>_xlfn.XLOOKUP(tblOrders[[#This Row],[ProductID]],tblProducts[ProductID],tblProducts[ProductName],"not found")</f>
        <v>Agreement</v>
      </c>
      <c r="I1191" t="str">
        <f>_xlfn.XLOOKUP(tblOrders[[#This Row],[ProductID]],tblProducts[ProductID],tblProducts[Category],"not found")</f>
        <v>Beauty</v>
      </c>
      <c r="J1191">
        <f>_xlfn.XLOOKUP(tblOrders[[#This Row],[ProductID]],tblProducts[ProductID],tblProducts[UnitPrice],"not found")</f>
        <v>271.83999999999997</v>
      </c>
      <c r="K1191" t="str">
        <f>_xlfn.XLOOKUP(tblOrders[[#This Row],[ProductID]],tblProducts[ProductID],tblProducts[Supplier],"not found")</f>
        <v>Evans, Odonnell and Rogers</v>
      </c>
      <c r="L1191" s="1" t="s">
        <v>2137</v>
      </c>
      <c r="M11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45501</v>
      </c>
      <c r="N1191">
        <v>5</v>
      </c>
      <c r="O1191">
        <v>1359.2</v>
      </c>
      <c r="P1191">
        <f>tblOrders[[#This Row],[Quantity]]*tblOrders[[#This Row],[Unit Price]]</f>
        <v>1359.1999999999998</v>
      </c>
      <c r="Q1191">
        <f>tblOrders[[#This Row],[TotalSales]]-tblOrders[[#This Row],[Calculated Sales]]</f>
        <v>0</v>
      </c>
    </row>
    <row r="1192" spans="1:17" x14ac:dyDescent="0.25">
      <c r="A1192">
        <v>1420</v>
      </c>
      <c r="B1192">
        <v>426</v>
      </c>
      <c r="C1192" t="str">
        <f>_xlfn.XLOOKUP(tblOrders[[#This Row],[CustomerID]],tblCustomers[CustomerID],tblCustomers[CustomerName],"not found")</f>
        <v>Kevin Garcia</v>
      </c>
      <c r="D1192">
        <f>_xlfn.XLOOKUP(tblOrders[[#This Row],[CustomerID]],tblCustomers[CustomerID],tblCustomers[Age],"not found")</f>
        <v>53</v>
      </c>
      <c r="E1192" t="str">
        <f>_xlfn.XLOOKUP(tblOrders[[#This Row],[CustomerID]],tblCustomers[CustomerID],tblCustomers[Gender],"not found")</f>
        <v>Male</v>
      </c>
      <c r="F1192" t="str">
        <f>_xlfn.XLOOKUP(tblOrders[[#This Row],[CustomerID]],tblCustomers[CustomerID],tblCustomers[Region],"not found")</f>
        <v>South</v>
      </c>
      <c r="G1192">
        <v>1082</v>
      </c>
      <c r="H1192" t="str">
        <f>_xlfn.XLOOKUP(tblOrders[[#This Row],[ProductID]],tblProducts[ProductID],tblProducts[ProductName],"not found")</f>
        <v>Agreement</v>
      </c>
      <c r="I1192" t="str">
        <f>_xlfn.XLOOKUP(tblOrders[[#This Row],[ProductID]],tblProducts[ProductID],tblProducts[Category],"not found")</f>
        <v>Beauty</v>
      </c>
      <c r="J1192">
        <f>_xlfn.XLOOKUP(tblOrders[[#This Row],[ProductID]],tblProducts[ProductID],tblProducts[UnitPrice],"not found")</f>
        <v>271.83999999999997</v>
      </c>
      <c r="K1192" t="str">
        <f>_xlfn.XLOOKUP(tblOrders[[#This Row],[ProductID]],tblProducts[ProductID],tblProducts[Supplier],"not found")</f>
        <v>Evans, Odonnell and Rogers</v>
      </c>
      <c r="L1192" s="1" t="s">
        <v>2015</v>
      </c>
      <c r="M11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45556</v>
      </c>
      <c r="N1192">
        <v>7</v>
      </c>
      <c r="O1192">
        <v>1902.88</v>
      </c>
      <c r="P1192">
        <f>tblOrders[[#This Row],[Quantity]]*tblOrders[[#This Row],[Unit Price]]</f>
        <v>1902.8799999999999</v>
      </c>
      <c r="Q1192">
        <f>tblOrders[[#This Row],[TotalSales]]-tblOrders[[#This Row],[Calculated Sales]]</f>
        <v>0</v>
      </c>
    </row>
    <row r="1193" spans="1:17" x14ac:dyDescent="0.25">
      <c r="A1193">
        <v>1989</v>
      </c>
      <c r="B1193">
        <v>608</v>
      </c>
      <c r="C1193" t="str">
        <f>_xlfn.XLOOKUP(tblOrders[[#This Row],[CustomerID]],tblCustomers[CustomerID],tblCustomers[CustomerName],"not found")</f>
        <v>Sean Jimenez</v>
      </c>
      <c r="D1193">
        <f>_xlfn.XLOOKUP(tblOrders[[#This Row],[CustomerID]],tblCustomers[CustomerID],tblCustomers[Age],"not found")</f>
        <v>59</v>
      </c>
      <c r="E1193" t="str">
        <f>_xlfn.XLOOKUP(tblOrders[[#This Row],[CustomerID]],tblCustomers[CustomerID],tblCustomers[Gender],"not found")</f>
        <v>Male</v>
      </c>
      <c r="F1193" t="str">
        <f>_xlfn.XLOOKUP(tblOrders[[#This Row],[CustomerID]],tblCustomers[CustomerID],tblCustomers[Region],"not found")</f>
        <v>Central</v>
      </c>
      <c r="G1193">
        <v>1082</v>
      </c>
      <c r="H1193" t="str">
        <f>_xlfn.XLOOKUP(tblOrders[[#This Row],[ProductID]],tblProducts[ProductID],tblProducts[ProductName],"not found")</f>
        <v>Agreement</v>
      </c>
      <c r="I1193" t="str">
        <f>_xlfn.XLOOKUP(tblOrders[[#This Row],[ProductID]],tblProducts[ProductID],tblProducts[Category],"not found")</f>
        <v>Beauty</v>
      </c>
      <c r="J1193">
        <f>_xlfn.XLOOKUP(tblOrders[[#This Row],[ProductID]],tblProducts[ProductID],tblProducts[UnitPrice],"not found")</f>
        <v>271.83999999999997</v>
      </c>
      <c r="K1193" t="str">
        <f>_xlfn.XLOOKUP(tblOrders[[#This Row],[ProductID]],tblProducts[ProductID],tblProducts[Supplier],"not found")</f>
        <v>Evans, Odonnell and Rogers</v>
      </c>
      <c r="L1193" s="1" t="s">
        <v>2369</v>
      </c>
      <c r="M11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45286</v>
      </c>
      <c r="N1193">
        <v>4</v>
      </c>
      <c r="O1193">
        <v>1087.3599999999999</v>
      </c>
      <c r="P1193">
        <f>tblOrders[[#This Row],[Quantity]]*tblOrders[[#This Row],[Unit Price]]</f>
        <v>1087.3599999999999</v>
      </c>
      <c r="Q1193">
        <f>tblOrders[[#This Row],[TotalSales]]-tblOrders[[#This Row],[Calculated Sales]]</f>
        <v>0</v>
      </c>
    </row>
    <row r="1194" spans="1:17" x14ac:dyDescent="0.25">
      <c r="A1194">
        <v>84</v>
      </c>
      <c r="B1194">
        <v>812</v>
      </c>
      <c r="C1194" t="str">
        <f>_xlfn.XLOOKUP(tblOrders[[#This Row],[CustomerID]],tblCustomers[CustomerID],tblCustomers[CustomerName],"not found")</f>
        <v>Kendra Burke</v>
      </c>
      <c r="D1194">
        <f>_xlfn.XLOOKUP(tblOrders[[#This Row],[CustomerID]],tblCustomers[CustomerID],tblCustomers[Age],"not found")</f>
        <v>26</v>
      </c>
      <c r="E1194" t="str">
        <f>_xlfn.XLOOKUP(tblOrders[[#This Row],[CustomerID]],tblCustomers[CustomerID],tblCustomers[Gender],"not found")</f>
        <v>Male</v>
      </c>
      <c r="F1194" t="str">
        <f>_xlfn.XLOOKUP(tblOrders[[#This Row],[CustomerID]],tblCustomers[CustomerID],tblCustomers[Region],"not found")</f>
        <v>East</v>
      </c>
      <c r="G1194">
        <v>1098</v>
      </c>
      <c r="H1194" t="str">
        <f>_xlfn.XLOOKUP(tblOrders[[#This Row],[ProductID]],tblProducts[ProductID],tblProducts[ProductName],"not found")</f>
        <v>Too</v>
      </c>
      <c r="I1194" t="str">
        <f>_xlfn.XLOOKUP(tblOrders[[#This Row],[ProductID]],tblProducts[ProductID],tblProducts[Category],"not found")</f>
        <v>Apparel</v>
      </c>
      <c r="J1194">
        <f>_xlfn.XLOOKUP(tblOrders[[#This Row],[ProductID]],tblProducts[ProductID],tblProducts[UnitPrice],"not found")</f>
        <v>270.37</v>
      </c>
      <c r="K1194" t="str">
        <f>_xlfn.XLOOKUP(tblOrders[[#This Row],[ProductID]],tblProducts[ProductID],tblProducts[Supplier],"not found")</f>
        <v>Bates-Schmidt</v>
      </c>
      <c r="L1194" s="1">
        <v>45148</v>
      </c>
      <c r="M11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45148</v>
      </c>
      <c r="N1194">
        <v>3</v>
      </c>
      <c r="O1194">
        <v>811.11</v>
      </c>
      <c r="P1194">
        <f>tblOrders[[#This Row],[Quantity]]*tblOrders[[#This Row],[Unit Price]]</f>
        <v>811.11</v>
      </c>
      <c r="Q1194">
        <f>tblOrders[[#This Row],[TotalSales]]-tblOrders[[#This Row],[Calculated Sales]]</f>
        <v>0</v>
      </c>
    </row>
    <row r="1195" spans="1:17" x14ac:dyDescent="0.25">
      <c r="A1195">
        <v>152</v>
      </c>
      <c r="B1195">
        <v>401</v>
      </c>
      <c r="C1195" t="str">
        <f>_xlfn.XLOOKUP(tblOrders[[#This Row],[CustomerID]],tblCustomers[CustomerID],tblCustomers[CustomerName],"not found")</f>
        <v>Jordan Larson</v>
      </c>
      <c r="D1195">
        <f>_xlfn.XLOOKUP(tblOrders[[#This Row],[CustomerID]],tblCustomers[CustomerID],tblCustomers[Age],"not found")</f>
        <v>28</v>
      </c>
      <c r="E1195" t="str">
        <f>_xlfn.XLOOKUP(tblOrders[[#This Row],[CustomerID]],tblCustomers[CustomerID],tblCustomers[Gender],"not found")</f>
        <v>Male</v>
      </c>
      <c r="F1195" t="str">
        <f>_xlfn.XLOOKUP(tblOrders[[#This Row],[CustomerID]],tblCustomers[CustomerID],tblCustomers[Region],"not found")</f>
        <v>Central</v>
      </c>
      <c r="G1195">
        <v>1098</v>
      </c>
      <c r="H1195" t="str">
        <f>_xlfn.XLOOKUP(tblOrders[[#This Row],[ProductID]],tblProducts[ProductID],tblProducts[ProductName],"not found")</f>
        <v>Too</v>
      </c>
      <c r="I1195" t="str">
        <f>_xlfn.XLOOKUP(tblOrders[[#This Row],[ProductID]],tblProducts[ProductID],tblProducts[Category],"not found")</f>
        <v>Apparel</v>
      </c>
      <c r="J1195">
        <f>_xlfn.XLOOKUP(tblOrders[[#This Row],[ProductID]],tblProducts[ProductID],tblProducts[UnitPrice],"not found")</f>
        <v>270.37</v>
      </c>
      <c r="K1195" t="str">
        <f>_xlfn.XLOOKUP(tblOrders[[#This Row],[ProductID]],tblProducts[ProductID],tblProducts[Supplier],"not found")</f>
        <v>Bates-Schmidt</v>
      </c>
      <c r="L1195" s="1">
        <v>45048</v>
      </c>
      <c r="M11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45048</v>
      </c>
      <c r="N1195">
        <v>4</v>
      </c>
      <c r="O1195">
        <v>1081.48</v>
      </c>
      <c r="P1195">
        <f>tblOrders[[#This Row],[Quantity]]*tblOrders[[#This Row],[Unit Price]]</f>
        <v>1081.48</v>
      </c>
      <c r="Q1195">
        <f>tblOrders[[#This Row],[TotalSales]]-tblOrders[[#This Row],[Calculated Sales]]</f>
        <v>0</v>
      </c>
    </row>
    <row r="1196" spans="1:17" x14ac:dyDescent="0.25">
      <c r="A1196">
        <v>154</v>
      </c>
      <c r="B1196">
        <v>311</v>
      </c>
      <c r="C1196" t="str">
        <f>_xlfn.XLOOKUP(tblOrders[[#This Row],[CustomerID]],tblCustomers[CustomerID],tblCustomers[CustomerName],"not found")</f>
        <v>Sarah Ryan</v>
      </c>
      <c r="D1196">
        <f>_xlfn.XLOOKUP(tblOrders[[#This Row],[CustomerID]],tblCustomers[CustomerID],tblCustomers[Age],"not found")</f>
        <v>36</v>
      </c>
      <c r="E1196" t="str">
        <f>_xlfn.XLOOKUP(tblOrders[[#This Row],[CustomerID]],tblCustomers[CustomerID],tblCustomers[Gender],"not found")</f>
        <v>Female</v>
      </c>
      <c r="F1196" t="str">
        <f>_xlfn.XLOOKUP(tblOrders[[#This Row],[CustomerID]],tblCustomers[CustomerID],tblCustomers[Region],"not found")</f>
        <v>East</v>
      </c>
      <c r="G1196">
        <v>1098</v>
      </c>
      <c r="H1196" t="str">
        <f>_xlfn.XLOOKUP(tblOrders[[#This Row],[ProductID]],tblProducts[ProductID],tblProducts[ProductName],"not found")</f>
        <v>Too</v>
      </c>
      <c r="I1196" t="str">
        <f>_xlfn.XLOOKUP(tblOrders[[#This Row],[ProductID]],tblProducts[ProductID],tblProducts[Category],"not found")</f>
        <v>Apparel</v>
      </c>
      <c r="J1196">
        <f>_xlfn.XLOOKUP(tblOrders[[#This Row],[ProductID]],tblProducts[ProductID],tblProducts[UnitPrice],"not found")</f>
        <v>270.37</v>
      </c>
      <c r="K1196" t="str">
        <f>_xlfn.XLOOKUP(tblOrders[[#This Row],[ProductID]],tblProducts[ProductID],tblProducts[Supplier],"not found")</f>
        <v>Bates-Schmidt</v>
      </c>
      <c r="L1196" s="1" t="s">
        <v>2370</v>
      </c>
      <c r="M11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45551</v>
      </c>
      <c r="N1196">
        <v>9</v>
      </c>
      <c r="O1196">
        <v>2433.33</v>
      </c>
      <c r="P1196">
        <f>tblOrders[[#This Row],[Quantity]]*tblOrders[[#This Row],[Unit Price]]</f>
        <v>2433.33</v>
      </c>
      <c r="Q1196">
        <f>tblOrders[[#This Row],[TotalSales]]-tblOrders[[#This Row],[Calculated Sales]]</f>
        <v>0</v>
      </c>
    </row>
    <row r="1197" spans="1:17" x14ac:dyDescent="0.25">
      <c r="A1197">
        <v>239</v>
      </c>
      <c r="B1197">
        <v>674</v>
      </c>
      <c r="C1197" t="str">
        <f>_xlfn.XLOOKUP(tblOrders[[#This Row],[CustomerID]],tblCustomers[CustomerID],tblCustomers[CustomerName],"not found")</f>
        <v>Raymond Oconnor</v>
      </c>
      <c r="D1197">
        <f>_xlfn.XLOOKUP(tblOrders[[#This Row],[CustomerID]],tblCustomers[CustomerID],tblCustomers[Age],"not found")</f>
        <v>44</v>
      </c>
      <c r="E1197" t="str">
        <f>_xlfn.XLOOKUP(tblOrders[[#This Row],[CustomerID]],tblCustomers[CustomerID],tblCustomers[Gender],"not found")</f>
        <v>Female</v>
      </c>
      <c r="F1197" t="str">
        <f>_xlfn.XLOOKUP(tblOrders[[#This Row],[CustomerID]],tblCustomers[CustomerID],tblCustomers[Region],"not found")</f>
        <v>Central</v>
      </c>
      <c r="G1197">
        <v>1098</v>
      </c>
      <c r="H1197" t="str">
        <f>_xlfn.XLOOKUP(tblOrders[[#This Row],[ProductID]],tblProducts[ProductID],tblProducts[ProductName],"not found")</f>
        <v>Too</v>
      </c>
      <c r="I1197" t="str">
        <f>_xlfn.XLOOKUP(tblOrders[[#This Row],[ProductID]],tblProducts[ProductID],tblProducts[Category],"not found")</f>
        <v>Apparel</v>
      </c>
      <c r="J1197">
        <f>_xlfn.XLOOKUP(tblOrders[[#This Row],[ProductID]],tblProducts[ProductID],tblProducts[UnitPrice],"not found")</f>
        <v>270.37</v>
      </c>
      <c r="K1197" t="str">
        <f>_xlfn.XLOOKUP(tblOrders[[#This Row],[ProductID]],tblProducts[ProductID],tblProducts[Supplier],"not found")</f>
        <v>Bates-Schmidt</v>
      </c>
      <c r="L1197" s="1">
        <v>45170</v>
      </c>
      <c r="M11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45170</v>
      </c>
      <c r="N1197">
        <v>6</v>
      </c>
      <c r="O1197">
        <v>1622.22</v>
      </c>
      <c r="P1197">
        <f>tblOrders[[#This Row],[Quantity]]*tblOrders[[#This Row],[Unit Price]]</f>
        <v>1622.22</v>
      </c>
      <c r="Q1197">
        <f>tblOrders[[#This Row],[TotalSales]]-tblOrders[[#This Row],[Calculated Sales]]</f>
        <v>0</v>
      </c>
    </row>
    <row r="1198" spans="1:17" x14ac:dyDescent="0.25">
      <c r="A1198">
        <v>249</v>
      </c>
      <c r="B1198">
        <v>225</v>
      </c>
      <c r="C1198" t="str">
        <f>_xlfn.XLOOKUP(tblOrders[[#This Row],[CustomerID]],tblCustomers[CustomerID],tblCustomers[CustomerName],"not found")</f>
        <v>David Grimes</v>
      </c>
      <c r="D1198">
        <f>_xlfn.XLOOKUP(tblOrders[[#This Row],[CustomerID]],tblCustomers[CustomerID],tblCustomers[Age],"not found")</f>
        <v>66</v>
      </c>
      <c r="E1198" t="str">
        <f>_xlfn.XLOOKUP(tblOrders[[#This Row],[CustomerID]],tblCustomers[CustomerID],tblCustomers[Gender],"not found")</f>
        <v>Female</v>
      </c>
      <c r="F1198" t="str">
        <f>_xlfn.XLOOKUP(tblOrders[[#This Row],[CustomerID]],tblCustomers[CustomerID],tblCustomers[Region],"not found")</f>
        <v>Central</v>
      </c>
      <c r="G1198">
        <v>1098</v>
      </c>
      <c r="H1198" t="str">
        <f>_xlfn.XLOOKUP(tblOrders[[#This Row],[ProductID]],tblProducts[ProductID],tblProducts[ProductName],"not found")</f>
        <v>Too</v>
      </c>
      <c r="I1198" t="str">
        <f>_xlfn.XLOOKUP(tblOrders[[#This Row],[ProductID]],tblProducts[ProductID],tblProducts[Category],"not found")</f>
        <v>Apparel</v>
      </c>
      <c r="J1198">
        <f>_xlfn.XLOOKUP(tblOrders[[#This Row],[ProductID]],tblProducts[ProductID],tblProducts[UnitPrice],"not found")</f>
        <v>270.37</v>
      </c>
      <c r="K1198" t="str">
        <f>_xlfn.XLOOKUP(tblOrders[[#This Row],[ProductID]],tblProducts[ProductID],tblProducts[Supplier],"not found")</f>
        <v>Bates-Schmidt</v>
      </c>
      <c r="L1198" s="1" t="s">
        <v>2020</v>
      </c>
      <c r="M11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45565</v>
      </c>
      <c r="N1198">
        <v>3</v>
      </c>
      <c r="O1198">
        <v>811.11</v>
      </c>
      <c r="P1198">
        <f>tblOrders[[#This Row],[Quantity]]*tblOrders[[#This Row],[Unit Price]]</f>
        <v>811.11</v>
      </c>
      <c r="Q1198">
        <f>tblOrders[[#This Row],[TotalSales]]-tblOrders[[#This Row],[Calculated Sales]]</f>
        <v>0</v>
      </c>
    </row>
    <row r="1199" spans="1:17" x14ac:dyDescent="0.25">
      <c r="A1199">
        <v>277</v>
      </c>
      <c r="B1199">
        <v>283</v>
      </c>
      <c r="C1199" t="str">
        <f>_xlfn.XLOOKUP(tblOrders[[#This Row],[CustomerID]],tblCustomers[CustomerID],tblCustomers[CustomerName],"not found")</f>
        <v>Michael Payne</v>
      </c>
      <c r="D1199">
        <f>_xlfn.XLOOKUP(tblOrders[[#This Row],[CustomerID]],tblCustomers[CustomerID],tblCustomers[Age],"not found")</f>
        <v>25</v>
      </c>
      <c r="E1199" t="str">
        <f>_xlfn.XLOOKUP(tblOrders[[#This Row],[CustomerID]],tblCustomers[CustomerID],tblCustomers[Gender],"not found")</f>
        <v>Female</v>
      </c>
      <c r="F1199" t="str">
        <f>_xlfn.XLOOKUP(tblOrders[[#This Row],[CustomerID]],tblCustomers[CustomerID],tblCustomers[Region],"not found")</f>
        <v>East</v>
      </c>
      <c r="G1199">
        <v>1098</v>
      </c>
      <c r="H1199" t="str">
        <f>_xlfn.XLOOKUP(tblOrders[[#This Row],[ProductID]],tblProducts[ProductID],tblProducts[ProductName],"not found")</f>
        <v>Too</v>
      </c>
      <c r="I1199" t="str">
        <f>_xlfn.XLOOKUP(tblOrders[[#This Row],[ProductID]],tblProducts[ProductID],tblProducts[Category],"not found")</f>
        <v>Apparel</v>
      </c>
      <c r="J1199">
        <f>_xlfn.XLOOKUP(tblOrders[[#This Row],[ProductID]],tblProducts[ProductID],tblProducts[UnitPrice],"not found")</f>
        <v>270.37</v>
      </c>
      <c r="K1199" t="str">
        <f>_xlfn.XLOOKUP(tblOrders[[#This Row],[ProductID]],tblProducts[ProductID],tblProducts[Supplier],"not found")</f>
        <v>Bates-Schmidt</v>
      </c>
      <c r="L1199" s="1">
        <v>45022</v>
      </c>
      <c r="M11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45022</v>
      </c>
      <c r="N1199">
        <v>7</v>
      </c>
      <c r="O1199">
        <v>1892.59</v>
      </c>
      <c r="P1199">
        <f>tblOrders[[#This Row],[Quantity]]*tblOrders[[#This Row],[Unit Price]]</f>
        <v>1892.5900000000001</v>
      </c>
      <c r="Q1199">
        <f>tblOrders[[#This Row],[TotalSales]]-tblOrders[[#This Row],[Calculated Sales]]</f>
        <v>0</v>
      </c>
    </row>
    <row r="1200" spans="1:17" x14ac:dyDescent="0.25">
      <c r="A1200">
        <v>352</v>
      </c>
      <c r="B1200">
        <v>73</v>
      </c>
      <c r="C1200" t="str">
        <f>_xlfn.XLOOKUP(tblOrders[[#This Row],[CustomerID]],tblCustomers[CustomerID],tblCustomers[CustomerName],"not found")</f>
        <v>Troy Hicks</v>
      </c>
      <c r="D1200">
        <f>_xlfn.XLOOKUP(tblOrders[[#This Row],[CustomerID]],tblCustomers[CustomerID],tblCustomers[Age],"not found")</f>
        <v>20</v>
      </c>
      <c r="E1200" t="str">
        <f>_xlfn.XLOOKUP(tblOrders[[#This Row],[CustomerID]],tblCustomers[CustomerID],tblCustomers[Gender],"not found")</f>
        <v>Male</v>
      </c>
      <c r="F1200" t="str">
        <f>_xlfn.XLOOKUP(tblOrders[[#This Row],[CustomerID]],tblCustomers[CustomerID],tblCustomers[Region],"not found")</f>
        <v>North</v>
      </c>
      <c r="G1200">
        <v>1098</v>
      </c>
      <c r="H1200" t="str">
        <f>_xlfn.XLOOKUP(tblOrders[[#This Row],[ProductID]],tblProducts[ProductID],tblProducts[ProductName],"not found")</f>
        <v>Too</v>
      </c>
      <c r="I1200" t="str">
        <f>_xlfn.XLOOKUP(tblOrders[[#This Row],[ProductID]],tblProducts[ProductID],tblProducts[Category],"not found")</f>
        <v>Apparel</v>
      </c>
      <c r="J1200">
        <f>_xlfn.XLOOKUP(tblOrders[[#This Row],[ProductID]],tblProducts[ProductID],tblProducts[UnitPrice],"not found")</f>
        <v>270.37</v>
      </c>
      <c r="K1200" t="str">
        <f>_xlfn.XLOOKUP(tblOrders[[#This Row],[ProductID]],tblProducts[ProductID],tblProducts[Supplier],"not found")</f>
        <v>Bates-Schmidt</v>
      </c>
      <c r="L1200" s="1" t="s">
        <v>2056</v>
      </c>
      <c r="M12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45345</v>
      </c>
      <c r="N1200">
        <v>8</v>
      </c>
      <c r="O1200">
        <v>2162.96</v>
      </c>
      <c r="P1200">
        <f>tblOrders[[#This Row],[Quantity]]*tblOrders[[#This Row],[Unit Price]]</f>
        <v>2162.96</v>
      </c>
      <c r="Q1200">
        <f>tblOrders[[#This Row],[TotalSales]]-tblOrders[[#This Row],[Calculated Sales]]</f>
        <v>0</v>
      </c>
    </row>
    <row r="1201" spans="1:17" x14ac:dyDescent="0.25">
      <c r="A1201">
        <v>396</v>
      </c>
      <c r="B1201">
        <v>165</v>
      </c>
      <c r="C1201" t="str">
        <f>_xlfn.XLOOKUP(tblOrders[[#This Row],[CustomerID]],tblCustomers[CustomerID],tblCustomers[CustomerName],"not found")</f>
        <v>Nicole Hurley</v>
      </c>
      <c r="D1201">
        <f>_xlfn.XLOOKUP(tblOrders[[#This Row],[CustomerID]],tblCustomers[CustomerID],tblCustomers[Age],"not found")</f>
        <v>32</v>
      </c>
      <c r="E1201" t="str">
        <f>_xlfn.XLOOKUP(tblOrders[[#This Row],[CustomerID]],tblCustomers[CustomerID],tblCustomers[Gender],"not found")</f>
        <v>Female</v>
      </c>
      <c r="F1201" t="str">
        <f>_xlfn.XLOOKUP(tblOrders[[#This Row],[CustomerID]],tblCustomers[CustomerID],tblCustomers[Region],"not found")</f>
        <v>South</v>
      </c>
      <c r="G1201">
        <v>1098</v>
      </c>
      <c r="H1201" t="str">
        <f>_xlfn.XLOOKUP(tblOrders[[#This Row],[ProductID]],tblProducts[ProductID],tblProducts[ProductName],"not found")</f>
        <v>Too</v>
      </c>
      <c r="I1201" t="str">
        <f>_xlfn.XLOOKUP(tblOrders[[#This Row],[ProductID]],tblProducts[ProductID],tblProducts[Category],"not found")</f>
        <v>Apparel</v>
      </c>
      <c r="J1201">
        <f>_xlfn.XLOOKUP(tblOrders[[#This Row],[ProductID]],tblProducts[ProductID],tblProducts[UnitPrice],"not found")</f>
        <v>270.37</v>
      </c>
      <c r="K1201" t="str">
        <f>_xlfn.XLOOKUP(tblOrders[[#This Row],[ProductID]],tblProducts[ProductID],tblProducts[Supplier],"not found")</f>
        <v>Bates-Schmidt</v>
      </c>
      <c r="L1201" s="1" t="s">
        <v>2335</v>
      </c>
      <c r="M12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45549</v>
      </c>
      <c r="N1201">
        <v>7</v>
      </c>
      <c r="O1201">
        <v>1892.59</v>
      </c>
      <c r="P1201">
        <f>tblOrders[[#This Row],[Quantity]]*tblOrders[[#This Row],[Unit Price]]</f>
        <v>1892.5900000000001</v>
      </c>
      <c r="Q1201">
        <f>tblOrders[[#This Row],[TotalSales]]-tblOrders[[#This Row],[Calculated Sales]]</f>
        <v>0</v>
      </c>
    </row>
    <row r="1202" spans="1:17" x14ac:dyDescent="0.25">
      <c r="A1202">
        <v>463</v>
      </c>
      <c r="B1202">
        <v>770</v>
      </c>
      <c r="C1202" t="str">
        <f>_xlfn.XLOOKUP(tblOrders[[#This Row],[CustomerID]],tblCustomers[CustomerID],tblCustomers[CustomerName],"not found")</f>
        <v>Laurie Jimenez</v>
      </c>
      <c r="D1202">
        <f>_xlfn.XLOOKUP(tblOrders[[#This Row],[CustomerID]],tblCustomers[CustomerID],tblCustomers[Age],"not found")</f>
        <v>50</v>
      </c>
      <c r="E1202" t="str">
        <f>_xlfn.XLOOKUP(tblOrders[[#This Row],[CustomerID]],tblCustomers[CustomerID],tblCustomers[Gender],"not found")</f>
        <v>Female</v>
      </c>
      <c r="F1202" t="str">
        <f>_xlfn.XLOOKUP(tblOrders[[#This Row],[CustomerID]],tblCustomers[CustomerID],tblCustomers[Region],"not found")</f>
        <v>West</v>
      </c>
      <c r="G1202">
        <v>1098</v>
      </c>
      <c r="H1202" t="str">
        <f>_xlfn.XLOOKUP(tblOrders[[#This Row],[ProductID]],tblProducts[ProductID],tblProducts[ProductName],"not found")</f>
        <v>Too</v>
      </c>
      <c r="I1202" t="str">
        <f>_xlfn.XLOOKUP(tblOrders[[#This Row],[ProductID]],tblProducts[ProductID],tblProducts[Category],"not found")</f>
        <v>Apparel</v>
      </c>
      <c r="J1202">
        <f>_xlfn.XLOOKUP(tblOrders[[#This Row],[ProductID]],tblProducts[ProductID],tblProducts[UnitPrice],"not found")</f>
        <v>270.37</v>
      </c>
      <c r="K1202" t="str">
        <f>_xlfn.XLOOKUP(tblOrders[[#This Row],[ProductID]],tblProducts[ProductID],tblProducts[Supplier],"not found")</f>
        <v>Bates-Schmidt</v>
      </c>
      <c r="L1202" s="1" t="s">
        <v>2183</v>
      </c>
      <c r="M12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45304</v>
      </c>
      <c r="N1202">
        <v>5</v>
      </c>
      <c r="O1202">
        <v>1351.85</v>
      </c>
      <c r="P1202">
        <f>tblOrders[[#This Row],[Quantity]]*tblOrders[[#This Row],[Unit Price]]</f>
        <v>1351.85</v>
      </c>
      <c r="Q1202">
        <f>tblOrders[[#This Row],[TotalSales]]-tblOrders[[#This Row],[Calculated Sales]]</f>
        <v>0</v>
      </c>
    </row>
    <row r="1203" spans="1:17" x14ac:dyDescent="0.25">
      <c r="A1203">
        <v>659</v>
      </c>
      <c r="B1203">
        <v>363</v>
      </c>
      <c r="C1203" t="str">
        <f>_xlfn.XLOOKUP(tblOrders[[#This Row],[CustomerID]],tblCustomers[CustomerID],tblCustomers[CustomerName],"not found")</f>
        <v>Dale Black</v>
      </c>
      <c r="D1203">
        <f>_xlfn.XLOOKUP(tblOrders[[#This Row],[CustomerID]],tblCustomers[CustomerID],tblCustomers[Age],"not found")</f>
        <v>33</v>
      </c>
      <c r="E1203" t="str">
        <f>_xlfn.XLOOKUP(tblOrders[[#This Row],[CustomerID]],tblCustomers[CustomerID],tblCustomers[Gender],"not found")</f>
        <v>Female</v>
      </c>
      <c r="F1203" t="str">
        <f>_xlfn.XLOOKUP(tblOrders[[#This Row],[CustomerID]],tblCustomers[CustomerID],tblCustomers[Region],"not found")</f>
        <v>Central</v>
      </c>
      <c r="G1203">
        <v>1098</v>
      </c>
      <c r="H1203" t="str">
        <f>_xlfn.XLOOKUP(tblOrders[[#This Row],[ProductID]],tblProducts[ProductID],tblProducts[ProductName],"not found")</f>
        <v>Too</v>
      </c>
      <c r="I1203" t="str">
        <f>_xlfn.XLOOKUP(tblOrders[[#This Row],[ProductID]],tblProducts[ProductID],tblProducts[Category],"not found")</f>
        <v>Apparel</v>
      </c>
      <c r="J1203">
        <f>_xlfn.XLOOKUP(tblOrders[[#This Row],[ProductID]],tblProducts[ProductID],tblProducts[UnitPrice],"not found")</f>
        <v>270.37</v>
      </c>
      <c r="K1203" t="str">
        <f>_xlfn.XLOOKUP(tblOrders[[#This Row],[ProductID]],tblProducts[ProductID],tblProducts[Supplier],"not found")</f>
        <v>Bates-Schmidt</v>
      </c>
      <c r="L1203" s="1">
        <v>45357</v>
      </c>
      <c r="M12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45357</v>
      </c>
      <c r="N1203">
        <v>1</v>
      </c>
      <c r="O1203">
        <v>270.37</v>
      </c>
      <c r="P1203">
        <f>tblOrders[[#This Row],[Quantity]]*tblOrders[[#This Row],[Unit Price]]</f>
        <v>270.37</v>
      </c>
      <c r="Q1203">
        <f>tblOrders[[#This Row],[TotalSales]]-tblOrders[[#This Row],[Calculated Sales]]</f>
        <v>0</v>
      </c>
    </row>
    <row r="1204" spans="1:17" x14ac:dyDescent="0.25">
      <c r="A1204">
        <v>716</v>
      </c>
      <c r="B1204">
        <v>447</v>
      </c>
      <c r="C1204" t="str">
        <f>_xlfn.XLOOKUP(tblOrders[[#This Row],[CustomerID]],tblCustomers[CustomerID],tblCustomers[CustomerName],"not found")</f>
        <v>Melissa Tucker</v>
      </c>
      <c r="D1204">
        <f>_xlfn.XLOOKUP(tblOrders[[#This Row],[CustomerID]],tblCustomers[CustomerID],tblCustomers[Age],"not found")</f>
        <v>19</v>
      </c>
      <c r="E1204" t="str">
        <f>_xlfn.XLOOKUP(tblOrders[[#This Row],[CustomerID]],tblCustomers[CustomerID],tblCustomers[Gender],"not found")</f>
        <v>Female</v>
      </c>
      <c r="F1204" t="str">
        <f>_xlfn.XLOOKUP(tblOrders[[#This Row],[CustomerID]],tblCustomers[CustomerID],tblCustomers[Region],"not found")</f>
        <v>North</v>
      </c>
      <c r="G1204">
        <v>1098</v>
      </c>
      <c r="H1204" t="str">
        <f>_xlfn.XLOOKUP(tblOrders[[#This Row],[ProductID]],tblProducts[ProductID],tblProducts[ProductName],"not found")</f>
        <v>Too</v>
      </c>
      <c r="I1204" t="str">
        <f>_xlfn.XLOOKUP(tblOrders[[#This Row],[ProductID]],tblProducts[ProductID],tblProducts[Category],"not found")</f>
        <v>Apparel</v>
      </c>
      <c r="J1204">
        <f>_xlfn.XLOOKUP(tblOrders[[#This Row],[ProductID]],tblProducts[ProductID],tblProducts[UnitPrice],"not found")</f>
        <v>270.37</v>
      </c>
      <c r="K1204" t="str">
        <f>_xlfn.XLOOKUP(tblOrders[[#This Row],[ProductID]],tblProducts[ProductID],tblProducts[Supplier],"not found")</f>
        <v>Bates-Schmidt</v>
      </c>
      <c r="L1204" s="1" t="s">
        <v>2102</v>
      </c>
      <c r="M12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45249</v>
      </c>
      <c r="N1204">
        <v>8</v>
      </c>
      <c r="O1204">
        <v>2162.96</v>
      </c>
      <c r="P1204">
        <f>tblOrders[[#This Row],[Quantity]]*tblOrders[[#This Row],[Unit Price]]</f>
        <v>2162.96</v>
      </c>
      <c r="Q1204">
        <f>tblOrders[[#This Row],[TotalSales]]-tblOrders[[#This Row],[Calculated Sales]]</f>
        <v>0</v>
      </c>
    </row>
    <row r="1205" spans="1:17" x14ac:dyDescent="0.25">
      <c r="A1205">
        <v>758</v>
      </c>
      <c r="B1205">
        <v>975</v>
      </c>
      <c r="C1205" t="str">
        <f>_xlfn.XLOOKUP(tblOrders[[#This Row],[CustomerID]],tblCustomers[CustomerID],tblCustomers[CustomerName],"not found")</f>
        <v>Pedro Williams</v>
      </c>
      <c r="D1205">
        <f>_xlfn.XLOOKUP(tblOrders[[#This Row],[CustomerID]],tblCustomers[CustomerID],tblCustomers[Age],"not found")</f>
        <v>69</v>
      </c>
      <c r="E1205" t="str">
        <f>_xlfn.XLOOKUP(tblOrders[[#This Row],[CustomerID]],tblCustomers[CustomerID],tblCustomers[Gender],"not found")</f>
        <v>Female</v>
      </c>
      <c r="F1205" t="str">
        <f>_xlfn.XLOOKUP(tblOrders[[#This Row],[CustomerID]],tblCustomers[CustomerID],tblCustomers[Region],"not found")</f>
        <v>East</v>
      </c>
      <c r="G1205">
        <v>1098</v>
      </c>
      <c r="H1205" t="str">
        <f>_xlfn.XLOOKUP(tblOrders[[#This Row],[ProductID]],tblProducts[ProductID],tblProducts[ProductName],"not found")</f>
        <v>Too</v>
      </c>
      <c r="I1205" t="str">
        <f>_xlfn.XLOOKUP(tblOrders[[#This Row],[ProductID]],tblProducts[ProductID],tblProducts[Category],"not found")</f>
        <v>Apparel</v>
      </c>
      <c r="J1205">
        <f>_xlfn.XLOOKUP(tblOrders[[#This Row],[ProductID]],tblProducts[ProductID],tblProducts[UnitPrice],"not found")</f>
        <v>270.37</v>
      </c>
      <c r="K1205" t="str">
        <f>_xlfn.XLOOKUP(tblOrders[[#This Row],[ProductID]],tblProducts[ProductID],tblProducts[Supplier],"not found")</f>
        <v>Bates-Schmidt</v>
      </c>
      <c r="L1205" s="1">
        <v>45383</v>
      </c>
      <c r="M12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45383</v>
      </c>
      <c r="N1205">
        <v>9</v>
      </c>
      <c r="O1205">
        <v>2433.33</v>
      </c>
      <c r="P1205">
        <f>tblOrders[[#This Row],[Quantity]]*tblOrders[[#This Row],[Unit Price]]</f>
        <v>2433.33</v>
      </c>
      <c r="Q1205">
        <f>tblOrders[[#This Row],[TotalSales]]-tblOrders[[#This Row],[Calculated Sales]]</f>
        <v>0</v>
      </c>
    </row>
    <row r="1206" spans="1:17" x14ac:dyDescent="0.25">
      <c r="A1206">
        <v>899</v>
      </c>
      <c r="B1206">
        <v>406</v>
      </c>
      <c r="C1206" t="str">
        <f>_xlfn.XLOOKUP(tblOrders[[#This Row],[CustomerID]],tblCustomers[CustomerID],tblCustomers[CustomerName],"not found")</f>
        <v>Tammy Harvey</v>
      </c>
      <c r="D1206">
        <f>_xlfn.XLOOKUP(tblOrders[[#This Row],[CustomerID]],tblCustomers[CustomerID],tblCustomers[Age],"not found")</f>
        <v>30</v>
      </c>
      <c r="E1206" t="str">
        <f>_xlfn.XLOOKUP(tblOrders[[#This Row],[CustomerID]],tblCustomers[CustomerID],tblCustomers[Gender],"not found")</f>
        <v>Female</v>
      </c>
      <c r="F1206" t="str">
        <f>_xlfn.XLOOKUP(tblOrders[[#This Row],[CustomerID]],tblCustomers[CustomerID],tblCustomers[Region],"not found")</f>
        <v>South</v>
      </c>
      <c r="G1206">
        <v>1098</v>
      </c>
      <c r="H1206" t="str">
        <f>_xlfn.XLOOKUP(tblOrders[[#This Row],[ProductID]],tblProducts[ProductID],tblProducts[ProductName],"not found")</f>
        <v>Too</v>
      </c>
      <c r="I1206" t="str">
        <f>_xlfn.XLOOKUP(tblOrders[[#This Row],[ProductID]],tblProducts[ProductID],tblProducts[Category],"not found")</f>
        <v>Apparel</v>
      </c>
      <c r="J1206">
        <f>_xlfn.XLOOKUP(tblOrders[[#This Row],[ProductID]],tblProducts[ProductID],tblProducts[UnitPrice],"not found")</f>
        <v>270.37</v>
      </c>
      <c r="K1206" t="str">
        <f>_xlfn.XLOOKUP(tblOrders[[#This Row],[ProductID]],tblProducts[ProductID],tblProducts[Supplier],"not found")</f>
        <v>Bates-Schmidt</v>
      </c>
      <c r="L1206" s="1">
        <v>44935</v>
      </c>
      <c r="M12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44935</v>
      </c>
      <c r="N1206">
        <v>2</v>
      </c>
      <c r="O1206">
        <v>540.74</v>
      </c>
      <c r="P1206">
        <f>tblOrders[[#This Row],[Quantity]]*tblOrders[[#This Row],[Unit Price]]</f>
        <v>540.74</v>
      </c>
      <c r="Q1206">
        <f>tblOrders[[#This Row],[TotalSales]]-tblOrders[[#This Row],[Calculated Sales]]</f>
        <v>0</v>
      </c>
    </row>
    <row r="1207" spans="1:17" x14ac:dyDescent="0.25">
      <c r="A1207">
        <v>900</v>
      </c>
      <c r="B1207">
        <v>231</v>
      </c>
      <c r="C1207" t="str">
        <f>_xlfn.XLOOKUP(tblOrders[[#This Row],[CustomerID]],tblCustomers[CustomerID],tblCustomers[CustomerName],"not found")</f>
        <v>Justin Martinez</v>
      </c>
      <c r="D1207">
        <f>_xlfn.XLOOKUP(tblOrders[[#This Row],[CustomerID]],tblCustomers[CustomerID],tblCustomers[Age],"not found")</f>
        <v>53</v>
      </c>
      <c r="E1207" t="str">
        <f>_xlfn.XLOOKUP(tblOrders[[#This Row],[CustomerID]],tblCustomers[CustomerID],tblCustomers[Gender],"not found")</f>
        <v>Male</v>
      </c>
      <c r="F1207" t="str">
        <f>_xlfn.XLOOKUP(tblOrders[[#This Row],[CustomerID]],tblCustomers[CustomerID],tblCustomers[Region],"not found")</f>
        <v>North</v>
      </c>
      <c r="G1207">
        <v>1098</v>
      </c>
      <c r="H1207" t="str">
        <f>_xlfn.XLOOKUP(tblOrders[[#This Row],[ProductID]],tblProducts[ProductID],tblProducts[ProductName],"not found")</f>
        <v>Too</v>
      </c>
      <c r="I1207" t="str">
        <f>_xlfn.XLOOKUP(tblOrders[[#This Row],[ProductID]],tblProducts[ProductID],tblProducts[Category],"not found")</f>
        <v>Apparel</v>
      </c>
      <c r="J1207">
        <f>_xlfn.XLOOKUP(tblOrders[[#This Row],[ProductID]],tblProducts[ProductID],tblProducts[UnitPrice],"not found")</f>
        <v>270.37</v>
      </c>
      <c r="K1207" t="str">
        <f>_xlfn.XLOOKUP(tblOrders[[#This Row],[ProductID]],tblProducts[ProductID],tblProducts[Supplier],"not found")</f>
        <v>Bates-Schmidt</v>
      </c>
      <c r="L1207" s="1" t="s">
        <v>2147</v>
      </c>
      <c r="M12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1207">
        <v>8</v>
      </c>
      <c r="O1207">
        <v>2162.96</v>
      </c>
      <c r="P1207">
        <f>tblOrders[[#This Row],[Quantity]]*tblOrders[[#This Row],[Unit Price]]</f>
        <v>2162.96</v>
      </c>
      <c r="Q1207">
        <f>tblOrders[[#This Row],[TotalSales]]-tblOrders[[#This Row],[Calculated Sales]]</f>
        <v>0</v>
      </c>
    </row>
    <row r="1208" spans="1:17" x14ac:dyDescent="0.25">
      <c r="A1208">
        <v>997</v>
      </c>
      <c r="B1208">
        <v>141</v>
      </c>
      <c r="C1208" t="str">
        <f>_xlfn.XLOOKUP(tblOrders[[#This Row],[CustomerID]],tblCustomers[CustomerID],tblCustomers[CustomerName],"not found")</f>
        <v>Ashley Perry</v>
      </c>
      <c r="D1208">
        <f>_xlfn.XLOOKUP(tblOrders[[#This Row],[CustomerID]],tblCustomers[CustomerID],tblCustomers[Age],"not found")</f>
        <v>49</v>
      </c>
      <c r="E1208" t="str">
        <f>_xlfn.XLOOKUP(tblOrders[[#This Row],[CustomerID]],tblCustomers[CustomerID],tblCustomers[Gender],"not found")</f>
        <v>Female</v>
      </c>
      <c r="F1208" t="str">
        <f>_xlfn.XLOOKUP(tblOrders[[#This Row],[CustomerID]],tblCustomers[CustomerID],tblCustomers[Region],"not found")</f>
        <v>Central</v>
      </c>
      <c r="G1208">
        <v>1098</v>
      </c>
      <c r="H1208" t="str">
        <f>_xlfn.XLOOKUP(tblOrders[[#This Row],[ProductID]],tblProducts[ProductID],tblProducts[ProductName],"not found")</f>
        <v>Too</v>
      </c>
      <c r="I1208" t="str">
        <f>_xlfn.XLOOKUP(tblOrders[[#This Row],[ProductID]],tblProducts[ProductID],tblProducts[Category],"not found")</f>
        <v>Apparel</v>
      </c>
      <c r="J1208">
        <f>_xlfn.XLOOKUP(tblOrders[[#This Row],[ProductID]],tblProducts[ProductID],tblProducts[UnitPrice],"not found")</f>
        <v>270.37</v>
      </c>
      <c r="K1208" t="str">
        <f>_xlfn.XLOOKUP(tblOrders[[#This Row],[ProductID]],tblProducts[ProductID],tblProducts[Supplier],"not found")</f>
        <v>Bates-Schmidt</v>
      </c>
      <c r="L1208" s="1">
        <v>45383</v>
      </c>
      <c r="M12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45383</v>
      </c>
      <c r="N1208">
        <v>5</v>
      </c>
      <c r="O1208">
        <v>1351.85</v>
      </c>
      <c r="P1208">
        <f>tblOrders[[#This Row],[Quantity]]*tblOrders[[#This Row],[Unit Price]]</f>
        <v>1351.85</v>
      </c>
      <c r="Q1208">
        <f>tblOrders[[#This Row],[TotalSales]]-tblOrders[[#This Row],[Calculated Sales]]</f>
        <v>0</v>
      </c>
    </row>
    <row r="1209" spans="1:17" x14ac:dyDescent="0.25">
      <c r="A1209">
        <v>1347</v>
      </c>
      <c r="B1209">
        <v>195</v>
      </c>
      <c r="C1209" t="str">
        <f>_xlfn.XLOOKUP(tblOrders[[#This Row],[CustomerID]],tblCustomers[CustomerID],tblCustomers[CustomerName],"not found")</f>
        <v>Chelsea Pierce</v>
      </c>
      <c r="D1209">
        <f>_xlfn.XLOOKUP(tblOrders[[#This Row],[CustomerID]],tblCustomers[CustomerID],tblCustomers[Age],"not found")</f>
        <v>53</v>
      </c>
      <c r="E1209" t="str">
        <f>_xlfn.XLOOKUP(tblOrders[[#This Row],[CustomerID]],tblCustomers[CustomerID],tblCustomers[Gender],"not found")</f>
        <v>Female</v>
      </c>
      <c r="F1209" t="str">
        <f>_xlfn.XLOOKUP(tblOrders[[#This Row],[CustomerID]],tblCustomers[CustomerID],tblCustomers[Region],"not found")</f>
        <v>Central</v>
      </c>
      <c r="G1209">
        <v>1098</v>
      </c>
      <c r="H1209" t="str">
        <f>_xlfn.XLOOKUP(tblOrders[[#This Row],[ProductID]],tblProducts[ProductID],tblProducts[ProductName],"not found")</f>
        <v>Too</v>
      </c>
      <c r="I1209" t="str">
        <f>_xlfn.XLOOKUP(tblOrders[[#This Row],[ProductID]],tblProducts[ProductID],tblProducts[Category],"not found")</f>
        <v>Apparel</v>
      </c>
      <c r="J1209">
        <f>_xlfn.XLOOKUP(tblOrders[[#This Row],[ProductID]],tblProducts[ProductID],tblProducts[UnitPrice],"not found")</f>
        <v>270.37</v>
      </c>
      <c r="K1209" t="str">
        <f>_xlfn.XLOOKUP(tblOrders[[#This Row],[ProductID]],tblProducts[ProductID],tblProducts[Supplier],"not found")</f>
        <v>Bates-Schmidt</v>
      </c>
      <c r="L1209" s="1" t="s">
        <v>2141</v>
      </c>
      <c r="M12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44925</v>
      </c>
      <c r="N1209">
        <v>1</v>
      </c>
      <c r="O1209">
        <v>270.37</v>
      </c>
      <c r="P1209">
        <f>tblOrders[[#This Row],[Quantity]]*tblOrders[[#This Row],[Unit Price]]</f>
        <v>270.37</v>
      </c>
      <c r="Q1209">
        <f>tblOrders[[#This Row],[TotalSales]]-tblOrders[[#This Row],[Calculated Sales]]</f>
        <v>0</v>
      </c>
    </row>
    <row r="1210" spans="1:17" x14ac:dyDescent="0.25">
      <c r="A1210">
        <v>1686</v>
      </c>
      <c r="B1210">
        <v>818</v>
      </c>
      <c r="C1210" t="str">
        <f>_xlfn.XLOOKUP(tblOrders[[#This Row],[CustomerID]],tblCustomers[CustomerID],tblCustomers[CustomerName],"not found")</f>
        <v>Kathleen Johnson</v>
      </c>
      <c r="D1210">
        <f>_xlfn.XLOOKUP(tblOrders[[#This Row],[CustomerID]],tblCustomers[CustomerID],tblCustomers[Age],"not found")</f>
        <v>68</v>
      </c>
      <c r="E1210" t="str">
        <f>_xlfn.XLOOKUP(tblOrders[[#This Row],[CustomerID]],tblCustomers[CustomerID],tblCustomers[Gender],"not found")</f>
        <v>Male</v>
      </c>
      <c r="F1210" t="str">
        <f>_xlfn.XLOOKUP(tblOrders[[#This Row],[CustomerID]],tblCustomers[CustomerID],tblCustomers[Region],"not found")</f>
        <v>South</v>
      </c>
      <c r="G1210">
        <v>1098</v>
      </c>
      <c r="H1210" t="str">
        <f>_xlfn.XLOOKUP(tblOrders[[#This Row],[ProductID]],tblProducts[ProductID],tblProducts[ProductName],"not found")</f>
        <v>Too</v>
      </c>
      <c r="I1210" t="str">
        <f>_xlfn.XLOOKUP(tblOrders[[#This Row],[ProductID]],tblProducts[ProductID],tblProducts[Category],"not found")</f>
        <v>Apparel</v>
      </c>
      <c r="J1210">
        <f>_xlfn.XLOOKUP(tblOrders[[#This Row],[ProductID]],tblProducts[ProductID],tblProducts[UnitPrice],"not found")</f>
        <v>270.37</v>
      </c>
      <c r="K1210" t="str">
        <f>_xlfn.XLOOKUP(tblOrders[[#This Row],[ProductID]],tblProducts[ProductID],tblProducts[Supplier],"not found")</f>
        <v>Bates-Schmidt</v>
      </c>
      <c r="L1210" s="1">
        <v>45384</v>
      </c>
      <c r="M12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45384</v>
      </c>
      <c r="N1210">
        <v>6</v>
      </c>
      <c r="O1210">
        <v>1622.22</v>
      </c>
      <c r="P1210">
        <f>tblOrders[[#This Row],[Quantity]]*tblOrders[[#This Row],[Unit Price]]</f>
        <v>1622.22</v>
      </c>
      <c r="Q1210">
        <f>tblOrders[[#This Row],[TotalSales]]-tblOrders[[#This Row],[Calculated Sales]]</f>
        <v>0</v>
      </c>
    </row>
    <row r="1211" spans="1:17" x14ac:dyDescent="0.25">
      <c r="A1211">
        <v>1689</v>
      </c>
      <c r="B1211">
        <v>557</v>
      </c>
      <c r="C1211" t="str">
        <f>_xlfn.XLOOKUP(tblOrders[[#This Row],[CustomerID]],tblCustomers[CustomerID],tblCustomers[CustomerName],"not found")</f>
        <v>Max Mayo</v>
      </c>
      <c r="D1211">
        <f>_xlfn.XLOOKUP(tblOrders[[#This Row],[CustomerID]],tblCustomers[CustomerID],tblCustomers[Age],"not found")</f>
        <v>41</v>
      </c>
      <c r="E1211" t="str">
        <f>_xlfn.XLOOKUP(tblOrders[[#This Row],[CustomerID]],tblCustomers[CustomerID],tblCustomers[Gender],"not found")</f>
        <v>Female</v>
      </c>
      <c r="F1211" t="str">
        <f>_xlfn.XLOOKUP(tblOrders[[#This Row],[CustomerID]],tblCustomers[CustomerID],tblCustomers[Region],"not found")</f>
        <v>South</v>
      </c>
      <c r="G1211">
        <v>1098</v>
      </c>
      <c r="H1211" t="str">
        <f>_xlfn.XLOOKUP(tblOrders[[#This Row],[ProductID]],tblProducts[ProductID],tblProducts[ProductName],"not found")</f>
        <v>Too</v>
      </c>
      <c r="I1211" t="str">
        <f>_xlfn.XLOOKUP(tblOrders[[#This Row],[ProductID]],tblProducts[ProductID],tblProducts[Category],"not found")</f>
        <v>Apparel</v>
      </c>
      <c r="J1211">
        <f>_xlfn.XLOOKUP(tblOrders[[#This Row],[ProductID]],tblProducts[ProductID],tblProducts[UnitPrice],"not found")</f>
        <v>270.37</v>
      </c>
      <c r="K1211" t="str">
        <f>_xlfn.XLOOKUP(tblOrders[[#This Row],[ProductID]],tblProducts[ProductID],tblProducts[Supplier],"not found")</f>
        <v>Bates-Schmidt</v>
      </c>
      <c r="L1211" s="1" t="s">
        <v>2194</v>
      </c>
      <c r="M12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45531</v>
      </c>
      <c r="N1211">
        <v>7</v>
      </c>
      <c r="O1211">
        <v>1892.59</v>
      </c>
      <c r="P1211">
        <f>tblOrders[[#This Row],[Quantity]]*tblOrders[[#This Row],[Unit Price]]</f>
        <v>1892.5900000000001</v>
      </c>
      <c r="Q1211">
        <f>tblOrders[[#This Row],[TotalSales]]-tblOrders[[#This Row],[Calculated Sales]]</f>
        <v>0</v>
      </c>
    </row>
    <row r="1212" spans="1:17" x14ac:dyDescent="0.25">
      <c r="A1212">
        <v>85</v>
      </c>
      <c r="B1212">
        <v>641</v>
      </c>
      <c r="C1212" t="str">
        <f>_xlfn.XLOOKUP(tblOrders[[#This Row],[CustomerID]],tblCustomers[CustomerID],tblCustomers[CustomerName],"not found")</f>
        <v>Lindsay Wong</v>
      </c>
      <c r="D1212">
        <f>_xlfn.XLOOKUP(tblOrders[[#This Row],[CustomerID]],tblCustomers[CustomerID],tblCustomers[Age],"not found")</f>
        <v>38</v>
      </c>
      <c r="E1212" t="str">
        <f>_xlfn.XLOOKUP(tblOrders[[#This Row],[CustomerID]],tblCustomers[CustomerID],tblCustomers[Gender],"not found")</f>
        <v>Female</v>
      </c>
      <c r="F1212" t="str">
        <f>_xlfn.XLOOKUP(tblOrders[[#This Row],[CustomerID]],tblCustomers[CustomerID],tblCustomers[Region],"not found")</f>
        <v>East</v>
      </c>
      <c r="G1212">
        <v>1075</v>
      </c>
      <c r="H1212" t="str">
        <f>_xlfn.XLOOKUP(tblOrders[[#This Row],[ProductID]],tblProducts[ProductID],tblProducts[ProductName],"not found")</f>
        <v>Reduce</v>
      </c>
      <c r="I1212" t="str">
        <f>_xlfn.XLOOKUP(tblOrders[[#This Row],[ProductID]],tblProducts[ProductID],tblProducts[Category],"not found")</f>
        <v>Furniture</v>
      </c>
      <c r="J1212">
        <f>_xlfn.XLOOKUP(tblOrders[[#This Row],[ProductID]],tblProducts[ProductID],tblProducts[UnitPrice],"not found")</f>
        <v>385.86</v>
      </c>
      <c r="K1212" t="str">
        <f>_xlfn.XLOOKUP(tblOrders[[#This Row],[ProductID]],tblProducts[ProductID],tblProducts[Supplier],"not found")</f>
        <v>Chan-Acevedo</v>
      </c>
      <c r="L1212" s="1">
        <v>45207</v>
      </c>
      <c r="M12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45207</v>
      </c>
      <c r="N1212">
        <v>5</v>
      </c>
      <c r="O1212">
        <v>1929.3</v>
      </c>
      <c r="P1212">
        <f>tblOrders[[#This Row],[Quantity]]*tblOrders[[#This Row],[Unit Price]]</f>
        <v>1929.3000000000002</v>
      </c>
      <c r="Q1212">
        <f>tblOrders[[#This Row],[TotalSales]]-tblOrders[[#This Row],[Calculated Sales]]</f>
        <v>0</v>
      </c>
    </row>
    <row r="1213" spans="1:17" x14ac:dyDescent="0.25">
      <c r="A1213">
        <v>199</v>
      </c>
      <c r="B1213">
        <v>32</v>
      </c>
      <c r="C1213" t="str">
        <f>_xlfn.XLOOKUP(tblOrders[[#This Row],[CustomerID]],tblCustomers[CustomerID],tblCustomers[CustomerName],"not found")</f>
        <v>Gary Davis MD</v>
      </c>
      <c r="D1213">
        <f>_xlfn.XLOOKUP(tblOrders[[#This Row],[CustomerID]],tblCustomers[CustomerID],tblCustomers[Age],"not found")</f>
        <v>39</v>
      </c>
      <c r="E1213" t="str">
        <f>_xlfn.XLOOKUP(tblOrders[[#This Row],[CustomerID]],tblCustomers[CustomerID],tblCustomers[Gender],"not found")</f>
        <v>Male</v>
      </c>
      <c r="F1213" t="str">
        <f>_xlfn.XLOOKUP(tblOrders[[#This Row],[CustomerID]],tblCustomers[CustomerID],tblCustomers[Region],"not found")</f>
        <v>East</v>
      </c>
      <c r="G1213">
        <v>1075</v>
      </c>
      <c r="H1213" t="str">
        <f>_xlfn.XLOOKUP(tblOrders[[#This Row],[ProductID]],tblProducts[ProductID],tblProducts[ProductName],"not found")</f>
        <v>Reduce</v>
      </c>
      <c r="I1213" t="str">
        <f>_xlfn.XLOOKUP(tblOrders[[#This Row],[ProductID]],tblProducts[ProductID],tblProducts[Category],"not found")</f>
        <v>Furniture</v>
      </c>
      <c r="J1213">
        <f>_xlfn.XLOOKUP(tblOrders[[#This Row],[ProductID]],tblProducts[ProductID],tblProducts[UnitPrice],"not found")</f>
        <v>385.86</v>
      </c>
      <c r="K1213" t="str">
        <f>_xlfn.XLOOKUP(tblOrders[[#This Row],[ProductID]],tblProducts[ProductID],tblProducts[Supplier],"not found")</f>
        <v>Chan-Acevedo</v>
      </c>
      <c r="L1213" s="1">
        <v>45261</v>
      </c>
      <c r="M12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45261</v>
      </c>
      <c r="N1213">
        <v>7</v>
      </c>
      <c r="O1213">
        <v>2701.02</v>
      </c>
      <c r="P1213">
        <f>tblOrders[[#This Row],[Quantity]]*tblOrders[[#This Row],[Unit Price]]</f>
        <v>2701.02</v>
      </c>
      <c r="Q1213">
        <f>tblOrders[[#This Row],[TotalSales]]-tblOrders[[#This Row],[Calculated Sales]]</f>
        <v>0</v>
      </c>
    </row>
    <row r="1214" spans="1:17" x14ac:dyDescent="0.25">
      <c r="A1214">
        <v>217</v>
      </c>
      <c r="B1214">
        <v>85</v>
      </c>
      <c r="C1214" t="str">
        <f>_xlfn.XLOOKUP(tblOrders[[#This Row],[CustomerID]],tblCustomers[CustomerID],tblCustomers[CustomerName],"not found")</f>
        <v>Thomas Young</v>
      </c>
      <c r="D1214">
        <f>_xlfn.XLOOKUP(tblOrders[[#This Row],[CustomerID]],tblCustomers[CustomerID],tblCustomers[Age],"not found")</f>
        <v>29</v>
      </c>
      <c r="E1214" t="str">
        <f>_xlfn.XLOOKUP(tblOrders[[#This Row],[CustomerID]],tblCustomers[CustomerID],tblCustomers[Gender],"not found")</f>
        <v>Male</v>
      </c>
      <c r="F1214" t="str">
        <f>_xlfn.XLOOKUP(tblOrders[[#This Row],[CustomerID]],tblCustomers[CustomerID],tblCustomers[Region],"not found")</f>
        <v>East</v>
      </c>
      <c r="G1214">
        <v>1075</v>
      </c>
      <c r="H1214" t="str">
        <f>_xlfn.XLOOKUP(tblOrders[[#This Row],[ProductID]],tblProducts[ProductID],tblProducts[ProductName],"not found")</f>
        <v>Reduce</v>
      </c>
      <c r="I1214" t="str">
        <f>_xlfn.XLOOKUP(tblOrders[[#This Row],[ProductID]],tblProducts[ProductID],tblProducts[Category],"not found")</f>
        <v>Furniture</v>
      </c>
      <c r="J1214">
        <f>_xlfn.XLOOKUP(tblOrders[[#This Row],[ProductID]],tblProducts[ProductID],tblProducts[UnitPrice],"not found")</f>
        <v>385.86</v>
      </c>
      <c r="K1214" t="str">
        <f>_xlfn.XLOOKUP(tblOrders[[#This Row],[ProductID]],tblProducts[ProductID],tblProducts[Supplier],"not found")</f>
        <v>Chan-Acevedo</v>
      </c>
      <c r="L1214" s="1" t="s">
        <v>2244</v>
      </c>
      <c r="M12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45498</v>
      </c>
      <c r="N1214">
        <v>6</v>
      </c>
      <c r="O1214">
        <v>2315.16</v>
      </c>
      <c r="P1214">
        <f>tblOrders[[#This Row],[Quantity]]*tblOrders[[#This Row],[Unit Price]]</f>
        <v>2315.16</v>
      </c>
      <c r="Q1214">
        <f>tblOrders[[#This Row],[TotalSales]]-tblOrders[[#This Row],[Calculated Sales]]</f>
        <v>0</v>
      </c>
    </row>
    <row r="1215" spans="1:17" x14ac:dyDescent="0.25">
      <c r="A1215">
        <v>231</v>
      </c>
      <c r="B1215">
        <v>34</v>
      </c>
      <c r="C1215" t="str">
        <f>_xlfn.XLOOKUP(tblOrders[[#This Row],[CustomerID]],tblCustomers[CustomerID],tblCustomers[CustomerName],"not found")</f>
        <v>Emily Bryan</v>
      </c>
      <c r="D1215">
        <f>_xlfn.XLOOKUP(tblOrders[[#This Row],[CustomerID]],tblCustomers[CustomerID],tblCustomers[Age],"not found")</f>
        <v>37</v>
      </c>
      <c r="E1215" t="str">
        <f>_xlfn.XLOOKUP(tblOrders[[#This Row],[CustomerID]],tblCustomers[CustomerID],tblCustomers[Gender],"not found")</f>
        <v>Male</v>
      </c>
      <c r="F1215" t="str">
        <f>_xlfn.XLOOKUP(tblOrders[[#This Row],[CustomerID]],tblCustomers[CustomerID],tblCustomers[Region],"not found")</f>
        <v>East</v>
      </c>
      <c r="G1215">
        <v>1075</v>
      </c>
      <c r="H1215" t="str">
        <f>_xlfn.XLOOKUP(tblOrders[[#This Row],[ProductID]],tblProducts[ProductID],tblProducts[ProductName],"not found")</f>
        <v>Reduce</v>
      </c>
      <c r="I1215" t="str">
        <f>_xlfn.XLOOKUP(tblOrders[[#This Row],[ProductID]],tblProducts[ProductID],tblProducts[Category],"not found")</f>
        <v>Furniture</v>
      </c>
      <c r="J1215">
        <f>_xlfn.XLOOKUP(tblOrders[[#This Row],[ProductID]],tblProducts[ProductID],tblProducts[UnitPrice],"not found")</f>
        <v>385.86</v>
      </c>
      <c r="K1215" t="str">
        <f>_xlfn.XLOOKUP(tblOrders[[#This Row],[ProductID]],tblProducts[ProductID],tblProducts[Supplier],"not found")</f>
        <v>Chan-Acevedo</v>
      </c>
      <c r="L1215" s="1" t="s">
        <v>2360</v>
      </c>
      <c r="M12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45534</v>
      </c>
      <c r="N1215">
        <v>8</v>
      </c>
      <c r="O1215">
        <v>3086.88</v>
      </c>
      <c r="P1215">
        <f>tblOrders[[#This Row],[Quantity]]*tblOrders[[#This Row],[Unit Price]]</f>
        <v>3086.88</v>
      </c>
      <c r="Q1215">
        <f>tblOrders[[#This Row],[TotalSales]]-tblOrders[[#This Row],[Calculated Sales]]</f>
        <v>0</v>
      </c>
    </row>
    <row r="1216" spans="1:17" x14ac:dyDescent="0.25">
      <c r="A1216">
        <v>237</v>
      </c>
      <c r="B1216">
        <v>583</v>
      </c>
      <c r="C1216" t="str">
        <f>_xlfn.XLOOKUP(tblOrders[[#This Row],[CustomerID]],tblCustomers[CustomerID],tblCustomers[CustomerName],"not found")</f>
        <v>Perry Brooks</v>
      </c>
      <c r="D1216">
        <f>_xlfn.XLOOKUP(tblOrders[[#This Row],[CustomerID]],tblCustomers[CustomerID],tblCustomers[Age],"not found")</f>
        <v>22</v>
      </c>
      <c r="E1216" t="str">
        <f>_xlfn.XLOOKUP(tblOrders[[#This Row],[CustomerID]],tblCustomers[CustomerID],tblCustomers[Gender],"not found")</f>
        <v>Female</v>
      </c>
      <c r="F1216" t="str">
        <f>_xlfn.XLOOKUP(tblOrders[[#This Row],[CustomerID]],tblCustomers[CustomerID],tblCustomers[Region],"not found")</f>
        <v>Central</v>
      </c>
      <c r="G1216">
        <v>1075</v>
      </c>
      <c r="H1216" t="str">
        <f>_xlfn.XLOOKUP(tblOrders[[#This Row],[ProductID]],tblProducts[ProductID],tblProducts[ProductName],"not found")</f>
        <v>Reduce</v>
      </c>
      <c r="I1216" t="str">
        <f>_xlfn.XLOOKUP(tblOrders[[#This Row],[ProductID]],tblProducts[ProductID],tblProducts[Category],"not found")</f>
        <v>Furniture</v>
      </c>
      <c r="J1216">
        <f>_xlfn.XLOOKUP(tblOrders[[#This Row],[ProductID]],tblProducts[ProductID],tblProducts[UnitPrice],"not found")</f>
        <v>385.86</v>
      </c>
      <c r="K1216" t="str">
        <f>_xlfn.XLOOKUP(tblOrders[[#This Row],[ProductID]],tblProducts[ProductID],tblProducts[Supplier],"not found")</f>
        <v>Chan-Acevedo</v>
      </c>
      <c r="L1216" s="1" t="s">
        <v>2166</v>
      </c>
      <c r="M12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44942</v>
      </c>
      <c r="N1216">
        <v>7</v>
      </c>
      <c r="O1216">
        <v>2701.02</v>
      </c>
      <c r="P1216">
        <f>tblOrders[[#This Row],[Quantity]]*tblOrders[[#This Row],[Unit Price]]</f>
        <v>2701.02</v>
      </c>
      <c r="Q1216">
        <f>tblOrders[[#This Row],[TotalSales]]-tblOrders[[#This Row],[Calculated Sales]]</f>
        <v>0</v>
      </c>
    </row>
    <row r="1217" spans="1:17" x14ac:dyDescent="0.25">
      <c r="A1217">
        <v>279</v>
      </c>
      <c r="B1217">
        <v>471</v>
      </c>
      <c r="C1217" t="str">
        <f>_xlfn.XLOOKUP(tblOrders[[#This Row],[CustomerID]],tblCustomers[CustomerID],tblCustomers[CustomerName],"not found")</f>
        <v>Shane Bradley</v>
      </c>
      <c r="D1217">
        <f>_xlfn.XLOOKUP(tblOrders[[#This Row],[CustomerID]],tblCustomers[CustomerID],tblCustomers[Age],"not found")</f>
        <v>23</v>
      </c>
      <c r="E1217" t="str">
        <f>_xlfn.XLOOKUP(tblOrders[[#This Row],[CustomerID]],tblCustomers[CustomerID],tblCustomers[Gender],"not found")</f>
        <v>Female</v>
      </c>
      <c r="F1217" t="str">
        <f>_xlfn.XLOOKUP(tblOrders[[#This Row],[CustomerID]],tblCustomers[CustomerID],tblCustomers[Region],"not found")</f>
        <v>East</v>
      </c>
      <c r="G1217">
        <v>1075</v>
      </c>
      <c r="H1217" t="str">
        <f>_xlfn.XLOOKUP(tblOrders[[#This Row],[ProductID]],tblProducts[ProductID],tblProducts[ProductName],"not found")</f>
        <v>Reduce</v>
      </c>
      <c r="I1217" t="str">
        <f>_xlfn.XLOOKUP(tblOrders[[#This Row],[ProductID]],tblProducts[ProductID],tblProducts[Category],"not found")</f>
        <v>Furniture</v>
      </c>
      <c r="J1217">
        <f>_xlfn.XLOOKUP(tblOrders[[#This Row],[ProductID]],tblProducts[ProductID],tblProducts[UnitPrice],"not found")</f>
        <v>385.86</v>
      </c>
      <c r="K1217" t="str">
        <f>_xlfn.XLOOKUP(tblOrders[[#This Row],[ProductID]],tblProducts[ProductID],tblProducts[Supplier],"not found")</f>
        <v>Chan-Acevedo</v>
      </c>
      <c r="L1217" s="1" t="s">
        <v>2333</v>
      </c>
      <c r="M12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45320</v>
      </c>
      <c r="N1217">
        <v>5</v>
      </c>
      <c r="O1217">
        <v>1929.3</v>
      </c>
      <c r="P1217">
        <f>tblOrders[[#This Row],[Quantity]]*tblOrders[[#This Row],[Unit Price]]</f>
        <v>1929.3000000000002</v>
      </c>
      <c r="Q1217">
        <f>tblOrders[[#This Row],[TotalSales]]-tblOrders[[#This Row],[Calculated Sales]]</f>
        <v>0</v>
      </c>
    </row>
    <row r="1218" spans="1:17" x14ac:dyDescent="0.25">
      <c r="A1218">
        <v>364</v>
      </c>
      <c r="B1218">
        <v>687</v>
      </c>
      <c r="C1218" t="str">
        <f>_xlfn.XLOOKUP(tblOrders[[#This Row],[CustomerID]],tblCustomers[CustomerID],tblCustomers[CustomerName],"not found")</f>
        <v>Anne Ballard</v>
      </c>
      <c r="D1218">
        <f>_xlfn.XLOOKUP(tblOrders[[#This Row],[CustomerID]],tblCustomers[CustomerID],tblCustomers[Age],"not found")</f>
        <v>63</v>
      </c>
      <c r="E1218" t="str">
        <f>_xlfn.XLOOKUP(tblOrders[[#This Row],[CustomerID]],tblCustomers[CustomerID],tblCustomers[Gender],"not found")</f>
        <v>Male</v>
      </c>
      <c r="F1218" t="str">
        <f>_xlfn.XLOOKUP(tblOrders[[#This Row],[CustomerID]],tblCustomers[CustomerID],tblCustomers[Region],"not found")</f>
        <v>Central</v>
      </c>
      <c r="G1218">
        <v>1075</v>
      </c>
      <c r="H1218" t="str">
        <f>_xlfn.XLOOKUP(tblOrders[[#This Row],[ProductID]],tblProducts[ProductID],tblProducts[ProductName],"not found")</f>
        <v>Reduce</v>
      </c>
      <c r="I1218" t="str">
        <f>_xlfn.XLOOKUP(tblOrders[[#This Row],[ProductID]],tblProducts[ProductID],tblProducts[Category],"not found")</f>
        <v>Furniture</v>
      </c>
      <c r="J1218">
        <f>_xlfn.XLOOKUP(tblOrders[[#This Row],[ProductID]],tblProducts[ProductID],tblProducts[UnitPrice],"not found")</f>
        <v>385.86</v>
      </c>
      <c r="K1218" t="str">
        <f>_xlfn.XLOOKUP(tblOrders[[#This Row],[ProductID]],tblProducts[ProductID],tblProducts[Supplier],"not found")</f>
        <v>Chan-Acevedo</v>
      </c>
      <c r="L1218" s="1" t="s">
        <v>2152</v>
      </c>
      <c r="M12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45314</v>
      </c>
      <c r="N1218">
        <v>8</v>
      </c>
      <c r="O1218">
        <v>3086.88</v>
      </c>
      <c r="P1218">
        <f>tblOrders[[#This Row],[Quantity]]*tblOrders[[#This Row],[Unit Price]]</f>
        <v>3086.88</v>
      </c>
      <c r="Q1218">
        <f>tblOrders[[#This Row],[TotalSales]]-tblOrders[[#This Row],[Calculated Sales]]</f>
        <v>0</v>
      </c>
    </row>
    <row r="1219" spans="1:17" x14ac:dyDescent="0.25">
      <c r="A1219">
        <v>510</v>
      </c>
      <c r="B1219">
        <v>79</v>
      </c>
      <c r="C1219" t="str">
        <f>_xlfn.XLOOKUP(tblOrders[[#This Row],[CustomerID]],tblCustomers[CustomerID],tblCustomers[CustomerName],"not found")</f>
        <v>Karen Myers</v>
      </c>
      <c r="D1219">
        <f>_xlfn.XLOOKUP(tblOrders[[#This Row],[CustomerID]],tblCustomers[CustomerID],tblCustomers[Age],"not found")</f>
        <v>63</v>
      </c>
      <c r="E1219" t="str">
        <f>_xlfn.XLOOKUP(tblOrders[[#This Row],[CustomerID]],tblCustomers[CustomerID],tblCustomers[Gender],"not found")</f>
        <v>Male</v>
      </c>
      <c r="F1219" t="str">
        <f>_xlfn.XLOOKUP(tblOrders[[#This Row],[CustomerID]],tblCustomers[CustomerID],tblCustomers[Region],"not found")</f>
        <v>Central</v>
      </c>
      <c r="G1219">
        <v>1075</v>
      </c>
      <c r="H1219" t="str">
        <f>_xlfn.XLOOKUP(tblOrders[[#This Row],[ProductID]],tblProducts[ProductID],tblProducts[ProductName],"not found")</f>
        <v>Reduce</v>
      </c>
      <c r="I1219" t="str">
        <f>_xlfn.XLOOKUP(tblOrders[[#This Row],[ProductID]],tblProducts[ProductID],tblProducts[Category],"not found")</f>
        <v>Furniture</v>
      </c>
      <c r="J1219">
        <f>_xlfn.XLOOKUP(tblOrders[[#This Row],[ProductID]],tblProducts[ProductID],tblProducts[UnitPrice],"not found")</f>
        <v>385.86</v>
      </c>
      <c r="K1219" t="str">
        <f>_xlfn.XLOOKUP(tblOrders[[#This Row],[ProductID]],tblProducts[ProductID],tblProducts[Supplier],"not found")</f>
        <v>Chan-Acevedo</v>
      </c>
      <c r="L1219" s="1">
        <v>45231</v>
      </c>
      <c r="M12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45231</v>
      </c>
      <c r="N1219">
        <v>8</v>
      </c>
      <c r="O1219">
        <v>3086.88</v>
      </c>
      <c r="P1219">
        <f>tblOrders[[#This Row],[Quantity]]*tblOrders[[#This Row],[Unit Price]]</f>
        <v>3086.88</v>
      </c>
      <c r="Q1219">
        <f>tblOrders[[#This Row],[TotalSales]]-tblOrders[[#This Row],[Calculated Sales]]</f>
        <v>0</v>
      </c>
    </row>
    <row r="1220" spans="1:17" x14ac:dyDescent="0.25">
      <c r="A1220">
        <v>581</v>
      </c>
      <c r="B1220">
        <v>309</v>
      </c>
      <c r="C1220" t="str">
        <f>_xlfn.XLOOKUP(tblOrders[[#This Row],[CustomerID]],tblCustomers[CustomerID],tblCustomers[CustomerName],"not found")</f>
        <v>Carrie Rowe</v>
      </c>
      <c r="D1220">
        <f>_xlfn.XLOOKUP(tblOrders[[#This Row],[CustomerID]],tblCustomers[CustomerID],tblCustomers[Age],"not found")</f>
        <v>35</v>
      </c>
      <c r="E1220" t="str">
        <f>_xlfn.XLOOKUP(tblOrders[[#This Row],[CustomerID]],tblCustomers[CustomerID],tblCustomers[Gender],"not found")</f>
        <v>Female</v>
      </c>
      <c r="F1220" t="str">
        <f>_xlfn.XLOOKUP(tblOrders[[#This Row],[CustomerID]],tblCustomers[CustomerID],tblCustomers[Region],"not found")</f>
        <v>West</v>
      </c>
      <c r="G1220">
        <v>1075</v>
      </c>
      <c r="H1220" t="str">
        <f>_xlfn.XLOOKUP(tblOrders[[#This Row],[ProductID]],tblProducts[ProductID],tblProducts[ProductName],"not found")</f>
        <v>Reduce</v>
      </c>
      <c r="I1220" t="str">
        <f>_xlfn.XLOOKUP(tblOrders[[#This Row],[ProductID]],tblProducts[ProductID],tblProducts[Category],"not found")</f>
        <v>Furniture</v>
      </c>
      <c r="J1220">
        <f>_xlfn.XLOOKUP(tblOrders[[#This Row],[ProductID]],tblProducts[ProductID],tblProducts[UnitPrice],"not found")</f>
        <v>385.86</v>
      </c>
      <c r="K1220" t="str">
        <f>_xlfn.XLOOKUP(tblOrders[[#This Row],[ProductID]],tblProducts[ProductID],tblProducts[Supplier],"not found")</f>
        <v>Chan-Acevedo</v>
      </c>
      <c r="L1220" s="1" t="s">
        <v>2350</v>
      </c>
      <c r="M12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44952</v>
      </c>
      <c r="N1220">
        <v>2</v>
      </c>
      <c r="O1220">
        <v>771.72</v>
      </c>
      <c r="P1220">
        <f>tblOrders[[#This Row],[Quantity]]*tblOrders[[#This Row],[Unit Price]]</f>
        <v>771.72</v>
      </c>
      <c r="Q1220">
        <f>tblOrders[[#This Row],[TotalSales]]-tblOrders[[#This Row],[Calculated Sales]]</f>
        <v>0</v>
      </c>
    </row>
    <row r="1221" spans="1:17" x14ac:dyDescent="0.25">
      <c r="A1221">
        <v>589</v>
      </c>
      <c r="B1221">
        <v>244</v>
      </c>
      <c r="C1221" t="str">
        <f>_xlfn.XLOOKUP(tblOrders[[#This Row],[CustomerID]],tblCustomers[CustomerID],tblCustomers[CustomerName],"not found")</f>
        <v>Keith Smith</v>
      </c>
      <c r="D1221">
        <f>_xlfn.XLOOKUP(tblOrders[[#This Row],[CustomerID]],tblCustomers[CustomerID],tblCustomers[Age],"not found")</f>
        <v>63</v>
      </c>
      <c r="E1221" t="str">
        <f>_xlfn.XLOOKUP(tblOrders[[#This Row],[CustomerID]],tblCustomers[CustomerID],tblCustomers[Gender],"not found")</f>
        <v>Female</v>
      </c>
      <c r="F1221" t="str">
        <f>_xlfn.XLOOKUP(tblOrders[[#This Row],[CustomerID]],tblCustomers[CustomerID],tblCustomers[Region],"not found")</f>
        <v>North</v>
      </c>
      <c r="G1221">
        <v>1075</v>
      </c>
      <c r="H1221" t="str">
        <f>_xlfn.XLOOKUP(tblOrders[[#This Row],[ProductID]],tblProducts[ProductID],tblProducts[ProductName],"not found")</f>
        <v>Reduce</v>
      </c>
      <c r="I1221" t="str">
        <f>_xlfn.XLOOKUP(tblOrders[[#This Row],[ProductID]],tblProducts[ProductID],tblProducts[Category],"not found")</f>
        <v>Furniture</v>
      </c>
      <c r="J1221">
        <f>_xlfn.XLOOKUP(tblOrders[[#This Row],[ProductID]],tblProducts[ProductID],tblProducts[UnitPrice],"not found")</f>
        <v>385.86</v>
      </c>
      <c r="K1221" t="str">
        <f>_xlfn.XLOOKUP(tblOrders[[#This Row],[ProductID]],tblProducts[ProductID],tblProducts[Supplier],"not found")</f>
        <v>Chan-Acevedo</v>
      </c>
      <c r="L1221" s="1" t="s">
        <v>2210</v>
      </c>
      <c r="M12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45374</v>
      </c>
      <c r="N1221">
        <v>4</v>
      </c>
      <c r="O1221">
        <v>1543.44</v>
      </c>
      <c r="P1221">
        <f>tblOrders[[#This Row],[Quantity]]*tblOrders[[#This Row],[Unit Price]]</f>
        <v>1543.44</v>
      </c>
      <c r="Q1221">
        <f>tblOrders[[#This Row],[TotalSales]]-tblOrders[[#This Row],[Calculated Sales]]</f>
        <v>0</v>
      </c>
    </row>
    <row r="1222" spans="1:17" x14ac:dyDescent="0.25">
      <c r="A1222">
        <v>619</v>
      </c>
      <c r="B1222">
        <v>805</v>
      </c>
      <c r="C1222" t="str">
        <f>_xlfn.XLOOKUP(tblOrders[[#This Row],[CustomerID]],tblCustomers[CustomerID],tblCustomers[CustomerName],"not found")</f>
        <v>Jennifer Lindsey</v>
      </c>
      <c r="D1222">
        <f>_xlfn.XLOOKUP(tblOrders[[#This Row],[CustomerID]],tblCustomers[CustomerID],tblCustomers[Age],"not found")</f>
        <v>60</v>
      </c>
      <c r="E1222" t="str">
        <f>_xlfn.XLOOKUP(tblOrders[[#This Row],[CustomerID]],tblCustomers[CustomerID],tblCustomers[Gender],"not found")</f>
        <v>Male</v>
      </c>
      <c r="F1222" t="str">
        <f>_xlfn.XLOOKUP(tblOrders[[#This Row],[CustomerID]],tblCustomers[CustomerID],tblCustomers[Region],"not found")</f>
        <v>Central</v>
      </c>
      <c r="G1222">
        <v>1075</v>
      </c>
      <c r="H1222" t="str">
        <f>_xlfn.XLOOKUP(tblOrders[[#This Row],[ProductID]],tblProducts[ProductID],tblProducts[ProductName],"not found")</f>
        <v>Reduce</v>
      </c>
      <c r="I1222" t="str">
        <f>_xlfn.XLOOKUP(tblOrders[[#This Row],[ProductID]],tblProducts[ProductID],tblProducts[Category],"not found")</f>
        <v>Furniture</v>
      </c>
      <c r="J1222">
        <f>_xlfn.XLOOKUP(tblOrders[[#This Row],[ProductID]],tblProducts[ProductID],tblProducts[UnitPrice],"not found")</f>
        <v>385.86</v>
      </c>
      <c r="K1222" t="str">
        <f>_xlfn.XLOOKUP(tblOrders[[#This Row],[ProductID]],tblProducts[ProductID],tblProducts[Supplier],"not found")</f>
        <v>Chan-Acevedo</v>
      </c>
      <c r="L1222" s="1" t="s">
        <v>2101</v>
      </c>
      <c r="M12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45456</v>
      </c>
      <c r="N1222">
        <v>2</v>
      </c>
      <c r="O1222">
        <v>771.72</v>
      </c>
      <c r="P1222">
        <f>tblOrders[[#This Row],[Quantity]]*tblOrders[[#This Row],[Unit Price]]</f>
        <v>771.72</v>
      </c>
      <c r="Q1222">
        <f>tblOrders[[#This Row],[TotalSales]]-tblOrders[[#This Row],[Calculated Sales]]</f>
        <v>0</v>
      </c>
    </row>
    <row r="1223" spans="1:17" x14ac:dyDescent="0.25">
      <c r="A1223">
        <v>701</v>
      </c>
      <c r="B1223">
        <v>954</v>
      </c>
      <c r="C1223" t="str">
        <f>_xlfn.XLOOKUP(tblOrders[[#This Row],[CustomerID]],tblCustomers[CustomerID],tblCustomers[CustomerName],"not found")</f>
        <v>Ashley Turner</v>
      </c>
      <c r="D1223">
        <f>_xlfn.XLOOKUP(tblOrders[[#This Row],[CustomerID]],tblCustomers[CustomerID],tblCustomers[Age],"not found")</f>
        <v>23</v>
      </c>
      <c r="E1223" t="str">
        <f>_xlfn.XLOOKUP(tblOrders[[#This Row],[CustomerID]],tblCustomers[CustomerID],tblCustomers[Gender],"not found")</f>
        <v>Female</v>
      </c>
      <c r="F1223" t="str">
        <f>_xlfn.XLOOKUP(tblOrders[[#This Row],[CustomerID]],tblCustomers[CustomerID],tblCustomers[Region],"not found")</f>
        <v>North</v>
      </c>
      <c r="G1223">
        <v>1075</v>
      </c>
      <c r="H1223" t="str">
        <f>_xlfn.XLOOKUP(tblOrders[[#This Row],[ProductID]],tblProducts[ProductID],tblProducts[ProductName],"not found")</f>
        <v>Reduce</v>
      </c>
      <c r="I1223" t="str">
        <f>_xlfn.XLOOKUP(tblOrders[[#This Row],[ProductID]],tblProducts[ProductID],tblProducts[Category],"not found")</f>
        <v>Furniture</v>
      </c>
      <c r="J1223">
        <f>_xlfn.XLOOKUP(tblOrders[[#This Row],[ProductID]],tblProducts[ProductID],tblProducts[UnitPrice],"not found")</f>
        <v>385.86</v>
      </c>
      <c r="K1223" t="str">
        <f>_xlfn.XLOOKUP(tblOrders[[#This Row],[ProductID]],tblProducts[ProductID],tblProducts[Supplier],"not found")</f>
        <v>Chan-Acevedo</v>
      </c>
      <c r="L1223" s="1">
        <v>45242</v>
      </c>
      <c r="M12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45242</v>
      </c>
      <c r="N1223">
        <v>1</v>
      </c>
      <c r="O1223">
        <v>385.86</v>
      </c>
      <c r="P1223">
        <f>tblOrders[[#This Row],[Quantity]]*tblOrders[[#This Row],[Unit Price]]</f>
        <v>385.86</v>
      </c>
      <c r="Q1223">
        <f>tblOrders[[#This Row],[TotalSales]]-tblOrders[[#This Row],[Calculated Sales]]</f>
        <v>0</v>
      </c>
    </row>
    <row r="1224" spans="1:17" x14ac:dyDescent="0.25">
      <c r="A1224">
        <v>746</v>
      </c>
      <c r="B1224">
        <v>660</v>
      </c>
      <c r="C1224" t="str">
        <f>_xlfn.XLOOKUP(tblOrders[[#This Row],[CustomerID]],tblCustomers[CustomerID],tblCustomers[CustomerName],"not found")</f>
        <v>David Salinas</v>
      </c>
      <c r="D1224">
        <f>_xlfn.XLOOKUP(tblOrders[[#This Row],[CustomerID]],tblCustomers[CustomerID],tblCustomers[Age],"not found")</f>
        <v>68</v>
      </c>
      <c r="E1224" t="str">
        <f>_xlfn.XLOOKUP(tblOrders[[#This Row],[CustomerID]],tblCustomers[CustomerID],tblCustomers[Gender],"not found")</f>
        <v>Female</v>
      </c>
      <c r="F1224" t="str">
        <f>_xlfn.XLOOKUP(tblOrders[[#This Row],[CustomerID]],tblCustomers[CustomerID],tblCustomers[Region],"not found")</f>
        <v>North</v>
      </c>
      <c r="G1224">
        <v>1075</v>
      </c>
      <c r="H1224" t="str">
        <f>_xlfn.XLOOKUP(tblOrders[[#This Row],[ProductID]],tblProducts[ProductID],tblProducts[ProductName],"not found")</f>
        <v>Reduce</v>
      </c>
      <c r="I1224" t="str">
        <f>_xlfn.XLOOKUP(tblOrders[[#This Row],[ProductID]],tblProducts[ProductID],tblProducts[Category],"not found")</f>
        <v>Furniture</v>
      </c>
      <c r="J1224">
        <f>_xlfn.XLOOKUP(tblOrders[[#This Row],[ProductID]],tblProducts[ProductID],tblProducts[UnitPrice],"not found")</f>
        <v>385.86</v>
      </c>
      <c r="K1224" t="str">
        <f>_xlfn.XLOOKUP(tblOrders[[#This Row],[ProductID]],tblProducts[ProductID],tblProducts[Supplier],"not found")</f>
        <v>Chan-Acevedo</v>
      </c>
      <c r="L1224" s="1" t="s">
        <v>2371</v>
      </c>
      <c r="M12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45313</v>
      </c>
      <c r="N1224">
        <v>1</v>
      </c>
      <c r="O1224">
        <v>385.86</v>
      </c>
      <c r="P1224">
        <f>tblOrders[[#This Row],[Quantity]]*tblOrders[[#This Row],[Unit Price]]</f>
        <v>385.86</v>
      </c>
      <c r="Q1224">
        <f>tblOrders[[#This Row],[TotalSales]]-tblOrders[[#This Row],[Calculated Sales]]</f>
        <v>0</v>
      </c>
    </row>
    <row r="1225" spans="1:17" x14ac:dyDescent="0.25">
      <c r="A1225">
        <v>908</v>
      </c>
      <c r="B1225">
        <v>723</v>
      </c>
      <c r="C1225" t="str">
        <f>_xlfn.XLOOKUP(tblOrders[[#This Row],[CustomerID]],tblCustomers[CustomerID],tblCustomers[CustomerName],"not found")</f>
        <v>Lindsay Gomez</v>
      </c>
      <c r="D1225">
        <f>_xlfn.XLOOKUP(tblOrders[[#This Row],[CustomerID]],tblCustomers[CustomerID],tblCustomers[Age],"not found")</f>
        <v>46</v>
      </c>
      <c r="E1225" t="str">
        <f>_xlfn.XLOOKUP(tblOrders[[#This Row],[CustomerID]],tblCustomers[CustomerID],tblCustomers[Gender],"not found")</f>
        <v>Male</v>
      </c>
      <c r="F1225" t="str">
        <f>_xlfn.XLOOKUP(tblOrders[[#This Row],[CustomerID]],tblCustomers[CustomerID],tblCustomers[Region],"not found")</f>
        <v>Central</v>
      </c>
      <c r="G1225">
        <v>1075</v>
      </c>
      <c r="H1225" t="str">
        <f>_xlfn.XLOOKUP(tblOrders[[#This Row],[ProductID]],tblProducts[ProductID],tblProducts[ProductName],"not found")</f>
        <v>Reduce</v>
      </c>
      <c r="I1225" t="str">
        <f>_xlfn.XLOOKUP(tblOrders[[#This Row],[ProductID]],tblProducts[ProductID],tblProducts[Category],"not found")</f>
        <v>Furniture</v>
      </c>
      <c r="J1225">
        <f>_xlfn.XLOOKUP(tblOrders[[#This Row],[ProductID]],tblProducts[ProductID],tblProducts[UnitPrice],"not found")</f>
        <v>385.86</v>
      </c>
      <c r="K1225" t="str">
        <f>_xlfn.XLOOKUP(tblOrders[[#This Row],[ProductID]],tblProducts[ProductID],tblProducts[Supplier],"not found")</f>
        <v>Chan-Acevedo</v>
      </c>
      <c r="L1225" s="1" t="s">
        <v>2190</v>
      </c>
      <c r="M12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45123</v>
      </c>
      <c r="N1225">
        <v>9</v>
      </c>
      <c r="O1225">
        <v>3472.74</v>
      </c>
      <c r="P1225">
        <f>tblOrders[[#This Row],[Quantity]]*tblOrders[[#This Row],[Unit Price]]</f>
        <v>3472.7400000000002</v>
      </c>
      <c r="Q1225">
        <f>tblOrders[[#This Row],[TotalSales]]-tblOrders[[#This Row],[Calculated Sales]]</f>
        <v>0</v>
      </c>
    </row>
    <row r="1226" spans="1:17" x14ac:dyDescent="0.25">
      <c r="A1226">
        <v>928</v>
      </c>
      <c r="B1226">
        <v>878</v>
      </c>
      <c r="C1226" t="str">
        <f>_xlfn.XLOOKUP(tblOrders[[#This Row],[CustomerID]],tblCustomers[CustomerID],tblCustomers[CustomerName],"not found")</f>
        <v>Vanessa Chandler</v>
      </c>
      <c r="D1226">
        <f>_xlfn.XLOOKUP(tblOrders[[#This Row],[CustomerID]],tblCustomers[CustomerID],tblCustomers[Age],"not found")</f>
        <v>60</v>
      </c>
      <c r="E1226" t="str">
        <f>_xlfn.XLOOKUP(tblOrders[[#This Row],[CustomerID]],tblCustomers[CustomerID],tblCustomers[Gender],"not found")</f>
        <v>Male</v>
      </c>
      <c r="F1226" t="str">
        <f>_xlfn.XLOOKUP(tblOrders[[#This Row],[CustomerID]],tblCustomers[CustomerID],tblCustomers[Region],"not found")</f>
        <v>South</v>
      </c>
      <c r="G1226">
        <v>1075</v>
      </c>
      <c r="H1226" t="str">
        <f>_xlfn.XLOOKUP(tblOrders[[#This Row],[ProductID]],tblProducts[ProductID],tblProducts[ProductName],"not found")</f>
        <v>Reduce</v>
      </c>
      <c r="I1226" t="str">
        <f>_xlfn.XLOOKUP(tblOrders[[#This Row],[ProductID]],tblProducts[ProductID],tblProducts[Category],"not found")</f>
        <v>Furniture</v>
      </c>
      <c r="J1226">
        <f>_xlfn.XLOOKUP(tblOrders[[#This Row],[ProductID]],tblProducts[ProductID],tblProducts[UnitPrice],"not found")</f>
        <v>385.86</v>
      </c>
      <c r="K1226" t="str">
        <f>_xlfn.XLOOKUP(tblOrders[[#This Row],[ProductID]],tblProducts[ProductID],tblProducts[Supplier],"not found")</f>
        <v>Chan-Acevedo</v>
      </c>
      <c r="L1226" s="1">
        <v>45568</v>
      </c>
      <c r="M12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45568</v>
      </c>
      <c r="N1226">
        <v>4</v>
      </c>
      <c r="O1226">
        <v>1543.44</v>
      </c>
      <c r="P1226">
        <f>tblOrders[[#This Row],[Quantity]]*tblOrders[[#This Row],[Unit Price]]</f>
        <v>1543.44</v>
      </c>
      <c r="Q1226">
        <f>tblOrders[[#This Row],[TotalSales]]-tblOrders[[#This Row],[Calculated Sales]]</f>
        <v>0</v>
      </c>
    </row>
    <row r="1227" spans="1:17" x14ac:dyDescent="0.25">
      <c r="A1227">
        <v>977</v>
      </c>
      <c r="B1227">
        <v>419</v>
      </c>
      <c r="C1227" t="str">
        <f>_xlfn.XLOOKUP(tblOrders[[#This Row],[CustomerID]],tblCustomers[CustomerID],tblCustomers[CustomerName],"not found")</f>
        <v>Jordan Berry</v>
      </c>
      <c r="D1227">
        <f>_xlfn.XLOOKUP(tblOrders[[#This Row],[CustomerID]],tblCustomers[CustomerID],tblCustomers[Age],"not found")</f>
        <v>65</v>
      </c>
      <c r="E1227" t="str">
        <f>_xlfn.XLOOKUP(tblOrders[[#This Row],[CustomerID]],tblCustomers[CustomerID],tblCustomers[Gender],"not found")</f>
        <v>Female</v>
      </c>
      <c r="F1227" t="str">
        <f>_xlfn.XLOOKUP(tblOrders[[#This Row],[CustomerID]],tblCustomers[CustomerID],tblCustomers[Region],"not found")</f>
        <v>Central</v>
      </c>
      <c r="G1227">
        <v>1075</v>
      </c>
      <c r="H1227" t="str">
        <f>_xlfn.XLOOKUP(tblOrders[[#This Row],[ProductID]],tblProducts[ProductID],tblProducts[ProductName],"not found")</f>
        <v>Reduce</v>
      </c>
      <c r="I1227" t="str">
        <f>_xlfn.XLOOKUP(tblOrders[[#This Row],[ProductID]],tblProducts[ProductID],tblProducts[Category],"not found")</f>
        <v>Furniture</v>
      </c>
      <c r="J1227">
        <f>_xlfn.XLOOKUP(tblOrders[[#This Row],[ProductID]],tblProducts[ProductID],tblProducts[UnitPrice],"not found")</f>
        <v>385.86</v>
      </c>
      <c r="K1227" t="str">
        <f>_xlfn.XLOOKUP(tblOrders[[#This Row],[ProductID]],tblProducts[ProductID],tblProducts[Supplier],"not found")</f>
        <v>Chan-Acevedo</v>
      </c>
      <c r="L1227" s="1">
        <v>45325</v>
      </c>
      <c r="M12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45325</v>
      </c>
      <c r="N1227">
        <v>7</v>
      </c>
      <c r="O1227">
        <v>2701.02</v>
      </c>
      <c r="P1227">
        <f>tblOrders[[#This Row],[Quantity]]*tblOrders[[#This Row],[Unit Price]]</f>
        <v>2701.02</v>
      </c>
      <c r="Q1227">
        <f>tblOrders[[#This Row],[TotalSales]]-tblOrders[[#This Row],[Calculated Sales]]</f>
        <v>0</v>
      </c>
    </row>
    <row r="1228" spans="1:17" x14ac:dyDescent="0.25">
      <c r="A1228">
        <v>1004</v>
      </c>
      <c r="B1228">
        <v>394</v>
      </c>
      <c r="C1228" t="str">
        <f>_xlfn.XLOOKUP(tblOrders[[#This Row],[CustomerID]],tblCustomers[CustomerID],tblCustomers[CustomerName],"not found")</f>
        <v>Lori Roberts</v>
      </c>
      <c r="D1228">
        <f>_xlfn.XLOOKUP(tblOrders[[#This Row],[CustomerID]],tblCustomers[CustomerID],tblCustomers[Age],"not found")</f>
        <v>35</v>
      </c>
      <c r="E1228" t="str">
        <f>_xlfn.XLOOKUP(tblOrders[[#This Row],[CustomerID]],tblCustomers[CustomerID],tblCustomers[Gender],"not found")</f>
        <v>Female</v>
      </c>
      <c r="F1228" t="str">
        <f>_xlfn.XLOOKUP(tblOrders[[#This Row],[CustomerID]],tblCustomers[CustomerID],tblCustomers[Region],"not found")</f>
        <v>East</v>
      </c>
      <c r="G1228">
        <v>1075</v>
      </c>
      <c r="H1228" t="str">
        <f>_xlfn.XLOOKUP(tblOrders[[#This Row],[ProductID]],tblProducts[ProductID],tblProducts[ProductName],"not found")</f>
        <v>Reduce</v>
      </c>
      <c r="I1228" t="str">
        <f>_xlfn.XLOOKUP(tblOrders[[#This Row],[ProductID]],tblProducts[ProductID],tblProducts[Category],"not found")</f>
        <v>Furniture</v>
      </c>
      <c r="J1228">
        <f>_xlfn.XLOOKUP(tblOrders[[#This Row],[ProductID]],tblProducts[ProductID],tblProducts[UnitPrice],"not found")</f>
        <v>385.86</v>
      </c>
      <c r="K1228" t="str">
        <f>_xlfn.XLOOKUP(tblOrders[[#This Row],[ProductID]],tblProducts[ProductID],tblProducts[Supplier],"not found")</f>
        <v>Chan-Acevedo</v>
      </c>
      <c r="L1228" s="1" t="s">
        <v>2372</v>
      </c>
      <c r="M12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45470</v>
      </c>
      <c r="N1228">
        <v>1</v>
      </c>
      <c r="O1228">
        <v>385.86</v>
      </c>
      <c r="P1228">
        <f>tblOrders[[#This Row],[Quantity]]*tblOrders[[#This Row],[Unit Price]]</f>
        <v>385.86</v>
      </c>
      <c r="Q1228">
        <f>tblOrders[[#This Row],[TotalSales]]-tblOrders[[#This Row],[Calculated Sales]]</f>
        <v>0</v>
      </c>
    </row>
    <row r="1229" spans="1:17" x14ac:dyDescent="0.25">
      <c r="A1229">
        <v>1049</v>
      </c>
      <c r="B1229">
        <v>789</v>
      </c>
      <c r="C1229" t="str">
        <f>_xlfn.XLOOKUP(tblOrders[[#This Row],[CustomerID]],tblCustomers[CustomerID],tblCustomers[CustomerName],"not found")</f>
        <v>Timothy Weeks</v>
      </c>
      <c r="D1229">
        <f>_xlfn.XLOOKUP(tblOrders[[#This Row],[CustomerID]],tblCustomers[CustomerID],tblCustomers[Age],"not found")</f>
        <v>36</v>
      </c>
      <c r="E1229" t="str">
        <f>_xlfn.XLOOKUP(tblOrders[[#This Row],[CustomerID]],tblCustomers[CustomerID],tblCustomers[Gender],"not found")</f>
        <v>Female</v>
      </c>
      <c r="F1229" t="str">
        <f>_xlfn.XLOOKUP(tblOrders[[#This Row],[CustomerID]],tblCustomers[CustomerID],tblCustomers[Region],"not found")</f>
        <v>Central</v>
      </c>
      <c r="G1229">
        <v>1075</v>
      </c>
      <c r="H1229" t="str">
        <f>_xlfn.XLOOKUP(tblOrders[[#This Row],[ProductID]],tblProducts[ProductID],tblProducts[ProductName],"not found")</f>
        <v>Reduce</v>
      </c>
      <c r="I1229" t="str">
        <f>_xlfn.XLOOKUP(tblOrders[[#This Row],[ProductID]],tblProducts[ProductID],tblProducts[Category],"not found")</f>
        <v>Furniture</v>
      </c>
      <c r="J1229">
        <f>_xlfn.XLOOKUP(tblOrders[[#This Row],[ProductID]],tblProducts[ProductID],tblProducts[UnitPrice],"not found")</f>
        <v>385.86</v>
      </c>
      <c r="K1229" t="str">
        <f>_xlfn.XLOOKUP(tblOrders[[#This Row],[ProductID]],tblProducts[ProductID],tblProducts[Supplier],"not found")</f>
        <v>Chan-Acevedo</v>
      </c>
      <c r="L1229" s="1" t="s">
        <v>2042</v>
      </c>
      <c r="M12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45029</v>
      </c>
      <c r="N1229">
        <v>4</v>
      </c>
      <c r="O1229">
        <v>1543.44</v>
      </c>
      <c r="P1229">
        <f>tblOrders[[#This Row],[Quantity]]*tblOrders[[#This Row],[Unit Price]]</f>
        <v>1543.44</v>
      </c>
      <c r="Q1229">
        <f>tblOrders[[#This Row],[TotalSales]]-tblOrders[[#This Row],[Calculated Sales]]</f>
        <v>0</v>
      </c>
    </row>
    <row r="1230" spans="1:17" x14ac:dyDescent="0.25">
      <c r="A1230">
        <v>1138</v>
      </c>
      <c r="B1230">
        <v>555</v>
      </c>
      <c r="C1230" t="str">
        <f>_xlfn.XLOOKUP(tblOrders[[#This Row],[CustomerID]],tblCustomers[CustomerID],tblCustomers[CustomerName],"not found")</f>
        <v>Sharon Vincent</v>
      </c>
      <c r="D1230">
        <f>_xlfn.XLOOKUP(tblOrders[[#This Row],[CustomerID]],tblCustomers[CustomerID],tblCustomers[Age],"not found")</f>
        <v>24</v>
      </c>
      <c r="E1230" t="str">
        <f>_xlfn.XLOOKUP(tblOrders[[#This Row],[CustomerID]],tblCustomers[CustomerID],tblCustomers[Gender],"not found")</f>
        <v>Female</v>
      </c>
      <c r="F1230" t="str">
        <f>_xlfn.XLOOKUP(tblOrders[[#This Row],[CustomerID]],tblCustomers[CustomerID],tblCustomers[Region],"not found")</f>
        <v>West</v>
      </c>
      <c r="G1230">
        <v>1075</v>
      </c>
      <c r="H1230" t="str">
        <f>_xlfn.XLOOKUP(tblOrders[[#This Row],[ProductID]],tblProducts[ProductID],tblProducts[ProductName],"not found")</f>
        <v>Reduce</v>
      </c>
      <c r="I1230" t="str">
        <f>_xlfn.XLOOKUP(tblOrders[[#This Row],[ProductID]],tblProducts[ProductID],tblProducts[Category],"not found")</f>
        <v>Furniture</v>
      </c>
      <c r="J1230">
        <f>_xlfn.XLOOKUP(tblOrders[[#This Row],[ProductID]],tblProducts[ProductID],tblProducts[UnitPrice],"not found")</f>
        <v>385.86</v>
      </c>
      <c r="K1230" t="str">
        <f>_xlfn.XLOOKUP(tblOrders[[#This Row],[ProductID]],tblProducts[ProductID],tblProducts[Supplier],"not found")</f>
        <v>Chan-Acevedo</v>
      </c>
      <c r="L1230" s="1">
        <v>45206</v>
      </c>
      <c r="M12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45206</v>
      </c>
      <c r="N1230">
        <v>2</v>
      </c>
      <c r="O1230">
        <v>771.72</v>
      </c>
      <c r="P1230">
        <f>tblOrders[[#This Row],[Quantity]]*tblOrders[[#This Row],[Unit Price]]</f>
        <v>771.72</v>
      </c>
      <c r="Q1230">
        <f>tblOrders[[#This Row],[TotalSales]]-tblOrders[[#This Row],[Calculated Sales]]</f>
        <v>0</v>
      </c>
    </row>
    <row r="1231" spans="1:17" x14ac:dyDescent="0.25">
      <c r="A1231">
        <v>1207</v>
      </c>
      <c r="B1231">
        <v>882</v>
      </c>
      <c r="C1231" t="str">
        <f>_xlfn.XLOOKUP(tblOrders[[#This Row],[CustomerID]],tblCustomers[CustomerID],tblCustomers[CustomerName],"not found")</f>
        <v>Brandi Hoover</v>
      </c>
      <c r="D1231">
        <f>_xlfn.XLOOKUP(tblOrders[[#This Row],[CustomerID]],tblCustomers[CustomerID],tblCustomers[Age],"not found")</f>
        <v>64</v>
      </c>
      <c r="E1231" t="str">
        <f>_xlfn.XLOOKUP(tblOrders[[#This Row],[CustomerID]],tblCustomers[CustomerID],tblCustomers[Gender],"not found")</f>
        <v>Female</v>
      </c>
      <c r="F1231" t="str">
        <f>_xlfn.XLOOKUP(tblOrders[[#This Row],[CustomerID]],tblCustomers[CustomerID],tblCustomers[Region],"not found")</f>
        <v>East</v>
      </c>
      <c r="G1231">
        <v>1075</v>
      </c>
      <c r="H1231" t="str">
        <f>_xlfn.XLOOKUP(tblOrders[[#This Row],[ProductID]],tblProducts[ProductID],tblProducts[ProductName],"not found")</f>
        <v>Reduce</v>
      </c>
      <c r="I1231" t="str">
        <f>_xlfn.XLOOKUP(tblOrders[[#This Row],[ProductID]],tblProducts[ProductID],tblProducts[Category],"not found")</f>
        <v>Furniture</v>
      </c>
      <c r="J1231">
        <f>_xlfn.XLOOKUP(tblOrders[[#This Row],[ProductID]],tblProducts[ProductID],tblProducts[UnitPrice],"not found")</f>
        <v>385.86</v>
      </c>
      <c r="K1231" t="str">
        <f>_xlfn.XLOOKUP(tblOrders[[#This Row],[ProductID]],tblProducts[ProductID],tblProducts[Supplier],"not found")</f>
        <v>Chan-Acevedo</v>
      </c>
      <c r="L1231" s="1">
        <v>45629</v>
      </c>
      <c r="M12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45629</v>
      </c>
      <c r="N1231">
        <v>8</v>
      </c>
      <c r="O1231">
        <v>3086.88</v>
      </c>
      <c r="P1231">
        <f>tblOrders[[#This Row],[Quantity]]*tblOrders[[#This Row],[Unit Price]]</f>
        <v>3086.88</v>
      </c>
      <c r="Q1231">
        <f>tblOrders[[#This Row],[TotalSales]]-tblOrders[[#This Row],[Calculated Sales]]</f>
        <v>0</v>
      </c>
    </row>
    <row r="1232" spans="1:17" x14ac:dyDescent="0.25">
      <c r="A1232">
        <v>1273</v>
      </c>
      <c r="B1232">
        <v>269</v>
      </c>
      <c r="C1232" t="str">
        <f>_xlfn.XLOOKUP(tblOrders[[#This Row],[CustomerID]],tblCustomers[CustomerID],tblCustomers[CustomerName],"not found")</f>
        <v>Hayley Mcdonald</v>
      </c>
      <c r="D1232">
        <f>_xlfn.XLOOKUP(tblOrders[[#This Row],[CustomerID]],tblCustomers[CustomerID],tblCustomers[Age],"not found")</f>
        <v>19</v>
      </c>
      <c r="E1232" t="str">
        <f>_xlfn.XLOOKUP(tblOrders[[#This Row],[CustomerID]],tblCustomers[CustomerID],tblCustomers[Gender],"not found")</f>
        <v>Male</v>
      </c>
      <c r="F1232" t="str">
        <f>_xlfn.XLOOKUP(tblOrders[[#This Row],[CustomerID]],tblCustomers[CustomerID],tblCustomers[Region],"not found")</f>
        <v>West</v>
      </c>
      <c r="G1232">
        <v>1075</v>
      </c>
      <c r="H1232" t="str">
        <f>_xlfn.XLOOKUP(tblOrders[[#This Row],[ProductID]],tblProducts[ProductID],tblProducts[ProductName],"not found")</f>
        <v>Reduce</v>
      </c>
      <c r="I1232" t="str">
        <f>_xlfn.XLOOKUP(tblOrders[[#This Row],[ProductID]],tblProducts[ProductID],tblProducts[Category],"not found")</f>
        <v>Furniture</v>
      </c>
      <c r="J1232">
        <f>_xlfn.XLOOKUP(tblOrders[[#This Row],[ProductID]],tblProducts[ProductID],tblProducts[UnitPrice],"not found")</f>
        <v>385.86</v>
      </c>
      <c r="K1232" t="str">
        <f>_xlfn.XLOOKUP(tblOrders[[#This Row],[ProductID]],tblProducts[ProductID],tblProducts[Supplier],"not found")</f>
        <v>Chan-Acevedo</v>
      </c>
      <c r="L1232" s="1" t="s">
        <v>2243</v>
      </c>
      <c r="M12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1232">
        <v>5</v>
      </c>
      <c r="O1232">
        <v>1929.3</v>
      </c>
      <c r="P1232">
        <f>tblOrders[[#This Row],[Quantity]]*tblOrders[[#This Row],[Unit Price]]</f>
        <v>1929.3000000000002</v>
      </c>
      <c r="Q1232">
        <f>tblOrders[[#This Row],[TotalSales]]-tblOrders[[#This Row],[Calculated Sales]]</f>
        <v>0</v>
      </c>
    </row>
    <row r="1233" spans="1:17" x14ac:dyDescent="0.25">
      <c r="A1233">
        <v>1322</v>
      </c>
      <c r="B1233">
        <v>161</v>
      </c>
      <c r="C1233" t="str">
        <f>_xlfn.XLOOKUP(tblOrders[[#This Row],[CustomerID]],tblCustomers[CustomerID],tblCustomers[CustomerName],"not found")</f>
        <v>Alex Martin</v>
      </c>
      <c r="D1233">
        <f>_xlfn.XLOOKUP(tblOrders[[#This Row],[CustomerID]],tblCustomers[CustomerID],tblCustomers[Age],"not found")</f>
        <v>56</v>
      </c>
      <c r="E1233" t="str">
        <f>_xlfn.XLOOKUP(tblOrders[[#This Row],[CustomerID]],tblCustomers[CustomerID],tblCustomers[Gender],"not found")</f>
        <v>Male</v>
      </c>
      <c r="F1233" t="str">
        <f>_xlfn.XLOOKUP(tblOrders[[#This Row],[CustomerID]],tblCustomers[CustomerID],tblCustomers[Region],"not found")</f>
        <v>West</v>
      </c>
      <c r="G1233">
        <v>1075</v>
      </c>
      <c r="H1233" t="str">
        <f>_xlfn.XLOOKUP(tblOrders[[#This Row],[ProductID]],tblProducts[ProductID],tblProducts[ProductName],"not found")</f>
        <v>Reduce</v>
      </c>
      <c r="I1233" t="str">
        <f>_xlfn.XLOOKUP(tblOrders[[#This Row],[ProductID]],tblProducts[ProductID],tblProducts[Category],"not found")</f>
        <v>Furniture</v>
      </c>
      <c r="J1233">
        <f>_xlfn.XLOOKUP(tblOrders[[#This Row],[ProductID]],tblProducts[ProductID],tblProducts[UnitPrice],"not found")</f>
        <v>385.86</v>
      </c>
      <c r="K1233" t="str">
        <f>_xlfn.XLOOKUP(tblOrders[[#This Row],[ProductID]],tblProducts[ProductID],tblProducts[Supplier],"not found")</f>
        <v>Chan-Acevedo</v>
      </c>
      <c r="L1233" s="1">
        <v>45292</v>
      </c>
      <c r="M12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45292</v>
      </c>
      <c r="N1233">
        <v>3</v>
      </c>
      <c r="O1233">
        <v>1157.58</v>
      </c>
      <c r="P1233">
        <f>tblOrders[[#This Row],[Quantity]]*tblOrders[[#This Row],[Unit Price]]</f>
        <v>1157.58</v>
      </c>
      <c r="Q1233">
        <f>tblOrders[[#This Row],[TotalSales]]-tblOrders[[#This Row],[Calculated Sales]]</f>
        <v>0</v>
      </c>
    </row>
    <row r="1234" spans="1:17" x14ac:dyDescent="0.25">
      <c r="A1234">
        <v>1398</v>
      </c>
      <c r="B1234">
        <v>701</v>
      </c>
      <c r="C1234" t="str">
        <f>_xlfn.XLOOKUP(tblOrders[[#This Row],[CustomerID]],tblCustomers[CustomerID],tblCustomers[CustomerName],"not found")</f>
        <v>Richard Brown</v>
      </c>
      <c r="D1234">
        <f>_xlfn.XLOOKUP(tblOrders[[#This Row],[CustomerID]],tblCustomers[CustomerID],tblCustomers[Age],"not found")</f>
        <v>49</v>
      </c>
      <c r="E1234" t="str">
        <f>_xlfn.XLOOKUP(tblOrders[[#This Row],[CustomerID]],tblCustomers[CustomerID],tblCustomers[Gender],"not found")</f>
        <v>Male</v>
      </c>
      <c r="F1234" t="str">
        <f>_xlfn.XLOOKUP(tblOrders[[#This Row],[CustomerID]],tblCustomers[CustomerID],tblCustomers[Region],"not found")</f>
        <v>East</v>
      </c>
      <c r="G1234">
        <v>1075</v>
      </c>
      <c r="H1234" t="str">
        <f>_xlfn.XLOOKUP(tblOrders[[#This Row],[ProductID]],tblProducts[ProductID],tblProducts[ProductName],"not found")</f>
        <v>Reduce</v>
      </c>
      <c r="I1234" t="str">
        <f>_xlfn.XLOOKUP(tblOrders[[#This Row],[ProductID]],tblProducts[ProductID],tblProducts[Category],"not found")</f>
        <v>Furniture</v>
      </c>
      <c r="J1234">
        <f>_xlfn.XLOOKUP(tblOrders[[#This Row],[ProductID]],tblProducts[ProductID],tblProducts[UnitPrice],"not found")</f>
        <v>385.86</v>
      </c>
      <c r="K1234" t="str">
        <f>_xlfn.XLOOKUP(tblOrders[[#This Row],[ProductID]],tblProducts[ProductID],tblProducts[Supplier],"not found")</f>
        <v>Chan-Acevedo</v>
      </c>
      <c r="L1234" s="1" t="s">
        <v>2373</v>
      </c>
      <c r="M12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45461</v>
      </c>
      <c r="N1234">
        <v>6</v>
      </c>
      <c r="O1234">
        <v>2315.16</v>
      </c>
      <c r="P1234">
        <f>tblOrders[[#This Row],[Quantity]]*tblOrders[[#This Row],[Unit Price]]</f>
        <v>2315.16</v>
      </c>
      <c r="Q1234">
        <f>tblOrders[[#This Row],[TotalSales]]-tblOrders[[#This Row],[Calculated Sales]]</f>
        <v>0</v>
      </c>
    </row>
    <row r="1235" spans="1:17" x14ac:dyDescent="0.25">
      <c r="A1235">
        <v>1545</v>
      </c>
      <c r="B1235">
        <v>957</v>
      </c>
      <c r="C1235" t="str">
        <f>_xlfn.XLOOKUP(tblOrders[[#This Row],[CustomerID]],tblCustomers[CustomerID],tblCustomers[CustomerName],"not found")</f>
        <v>Martha Miller</v>
      </c>
      <c r="D1235">
        <f>_xlfn.XLOOKUP(tblOrders[[#This Row],[CustomerID]],tblCustomers[CustomerID],tblCustomers[Age],"not found")</f>
        <v>59</v>
      </c>
      <c r="E1235" t="str">
        <f>_xlfn.XLOOKUP(tblOrders[[#This Row],[CustomerID]],tblCustomers[CustomerID],tblCustomers[Gender],"not found")</f>
        <v>Male</v>
      </c>
      <c r="F1235" t="str">
        <f>_xlfn.XLOOKUP(tblOrders[[#This Row],[CustomerID]],tblCustomers[CustomerID],tblCustomers[Region],"not found")</f>
        <v>North</v>
      </c>
      <c r="G1235">
        <v>1075</v>
      </c>
      <c r="H1235" t="str">
        <f>_xlfn.XLOOKUP(tblOrders[[#This Row],[ProductID]],tblProducts[ProductID],tblProducts[ProductName],"not found")</f>
        <v>Reduce</v>
      </c>
      <c r="I1235" t="str">
        <f>_xlfn.XLOOKUP(tblOrders[[#This Row],[ProductID]],tblProducts[ProductID],tblProducts[Category],"not found")</f>
        <v>Furniture</v>
      </c>
      <c r="J1235">
        <f>_xlfn.XLOOKUP(tblOrders[[#This Row],[ProductID]],tblProducts[ProductID],tblProducts[UnitPrice],"not found")</f>
        <v>385.86</v>
      </c>
      <c r="K1235" t="str">
        <f>_xlfn.XLOOKUP(tblOrders[[#This Row],[ProductID]],tblProducts[ProductID],tblProducts[Supplier],"not found")</f>
        <v>Chan-Acevedo</v>
      </c>
      <c r="L1235" s="1">
        <v>45474</v>
      </c>
      <c r="M12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45474</v>
      </c>
      <c r="N1235">
        <v>5</v>
      </c>
      <c r="O1235">
        <v>1929.3</v>
      </c>
      <c r="P1235">
        <f>tblOrders[[#This Row],[Quantity]]*tblOrders[[#This Row],[Unit Price]]</f>
        <v>1929.3000000000002</v>
      </c>
      <c r="Q1235">
        <f>tblOrders[[#This Row],[TotalSales]]-tblOrders[[#This Row],[Calculated Sales]]</f>
        <v>0</v>
      </c>
    </row>
    <row r="1236" spans="1:17" x14ac:dyDescent="0.25">
      <c r="A1236">
        <v>1566</v>
      </c>
      <c r="B1236">
        <v>334</v>
      </c>
      <c r="C1236" t="str">
        <f>_xlfn.XLOOKUP(tblOrders[[#This Row],[CustomerID]],tblCustomers[CustomerID],tblCustomers[CustomerName],"not found")</f>
        <v>Erin Shepherd</v>
      </c>
      <c r="D1236">
        <f>_xlfn.XLOOKUP(tblOrders[[#This Row],[CustomerID]],tblCustomers[CustomerID],tblCustomers[Age],"not found")</f>
        <v>64</v>
      </c>
      <c r="E1236" t="str">
        <f>_xlfn.XLOOKUP(tblOrders[[#This Row],[CustomerID]],tblCustomers[CustomerID],tblCustomers[Gender],"not found")</f>
        <v>Male</v>
      </c>
      <c r="F1236" t="str">
        <f>_xlfn.XLOOKUP(tblOrders[[#This Row],[CustomerID]],tblCustomers[CustomerID],tblCustomers[Region],"not found")</f>
        <v>South</v>
      </c>
      <c r="G1236">
        <v>1075</v>
      </c>
      <c r="H1236" t="str">
        <f>_xlfn.XLOOKUP(tblOrders[[#This Row],[ProductID]],tblProducts[ProductID],tblProducts[ProductName],"not found")</f>
        <v>Reduce</v>
      </c>
      <c r="I1236" t="str">
        <f>_xlfn.XLOOKUP(tblOrders[[#This Row],[ProductID]],tblProducts[ProductID],tblProducts[Category],"not found")</f>
        <v>Furniture</v>
      </c>
      <c r="J1236">
        <f>_xlfn.XLOOKUP(tblOrders[[#This Row],[ProductID]],tblProducts[ProductID],tblProducts[UnitPrice],"not found")</f>
        <v>385.86</v>
      </c>
      <c r="K1236" t="str">
        <f>_xlfn.XLOOKUP(tblOrders[[#This Row],[ProductID]],tblProducts[ProductID],tblProducts[Supplier],"not found")</f>
        <v>Chan-Acevedo</v>
      </c>
      <c r="L1236" s="1" t="s">
        <v>2074</v>
      </c>
      <c r="M12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45367</v>
      </c>
      <c r="N1236">
        <v>5</v>
      </c>
      <c r="O1236">
        <v>1929.3</v>
      </c>
      <c r="P1236">
        <f>tblOrders[[#This Row],[Quantity]]*tblOrders[[#This Row],[Unit Price]]</f>
        <v>1929.3000000000002</v>
      </c>
      <c r="Q1236">
        <f>tblOrders[[#This Row],[TotalSales]]-tblOrders[[#This Row],[Calculated Sales]]</f>
        <v>0</v>
      </c>
    </row>
    <row r="1237" spans="1:17" x14ac:dyDescent="0.25">
      <c r="A1237">
        <v>1679</v>
      </c>
      <c r="B1237">
        <v>706</v>
      </c>
      <c r="C1237" t="str">
        <f>_xlfn.XLOOKUP(tblOrders[[#This Row],[CustomerID]],tblCustomers[CustomerID],tblCustomers[CustomerName],"not found")</f>
        <v>Amber Martinez</v>
      </c>
      <c r="D1237">
        <f>_xlfn.XLOOKUP(tblOrders[[#This Row],[CustomerID]],tblCustomers[CustomerID],tblCustomers[Age],"not found")</f>
        <v>39</v>
      </c>
      <c r="E1237" t="str">
        <f>_xlfn.XLOOKUP(tblOrders[[#This Row],[CustomerID]],tblCustomers[CustomerID],tblCustomers[Gender],"not found")</f>
        <v>Female</v>
      </c>
      <c r="F1237" t="str">
        <f>_xlfn.XLOOKUP(tblOrders[[#This Row],[CustomerID]],tblCustomers[CustomerID],tblCustomers[Region],"not found")</f>
        <v>South</v>
      </c>
      <c r="G1237">
        <v>1075</v>
      </c>
      <c r="H1237" t="str">
        <f>_xlfn.XLOOKUP(tblOrders[[#This Row],[ProductID]],tblProducts[ProductID],tblProducts[ProductName],"not found")</f>
        <v>Reduce</v>
      </c>
      <c r="I1237" t="str">
        <f>_xlfn.XLOOKUP(tblOrders[[#This Row],[ProductID]],tblProducts[ProductID],tblProducts[Category],"not found")</f>
        <v>Furniture</v>
      </c>
      <c r="J1237">
        <f>_xlfn.XLOOKUP(tblOrders[[#This Row],[ProductID]],tblProducts[ProductID],tblProducts[UnitPrice],"not found")</f>
        <v>385.86</v>
      </c>
      <c r="K1237" t="str">
        <f>_xlfn.XLOOKUP(tblOrders[[#This Row],[ProductID]],tblProducts[ProductID],tblProducts[Supplier],"not found")</f>
        <v>Chan-Acevedo</v>
      </c>
      <c r="L1237" s="1" t="s">
        <v>2081</v>
      </c>
      <c r="M12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1237">
        <v>5</v>
      </c>
      <c r="O1237">
        <v>1929.3</v>
      </c>
      <c r="P1237">
        <f>tblOrders[[#This Row],[Quantity]]*tblOrders[[#This Row],[Unit Price]]</f>
        <v>1929.3000000000002</v>
      </c>
      <c r="Q1237">
        <f>tblOrders[[#This Row],[TotalSales]]-tblOrders[[#This Row],[Calculated Sales]]</f>
        <v>0</v>
      </c>
    </row>
    <row r="1238" spans="1:17" x14ac:dyDescent="0.25">
      <c r="A1238">
        <v>1774</v>
      </c>
      <c r="B1238">
        <v>497</v>
      </c>
      <c r="C1238" t="str">
        <f>_xlfn.XLOOKUP(tblOrders[[#This Row],[CustomerID]],tblCustomers[CustomerID],tblCustomers[CustomerName],"not found")</f>
        <v>Sarah Perez</v>
      </c>
      <c r="D1238">
        <f>_xlfn.XLOOKUP(tblOrders[[#This Row],[CustomerID]],tblCustomers[CustomerID],tblCustomers[Age],"not found")</f>
        <v>33</v>
      </c>
      <c r="E1238" t="str">
        <f>_xlfn.XLOOKUP(tblOrders[[#This Row],[CustomerID]],tblCustomers[CustomerID],tblCustomers[Gender],"not found")</f>
        <v>Female</v>
      </c>
      <c r="F1238" t="str">
        <f>_xlfn.XLOOKUP(tblOrders[[#This Row],[CustomerID]],tblCustomers[CustomerID],tblCustomers[Region],"not found")</f>
        <v>West</v>
      </c>
      <c r="G1238">
        <v>1075</v>
      </c>
      <c r="H1238" t="str">
        <f>_xlfn.XLOOKUP(tblOrders[[#This Row],[ProductID]],tblProducts[ProductID],tblProducts[ProductName],"not found")</f>
        <v>Reduce</v>
      </c>
      <c r="I1238" t="str">
        <f>_xlfn.XLOOKUP(tblOrders[[#This Row],[ProductID]],tblProducts[ProductID],tblProducts[Category],"not found")</f>
        <v>Furniture</v>
      </c>
      <c r="J1238">
        <f>_xlfn.XLOOKUP(tblOrders[[#This Row],[ProductID]],tblProducts[ProductID],tblProducts[UnitPrice],"not found")</f>
        <v>385.86</v>
      </c>
      <c r="K1238" t="str">
        <f>_xlfn.XLOOKUP(tblOrders[[#This Row],[ProductID]],tblProducts[ProductID],tblProducts[Supplier],"not found")</f>
        <v>Chan-Acevedo</v>
      </c>
      <c r="L1238" s="1" t="s">
        <v>2374</v>
      </c>
      <c r="M12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45533</v>
      </c>
      <c r="N1238">
        <v>2</v>
      </c>
      <c r="O1238">
        <v>771.72</v>
      </c>
      <c r="P1238">
        <f>tblOrders[[#This Row],[Quantity]]*tblOrders[[#This Row],[Unit Price]]</f>
        <v>771.72</v>
      </c>
      <c r="Q1238">
        <f>tblOrders[[#This Row],[TotalSales]]-tblOrders[[#This Row],[Calculated Sales]]</f>
        <v>0</v>
      </c>
    </row>
    <row r="1239" spans="1:17" x14ac:dyDescent="0.25">
      <c r="A1239">
        <v>1814</v>
      </c>
      <c r="B1239">
        <v>919</v>
      </c>
      <c r="C1239" t="str">
        <f>_xlfn.XLOOKUP(tblOrders[[#This Row],[CustomerID]],tblCustomers[CustomerID],tblCustomers[CustomerName],"not found")</f>
        <v>Gabriella Johnson</v>
      </c>
      <c r="D1239">
        <f>_xlfn.XLOOKUP(tblOrders[[#This Row],[CustomerID]],tblCustomers[CustomerID],tblCustomers[Age],"not found")</f>
        <v>25</v>
      </c>
      <c r="E1239" t="str">
        <f>_xlfn.XLOOKUP(tblOrders[[#This Row],[CustomerID]],tblCustomers[CustomerID],tblCustomers[Gender],"not found")</f>
        <v>Male</v>
      </c>
      <c r="F1239" t="str">
        <f>_xlfn.XLOOKUP(tblOrders[[#This Row],[CustomerID]],tblCustomers[CustomerID],tblCustomers[Region],"not found")</f>
        <v>West</v>
      </c>
      <c r="G1239">
        <v>1075</v>
      </c>
      <c r="H1239" t="str">
        <f>_xlfn.XLOOKUP(tblOrders[[#This Row],[ProductID]],tblProducts[ProductID],tblProducts[ProductName],"not found")</f>
        <v>Reduce</v>
      </c>
      <c r="I1239" t="str">
        <f>_xlfn.XLOOKUP(tblOrders[[#This Row],[ProductID]],tblProducts[ProductID],tblProducts[Category],"not found")</f>
        <v>Furniture</v>
      </c>
      <c r="J1239">
        <f>_xlfn.XLOOKUP(tblOrders[[#This Row],[ProductID]],tblProducts[ProductID],tblProducts[UnitPrice],"not found")</f>
        <v>385.86</v>
      </c>
      <c r="K1239" t="str">
        <f>_xlfn.XLOOKUP(tblOrders[[#This Row],[ProductID]],tblProducts[ProductID],tblProducts[Supplier],"not found")</f>
        <v>Chan-Acevedo</v>
      </c>
      <c r="L1239" s="1">
        <v>45143</v>
      </c>
      <c r="M12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45143</v>
      </c>
      <c r="N1239">
        <v>8</v>
      </c>
      <c r="O1239">
        <v>3086.88</v>
      </c>
      <c r="P1239">
        <f>tblOrders[[#This Row],[Quantity]]*tblOrders[[#This Row],[Unit Price]]</f>
        <v>3086.88</v>
      </c>
      <c r="Q1239">
        <f>tblOrders[[#This Row],[TotalSales]]-tblOrders[[#This Row],[Calculated Sales]]</f>
        <v>0</v>
      </c>
    </row>
    <row r="1240" spans="1:17" x14ac:dyDescent="0.25">
      <c r="A1240">
        <v>1890</v>
      </c>
      <c r="B1240">
        <v>879</v>
      </c>
      <c r="C1240" t="str">
        <f>_xlfn.XLOOKUP(tblOrders[[#This Row],[CustomerID]],tblCustomers[CustomerID],tblCustomers[CustomerName],"not found")</f>
        <v>Charles Fuller</v>
      </c>
      <c r="D1240">
        <f>_xlfn.XLOOKUP(tblOrders[[#This Row],[CustomerID]],tblCustomers[CustomerID],tblCustomers[Age],"not found")</f>
        <v>48</v>
      </c>
      <c r="E1240" t="str">
        <f>_xlfn.XLOOKUP(tblOrders[[#This Row],[CustomerID]],tblCustomers[CustomerID],tblCustomers[Gender],"not found")</f>
        <v>Male</v>
      </c>
      <c r="F1240" t="str">
        <f>_xlfn.XLOOKUP(tblOrders[[#This Row],[CustomerID]],tblCustomers[CustomerID],tblCustomers[Region],"not found")</f>
        <v>West</v>
      </c>
      <c r="G1240">
        <v>1075</v>
      </c>
      <c r="H1240" t="str">
        <f>_xlfn.XLOOKUP(tblOrders[[#This Row],[ProductID]],tblProducts[ProductID],tblProducts[ProductName],"not found")</f>
        <v>Reduce</v>
      </c>
      <c r="I1240" t="str">
        <f>_xlfn.XLOOKUP(tblOrders[[#This Row],[ProductID]],tblProducts[ProductID],tblProducts[Category],"not found")</f>
        <v>Furniture</v>
      </c>
      <c r="J1240">
        <f>_xlfn.XLOOKUP(tblOrders[[#This Row],[ProductID]],tblProducts[ProductID],tblProducts[UnitPrice],"not found")</f>
        <v>385.86</v>
      </c>
      <c r="K1240" t="str">
        <f>_xlfn.XLOOKUP(tblOrders[[#This Row],[ProductID]],tblProducts[ProductID],tblProducts[Supplier],"not found")</f>
        <v>Chan-Acevedo</v>
      </c>
      <c r="L1240" s="1" t="s">
        <v>2375</v>
      </c>
      <c r="M12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44998</v>
      </c>
      <c r="N1240">
        <v>6</v>
      </c>
      <c r="O1240">
        <v>2315.16</v>
      </c>
      <c r="P1240">
        <f>tblOrders[[#This Row],[Quantity]]*tblOrders[[#This Row],[Unit Price]]</f>
        <v>2315.16</v>
      </c>
      <c r="Q1240">
        <f>tblOrders[[#This Row],[TotalSales]]-tblOrders[[#This Row],[Calculated Sales]]</f>
        <v>0</v>
      </c>
    </row>
    <row r="1241" spans="1:17" x14ac:dyDescent="0.25">
      <c r="A1241">
        <v>1973</v>
      </c>
      <c r="B1241">
        <v>599</v>
      </c>
      <c r="C1241" t="str">
        <f>_xlfn.XLOOKUP(tblOrders[[#This Row],[CustomerID]],tblCustomers[CustomerID],tblCustomers[CustomerName],"not found")</f>
        <v>Dr. Glen Ramsey</v>
      </c>
      <c r="D1241">
        <f>_xlfn.XLOOKUP(tblOrders[[#This Row],[CustomerID]],tblCustomers[CustomerID],tblCustomers[Age],"not found")</f>
        <v>18</v>
      </c>
      <c r="E1241" t="str">
        <f>_xlfn.XLOOKUP(tblOrders[[#This Row],[CustomerID]],tblCustomers[CustomerID],tblCustomers[Gender],"not found")</f>
        <v>Female</v>
      </c>
      <c r="F1241" t="str">
        <f>_xlfn.XLOOKUP(tblOrders[[#This Row],[CustomerID]],tblCustomers[CustomerID],tblCustomers[Region],"not found")</f>
        <v>North</v>
      </c>
      <c r="G1241">
        <v>1075</v>
      </c>
      <c r="H1241" t="str">
        <f>_xlfn.XLOOKUP(tblOrders[[#This Row],[ProductID]],tblProducts[ProductID],tblProducts[ProductName],"not found")</f>
        <v>Reduce</v>
      </c>
      <c r="I1241" t="str">
        <f>_xlfn.XLOOKUP(tblOrders[[#This Row],[ProductID]],tblProducts[ProductID],tblProducts[Category],"not found")</f>
        <v>Furniture</v>
      </c>
      <c r="J1241">
        <f>_xlfn.XLOOKUP(tblOrders[[#This Row],[ProductID]],tblProducts[ProductID],tblProducts[UnitPrice],"not found")</f>
        <v>385.86</v>
      </c>
      <c r="K1241" t="str">
        <f>_xlfn.XLOOKUP(tblOrders[[#This Row],[ProductID]],tblProducts[ProductID],tblProducts[Supplier],"not found")</f>
        <v>Chan-Acevedo</v>
      </c>
      <c r="L1241" s="1" t="s">
        <v>2133</v>
      </c>
      <c r="M12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44884</v>
      </c>
      <c r="N1241">
        <v>3</v>
      </c>
      <c r="O1241">
        <v>1157.58</v>
      </c>
      <c r="P1241">
        <f>tblOrders[[#This Row],[Quantity]]*tblOrders[[#This Row],[Unit Price]]</f>
        <v>1157.58</v>
      </c>
      <c r="Q1241">
        <f>tblOrders[[#This Row],[TotalSales]]-tblOrders[[#This Row],[Calculated Sales]]</f>
        <v>0</v>
      </c>
    </row>
    <row r="1242" spans="1:17" x14ac:dyDescent="0.25">
      <c r="A1242">
        <v>86</v>
      </c>
      <c r="B1242">
        <v>944</v>
      </c>
      <c r="C1242" t="str">
        <f>_xlfn.XLOOKUP(tblOrders[[#This Row],[CustomerID]],tblCustomers[CustomerID],tblCustomers[CustomerName],"not found")</f>
        <v>Sarah Jones</v>
      </c>
      <c r="D1242">
        <f>_xlfn.XLOOKUP(tblOrders[[#This Row],[CustomerID]],tblCustomers[CustomerID],tblCustomers[Age],"not found")</f>
        <v>24</v>
      </c>
      <c r="E1242" t="str">
        <f>_xlfn.XLOOKUP(tblOrders[[#This Row],[CustomerID]],tblCustomers[CustomerID],tblCustomers[Gender],"not found")</f>
        <v>Female</v>
      </c>
      <c r="F1242" t="str">
        <f>_xlfn.XLOOKUP(tblOrders[[#This Row],[CustomerID]],tblCustomers[CustomerID],tblCustomers[Region],"not found")</f>
        <v>West</v>
      </c>
      <c r="G1242">
        <v>1071</v>
      </c>
      <c r="H1242" t="str">
        <f>_xlfn.XLOOKUP(tblOrders[[#This Row],[ProductID]],tblProducts[ProductID],tblProducts[ProductName],"not found")</f>
        <v>Scientist</v>
      </c>
      <c r="I1242" t="str">
        <f>_xlfn.XLOOKUP(tblOrders[[#This Row],[ProductID]],tblProducts[ProductID],tblProducts[Category],"not found")</f>
        <v>Apparel</v>
      </c>
      <c r="J1242">
        <f>_xlfn.XLOOKUP(tblOrders[[#This Row],[ProductID]],tblProducts[ProductID],tblProducts[UnitPrice],"not found")</f>
        <v>103.89</v>
      </c>
      <c r="K1242" t="str">
        <f>_xlfn.XLOOKUP(tblOrders[[#This Row],[ProductID]],tblProducts[ProductID],tblProducts[Supplier],"not found")</f>
        <v>Spence, Howard and Patel</v>
      </c>
      <c r="L1242" s="1" t="s">
        <v>2081</v>
      </c>
      <c r="M12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1242">
        <v>5</v>
      </c>
      <c r="O1242">
        <v>519.45000000000005</v>
      </c>
      <c r="P1242">
        <f>tblOrders[[#This Row],[Quantity]]*tblOrders[[#This Row],[Unit Price]]</f>
        <v>519.45000000000005</v>
      </c>
      <c r="Q1242">
        <f>tblOrders[[#This Row],[TotalSales]]-tblOrders[[#This Row],[Calculated Sales]]</f>
        <v>0</v>
      </c>
    </row>
    <row r="1243" spans="1:17" x14ac:dyDescent="0.25">
      <c r="A1243">
        <v>159</v>
      </c>
      <c r="B1243">
        <v>850</v>
      </c>
      <c r="C1243" t="str">
        <f>_xlfn.XLOOKUP(tblOrders[[#This Row],[CustomerID]],tblCustomers[CustomerID],tblCustomers[CustomerName],"not found")</f>
        <v>Shannon Hurst</v>
      </c>
      <c r="D1243">
        <f>_xlfn.XLOOKUP(tblOrders[[#This Row],[CustomerID]],tblCustomers[CustomerID],tblCustomers[Age],"not found")</f>
        <v>22</v>
      </c>
      <c r="E1243" t="str">
        <f>_xlfn.XLOOKUP(tblOrders[[#This Row],[CustomerID]],tblCustomers[CustomerID],tblCustomers[Gender],"not found")</f>
        <v>Female</v>
      </c>
      <c r="F1243" t="str">
        <f>_xlfn.XLOOKUP(tblOrders[[#This Row],[CustomerID]],tblCustomers[CustomerID],tblCustomers[Region],"not found")</f>
        <v>Central</v>
      </c>
      <c r="G1243">
        <v>1071</v>
      </c>
      <c r="H1243" t="str">
        <f>_xlfn.XLOOKUP(tblOrders[[#This Row],[ProductID]],tblProducts[ProductID],tblProducts[ProductName],"not found")</f>
        <v>Scientist</v>
      </c>
      <c r="I1243" t="str">
        <f>_xlfn.XLOOKUP(tblOrders[[#This Row],[ProductID]],tblProducts[ProductID],tblProducts[Category],"not found")</f>
        <v>Apparel</v>
      </c>
      <c r="J1243">
        <f>_xlfn.XLOOKUP(tblOrders[[#This Row],[ProductID]],tblProducts[ProductID],tblProducts[UnitPrice],"not found")</f>
        <v>103.89</v>
      </c>
      <c r="K1243" t="str">
        <f>_xlfn.XLOOKUP(tblOrders[[#This Row],[ProductID]],tblProducts[ProductID],tblProducts[Supplier],"not found")</f>
        <v>Spence, Howard and Patel</v>
      </c>
      <c r="L1243" s="1" t="s">
        <v>2151</v>
      </c>
      <c r="M12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45218</v>
      </c>
      <c r="N1243">
        <v>1</v>
      </c>
      <c r="O1243">
        <v>103.89</v>
      </c>
      <c r="P1243">
        <f>tblOrders[[#This Row],[Quantity]]*tblOrders[[#This Row],[Unit Price]]</f>
        <v>103.89</v>
      </c>
      <c r="Q1243">
        <f>tblOrders[[#This Row],[TotalSales]]-tblOrders[[#This Row],[Calculated Sales]]</f>
        <v>0</v>
      </c>
    </row>
    <row r="1244" spans="1:17" x14ac:dyDescent="0.25">
      <c r="A1244">
        <v>187</v>
      </c>
      <c r="B1244">
        <v>471</v>
      </c>
      <c r="C1244" t="str">
        <f>_xlfn.XLOOKUP(tblOrders[[#This Row],[CustomerID]],tblCustomers[CustomerID],tblCustomers[CustomerName],"not found")</f>
        <v>Shane Bradley</v>
      </c>
      <c r="D1244">
        <f>_xlfn.XLOOKUP(tblOrders[[#This Row],[CustomerID]],tblCustomers[CustomerID],tblCustomers[Age],"not found")</f>
        <v>23</v>
      </c>
      <c r="E1244" t="str">
        <f>_xlfn.XLOOKUP(tblOrders[[#This Row],[CustomerID]],tblCustomers[CustomerID],tblCustomers[Gender],"not found")</f>
        <v>Female</v>
      </c>
      <c r="F1244" t="str">
        <f>_xlfn.XLOOKUP(tblOrders[[#This Row],[CustomerID]],tblCustomers[CustomerID],tblCustomers[Region],"not found")</f>
        <v>East</v>
      </c>
      <c r="G1244">
        <v>1071</v>
      </c>
      <c r="H1244" t="str">
        <f>_xlfn.XLOOKUP(tblOrders[[#This Row],[ProductID]],tblProducts[ProductID],tblProducts[ProductName],"not found")</f>
        <v>Scientist</v>
      </c>
      <c r="I1244" t="str">
        <f>_xlfn.XLOOKUP(tblOrders[[#This Row],[ProductID]],tblProducts[ProductID],tblProducts[Category],"not found")</f>
        <v>Apparel</v>
      </c>
      <c r="J1244">
        <f>_xlfn.XLOOKUP(tblOrders[[#This Row],[ProductID]],tblProducts[ProductID],tblProducts[UnitPrice],"not found")</f>
        <v>103.89</v>
      </c>
      <c r="K1244" t="str">
        <f>_xlfn.XLOOKUP(tblOrders[[#This Row],[ProductID]],tblProducts[ProductID],tblProducts[Supplier],"not found")</f>
        <v>Spence, Howard and Patel</v>
      </c>
      <c r="L1244" s="1" t="s">
        <v>2080</v>
      </c>
      <c r="M12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44895</v>
      </c>
      <c r="N1244">
        <v>7</v>
      </c>
      <c r="O1244">
        <v>727.23</v>
      </c>
      <c r="P1244">
        <f>tblOrders[[#This Row],[Quantity]]*tblOrders[[#This Row],[Unit Price]]</f>
        <v>727.23</v>
      </c>
      <c r="Q1244">
        <f>tblOrders[[#This Row],[TotalSales]]-tblOrders[[#This Row],[Calculated Sales]]</f>
        <v>0</v>
      </c>
    </row>
    <row r="1245" spans="1:17" x14ac:dyDescent="0.25">
      <c r="A1245">
        <v>205</v>
      </c>
      <c r="B1245">
        <v>858</v>
      </c>
      <c r="C1245" t="str">
        <f>_xlfn.XLOOKUP(tblOrders[[#This Row],[CustomerID]],tblCustomers[CustomerID],tblCustomers[CustomerName],"not found")</f>
        <v>Jacob Nelson</v>
      </c>
      <c r="D1245">
        <f>_xlfn.XLOOKUP(tblOrders[[#This Row],[CustomerID]],tblCustomers[CustomerID],tblCustomers[Age],"not found")</f>
        <v>32</v>
      </c>
      <c r="E1245" t="str">
        <f>_xlfn.XLOOKUP(tblOrders[[#This Row],[CustomerID]],tblCustomers[CustomerID],tblCustomers[Gender],"not found")</f>
        <v>Female</v>
      </c>
      <c r="F1245" t="str">
        <f>_xlfn.XLOOKUP(tblOrders[[#This Row],[CustomerID]],tblCustomers[CustomerID],tblCustomers[Region],"not found")</f>
        <v>West</v>
      </c>
      <c r="G1245">
        <v>1071</v>
      </c>
      <c r="H1245" t="str">
        <f>_xlfn.XLOOKUP(tblOrders[[#This Row],[ProductID]],tblProducts[ProductID],tblProducts[ProductName],"not found")</f>
        <v>Scientist</v>
      </c>
      <c r="I1245" t="str">
        <f>_xlfn.XLOOKUP(tblOrders[[#This Row],[ProductID]],tblProducts[ProductID],tblProducts[Category],"not found")</f>
        <v>Apparel</v>
      </c>
      <c r="J1245">
        <f>_xlfn.XLOOKUP(tblOrders[[#This Row],[ProductID]],tblProducts[ProductID],tblProducts[UnitPrice],"not found")</f>
        <v>103.89</v>
      </c>
      <c r="K1245" t="str">
        <f>_xlfn.XLOOKUP(tblOrders[[#This Row],[ProductID]],tblProducts[ProductID],tblProducts[Supplier],"not found")</f>
        <v>Spence, Howard and Patel</v>
      </c>
      <c r="L1245" s="1" t="s">
        <v>2123</v>
      </c>
      <c r="M12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45592</v>
      </c>
      <c r="N1245">
        <v>6</v>
      </c>
      <c r="O1245">
        <v>623.34</v>
      </c>
      <c r="P1245">
        <f>tblOrders[[#This Row],[Quantity]]*tblOrders[[#This Row],[Unit Price]]</f>
        <v>623.34</v>
      </c>
      <c r="Q1245">
        <f>tblOrders[[#This Row],[TotalSales]]-tblOrders[[#This Row],[Calculated Sales]]</f>
        <v>0</v>
      </c>
    </row>
    <row r="1246" spans="1:17" x14ac:dyDescent="0.25">
      <c r="A1246">
        <v>289</v>
      </c>
      <c r="B1246">
        <v>285</v>
      </c>
      <c r="C1246" t="str">
        <f>_xlfn.XLOOKUP(tblOrders[[#This Row],[CustomerID]],tblCustomers[CustomerID],tblCustomers[CustomerName],"not found")</f>
        <v>Olivia Jackson</v>
      </c>
      <c r="D1246">
        <f>_xlfn.XLOOKUP(tblOrders[[#This Row],[CustomerID]],tblCustomers[CustomerID],tblCustomers[Age],"not found")</f>
        <v>50</v>
      </c>
      <c r="E1246" t="str">
        <f>_xlfn.XLOOKUP(tblOrders[[#This Row],[CustomerID]],tblCustomers[CustomerID],tblCustomers[Gender],"not found")</f>
        <v>Male</v>
      </c>
      <c r="F1246" t="str">
        <f>_xlfn.XLOOKUP(tblOrders[[#This Row],[CustomerID]],tblCustomers[CustomerID],tblCustomers[Region],"not found")</f>
        <v>East</v>
      </c>
      <c r="G1246">
        <v>1071</v>
      </c>
      <c r="H1246" t="str">
        <f>_xlfn.XLOOKUP(tblOrders[[#This Row],[ProductID]],tblProducts[ProductID],tblProducts[ProductName],"not found")</f>
        <v>Scientist</v>
      </c>
      <c r="I1246" t="str">
        <f>_xlfn.XLOOKUP(tblOrders[[#This Row],[ProductID]],tblProducts[ProductID],tblProducts[Category],"not found")</f>
        <v>Apparel</v>
      </c>
      <c r="J1246">
        <f>_xlfn.XLOOKUP(tblOrders[[#This Row],[ProductID]],tblProducts[ProductID],tblProducts[UnitPrice],"not found")</f>
        <v>103.89</v>
      </c>
      <c r="K1246" t="str">
        <f>_xlfn.XLOOKUP(tblOrders[[#This Row],[ProductID]],tblProducts[ProductID],tblProducts[Supplier],"not found")</f>
        <v>Spence, Howard and Patel</v>
      </c>
      <c r="L1246" s="1">
        <v>45451</v>
      </c>
      <c r="M12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1246">
        <v>8</v>
      </c>
      <c r="O1246">
        <v>831.12</v>
      </c>
      <c r="P1246">
        <f>tblOrders[[#This Row],[Quantity]]*tblOrders[[#This Row],[Unit Price]]</f>
        <v>831.12</v>
      </c>
      <c r="Q1246">
        <f>tblOrders[[#This Row],[TotalSales]]-tblOrders[[#This Row],[Calculated Sales]]</f>
        <v>0</v>
      </c>
    </row>
    <row r="1247" spans="1:17" x14ac:dyDescent="0.25">
      <c r="A1247">
        <v>424</v>
      </c>
      <c r="B1247">
        <v>576</v>
      </c>
      <c r="C1247" t="str">
        <f>_xlfn.XLOOKUP(tblOrders[[#This Row],[CustomerID]],tblCustomers[CustomerID],tblCustomers[CustomerName],"not found")</f>
        <v>Wayne Juarez</v>
      </c>
      <c r="D1247">
        <f>_xlfn.XLOOKUP(tblOrders[[#This Row],[CustomerID]],tblCustomers[CustomerID],tblCustomers[Age],"not found")</f>
        <v>36</v>
      </c>
      <c r="E1247" t="str">
        <f>_xlfn.XLOOKUP(tblOrders[[#This Row],[CustomerID]],tblCustomers[CustomerID],tblCustomers[Gender],"not found")</f>
        <v>Male</v>
      </c>
      <c r="F1247" t="str">
        <f>_xlfn.XLOOKUP(tblOrders[[#This Row],[CustomerID]],tblCustomers[CustomerID],tblCustomers[Region],"not found")</f>
        <v>Central</v>
      </c>
      <c r="G1247">
        <v>1071</v>
      </c>
      <c r="H1247" t="str">
        <f>_xlfn.XLOOKUP(tblOrders[[#This Row],[ProductID]],tblProducts[ProductID],tblProducts[ProductName],"not found")</f>
        <v>Scientist</v>
      </c>
      <c r="I1247" t="str">
        <f>_xlfn.XLOOKUP(tblOrders[[#This Row],[ProductID]],tblProducts[ProductID],tblProducts[Category],"not found")</f>
        <v>Apparel</v>
      </c>
      <c r="J1247">
        <f>_xlfn.XLOOKUP(tblOrders[[#This Row],[ProductID]],tblProducts[ProductID],tblProducts[UnitPrice],"not found")</f>
        <v>103.89</v>
      </c>
      <c r="K1247" t="str">
        <f>_xlfn.XLOOKUP(tblOrders[[#This Row],[ProductID]],tblProducts[ProductID],tblProducts[Supplier],"not found")</f>
        <v>Spence, Howard and Patel</v>
      </c>
      <c r="L1247" s="1" t="s">
        <v>2376</v>
      </c>
      <c r="M12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45340</v>
      </c>
      <c r="N1247">
        <v>9</v>
      </c>
      <c r="O1247">
        <v>935.01</v>
      </c>
      <c r="P1247">
        <f>tblOrders[[#This Row],[Quantity]]*tblOrders[[#This Row],[Unit Price]]</f>
        <v>935.01</v>
      </c>
      <c r="Q1247">
        <f>tblOrders[[#This Row],[TotalSales]]-tblOrders[[#This Row],[Calculated Sales]]</f>
        <v>0</v>
      </c>
    </row>
    <row r="1248" spans="1:17" x14ac:dyDescent="0.25">
      <c r="A1248">
        <v>480</v>
      </c>
      <c r="B1248">
        <v>311</v>
      </c>
      <c r="C1248" t="str">
        <f>_xlfn.XLOOKUP(tblOrders[[#This Row],[CustomerID]],tblCustomers[CustomerID],tblCustomers[CustomerName],"not found")</f>
        <v>Sarah Ryan</v>
      </c>
      <c r="D1248">
        <f>_xlfn.XLOOKUP(tblOrders[[#This Row],[CustomerID]],tblCustomers[CustomerID],tblCustomers[Age],"not found")</f>
        <v>36</v>
      </c>
      <c r="E1248" t="str">
        <f>_xlfn.XLOOKUP(tblOrders[[#This Row],[CustomerID]],tblCustomers[CustomerID],tblCustomers[Gender],"not found")</f>
        <v>Female</v>
      </c>
      <c r="F1248" t="str">
        <f>_xlfn.XLOOKUP(tblOrders[[#This Row],[CustomerID]],tblCustomers[CustomerID],tblCustomers[Region],"not found")</f>
        <v>East</v>
      </c>
      <c r="G1248">
        <v>1071</v>
      </c>
      <c r="H1248" t="str">
        <f>_xlfn.XLOOKUP(tblOrders[[#This Row],[ProductID]],tblProducts[ProductID],tblProducts[ProductName],"not found")</f>
        <v>Scientist</v>
      </c>
      <c r="I1248" t="str">
        <f>_xlfn.XLOOKUP(tblOrders[[#This Row],[ProductID]],tblProducts[ProductID],tblProducts[Category],"not found")</f>
        <v>Apparel</v>
      </c>
      <c r="J1248">
        <f>_xlfn.XLOOKUP(tblOrders[[#This Row],[ProductID]],tblProducts[ProductID],tblProducts[UnitPrice],"not found")</f>
        <v>103.89</v>
      </c>
      <c r="K1248" t="str">
        <f>_xlfn.XLOOKUP(tblOrders[[#This Row],[ProductID]],tblProducts[ProductID],tblProducts[Supplier],"not found")</f>
        <v>Spence, Howard and Patel</v>
      </c>
      <c r="L1248" s="1">
        <v>45333</v>
      </c>
      <c r="M12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45333</v>
      </c>
      <c r="N1248">
        <v>4</v>
      </c>
      <c r="O1248">
        <v>415.56</v>
      </c>
      <c r="P1248">
        <f>tblOrders[[#This Row],[Quantity]]*tblOrders[[#This Row],[Unit Price]]</f>
        <v>415.56</v>
      </c>
      <c r="Q1248">
        <f>tblOrders[[#This Row],[TotalSales]]-tblOrders[[#This Row],[Calculated Sales]]</f>
        <v>0</v>
      </c>
    </row>
    <row r="1249" spans="1:17" x14ac:dyDescent="0.25">
      <c r="A1249">
        <v>562</v>
      </c>
      <c r="B1249">
        <v>932</v>
      </c>
      <c r="C1249" t="str">
        <f>_xlfn.XLOOKUP(tblOrders[[#This Row],[CustomerID]],tblCustomers[CustomerID],tblCustomers[CustomerName],"not found")</f>
        <v>Crystal Prince</v>
      </c>
      <c r="D1249">
        <f>_xlfn.XLOOKUP(tblOrders[[#This Row],[CustomerID]],tblCustomers[CustomerID],tblCustomers[Age],"not found")</f>
        <v>31</v>
      </c>
      <c r="E1249" t="str">
        <f>_xlfn.XLOOKUP(tblOrders[[#This Row],[CustomerID]],tblCustomers[CustomerID],tblCustomers[Gender],"not found")</f>
        <v>Male</v>
      </c>
      <c r="F1249" t="str">
        <f>_xlfn.XLOOKUP(tblOrders[[#This Row],[CustomerID]],tblCustomers[CustomerID],tblCustomers[Region],"not found")</f>
        <v>Central</v>
      </c>
      <c r="G1249">
        <v>1071</v>
      </c>
      <c r="H1249" t="str">
        <f>_xlfn.XLOOKUP(tblOrders[[#This Row],[ProductID]],tblProducts[ProductID],tblProducts[ProductName],"not found")</f>
        <v>Scientist</v>
      </c>
      <c r="I1249" t="str">
        <f>_xlfn.XLOOKUP(tblOrders[[#This Row],[ProductID]],tblProducts[ProductID],tblProducts[Category],"not found")</f>
        <v>Apparel</v>
      </c>
      <c r="J1249">
        <f>_xlfn.XLOOKUP(tblOrders[[#This Row],[ProductID]],tblProducts[ProductID],tblProducts[UnitPrice],"not found")</f>
        <v>103.89</v>
      </c>
      <c r="K1249" t="str">
        <f>_xlfn.XLOOKUP(tblOrders[[#This Row],[ProductID]],tblProducts[ProductID],tblProducts[Supplier],"not found")</f>
        <v>Spence, Howard and Patel</v>
      </c>
      <c r="L1249" s="1">
        <v>45389</v>
      </c>
      <c r="M12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45389</v>
      </c>
      <c r="N1249">
        <v>4</v>
      </c>
      <c r="O1249">
        <v>415.56</v>
      </c>
      <c r="P1249">
        <f>tblOrders[[#This Row],[Quantity]]*tblOrders[[#This Row],[Unit Price]]</f>
        <v>415.56</v>
      </c>
      <c r="Q1249">
        <f>tblOrders[[#This Row],[TotalSales]]-tblOrders[[#This Row],[Calculated Sales]]</f>
        <v>0</v>
      </c>
    </row>
    <row r="1250" spans="1:17" x14ac:dyDescent="0.25">
      <c r="A1250">
        <v>666</v>
      </c>
      <c r="B1250">
        <v>786</v>
      </c>
      <c r="C1250" t="str">
        <f>_xlfn.XLOOKUP(tblOrders[[#This Row],[CustomerID]],tblCustomers[CustomerID],tblCustomers[CustomerName],"not found")</f>
        <v>Carol Carter</v>
      </c>
      <c r="D1250">
        <f>_xlfn.XLOOKUP(tblOrders[[#This Row],[CustomerID]],tblCustomers[CustomerID],tblCustomers[Age],"not found")</f>
        <v>65</v>
      </c>
      <c r="E1250" t="str">
        <f>_xlfn.XLOOKUP(tblOrders[[#This Row],[CustomerID]],tblCustomers[CustomerID],tblCustomers[Gender],"not found")</f>
        <v>Male</v>
      </c>
      <c r="F1250" t="str">
        <f>_xlfn.XLOOKUP(tblOrders[[#This Row],[CustomerID]],tblCustomers[CustomerID],tblCustomers[Region],"not found")</f>
        <v>South</v>
      </c>
      <c r="G1250">
        <v>1071</v>
      </c>
      <c r="H1250" t="str">
        <f>_xlfn.XLOOKUP(tblOrders[[#This Row],[ProductID]],tblProducts[ProductID],tblProducts[ProductName],"not found")</f>
        <v>Scientist</v>
      </c>
      <c r="I1250" t="str">
        <f>_xlfn.XLOOKUP(tblOrders[[#This Row],[ProductID]],tblProducts[ProductID],tblProducts[Category],"not found")</f>
        <v>Apparel</v>
      </c>
      <c r="J1250">
        <f>_xlfn.XLOOKUP(tblOrders[[#This Row],[ProductID]],tblProducts[ProductID],tblProducts[UnitPrice],"not found")</f>
        <v>103.89</v>
      </c>
      <c r="K1250" t="str">
        <f>_xlfn.XLOOKUP(tblOrders[[#This Row],[ProductID]],tblProducts[ProductID],tblProducts[Supplier],"not found")</f>
        <v>Spence, Howard and Patel</v>
      </c>
      <c r="L1250" s="1">
        <v>45056</v>
      </c>
      <c r="M12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45056</v>
      </c>
      <c r="N1250">
        <v>2</v>
      </c>
      <c r="O1250">
        <v>207.78</v>
      </c>
      <c r="P1250">
        <f>tblOrders[[#This Row],[Quantity]]*tblOrders[[#This Row],[Unit Price]]</f>
        <v>207.78</v>
      </c>
      <c r="Q1250">
        <f>tblOrders[[#This Row],[TotalSales]]-tblOrders[[#This Row],[Calculated Sales]]</f>
        <v>0</v>
      </c>
    </row>
    <row r="1251" spans="1:17" x14ac:dyDescent="0.25">
      <c r="A1251">
        <v>872</v>
      </c>
      <c r="B1251">
        <v>672</v>
      </c>
      <c r="C1251" t="str">
        <f>_xlfn.XLOOKUP(tblOrders[[#This Row],[CustomerID]],tblCustomers[CustomerID],tblCustomers[CustomerName],"not found")</f>
        <v>Tara Graves</v>
      </c>
      <c r="D1251">
        <f>_xlfn.XLOOKUP(tblOrders[[#This Row],[CustomerID]],tblCustomers[CustomerID],tblCustomers[Age],"not found")</f>
        <v>37</v>
      </c>
      <c r="E1251" t="str">
        <f>_xlfn.XLOOKUP(tblOrders[[#This Row],[CustomerID]],tblCustomers[CustomerID],tblCustomers[Gender],"not found")</f>
        <v>Male</v>
      </c>
      <c r="F1251" t="str">
        <f>_xlfn.XLOOKUP(tblOrders[[#This Row],[CustomerID]],tblCustomers[CustomerID],tblCustomers[Region],"not found")</f>
        <v>East</v>
      </c>
      <c r="G1251">
        <v>1071</v>
      </c>
      <c r="H1251" t="str">
        <f>_xlfn.XLOOKUP(tblOrders[[#This Row],[ProductID]],tblProducts[ProductID],tblProducts[ProductName],"not found")</f>
        <v>Scientist</v>
      </c>
      <c r="I1251" t="str">
        <f>_xlfn.XLOOKUP(tblOrders[[#This Row],[ProductID]],tblProducts[ProductID],tblProducts[Category],"not found")</f>
        <v>Apparel</v>
      </c>
      <c r="J1251">
        <f>_xlfn.XLOOKUP(tblOrders[[#This Row],[ProductID]],tblProducts[ProductID],tblProducts[UnitPrice],"not found")</f>
        <v>103.89</v>
      </c>
      <c r="K1251" t="str">
        <f>_xlfn.XLOOKUP(tblOrders[[#This Row],[ProductID]],tblProducts[ProductID],tblProducts[Supplier],"not found")</f>
        <v>Spence, Howard and Patel</v>
      </c>
      <c r="L1251" s="1">
        <v>44933</v>
      </c>
      <c r="M12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44933</v>
      </c>
      <c r="N1251">
        <v>2</v>
      </c>
      <c r="O1251">
        <v>207.78</v>
      </c>
      <c r="P1251">
        <f>tblOrders[[#This Row],[Quantity]]*tblOrders[[#This Row],[Unit Price]]</f>
        <v>207.78</v>
      </c>
      <c r="Q1251">
        <f>tblOrders[[#This Row],[TotalSales]]-tblOrders[[#This Row],[Calculated Sales]]</f>
        <v>0</v>
      </c>
    </row>
    <row r="1252" spans="1:17" x14ac:dyDescent="0.25">
      <c r="A1252">
        <v>930</v>
      </c>
      <c r="B1252">
        <v>408</v>
      </c>
      <c r="C1252" t="str">
        <f>_xlfn.XLOOKUP(tblOrders[[#This Row],[CustomerID]],tblCustomers[CustomerID],tblCustomers[CustomerName],"not found")</f>
        <v>Alan Parks</v>
      </c>
      <c r="D1252">
        <f>_xlfn.XLOOKUP(tblOrders[[#This Row],[CustomerID]],tblCustomers[CustomerID],tblCustomers[Age],"not found")</f>
        <v>66</v>
      </c>
      <c r="E1252" t="str">
        <f>_xlfn.XLOOKUP(tblOrders[[#This Row],[CustomerID]],tblCustomers[CustomerID],tblCustomers[Gender],"not found")</f>
        <v>Female</v>
      </c>
      <c r="F1252" t="str">
        <f>_xlfn.XLOOKUP(tblOrders[[#This Row],[CustomerID]],tblCustomers[CustomerID],tblCustomers[Region],"not found")</f>
        <v>Central</v>
      </c>
      <c r="G1252">
        <v>1071</v>
      </c>
      <c r="H1252" t="str">
        <f>_xlfn.XLOOKUP(tblOrders[[#This Row],[ProductID]],tblProducts[ProductID],tblProducts[ProductName],"not found")</f>
        <v>Scientist</v>
      </c>
      <c r="I1252" t="str">
        <f>_xlfn.XLOOKUP(tblOrders[[#This Row],[ProductID]],tblProducts[ProductID],tblProducts[Category],"not found")</f>
        <v>Apparel</v>
      </c>
      <c r="J1252">
        <f>_xlfn.XLOOKUP(tblOrders[[#This Row],[ProductID]],tblProducts[ProductID],tblProducts[UnitPrice],"not found")</f>
        <v>103.89</v>
      </c>
      <c r="K1252" t="str">
        <f>_xlfn.XLOOKUP(tblOrders[[#This Row],[ProductID]],tblProducts[ProductID],tblProducts[Supplier],"not found")</f>
        <v>Spence, Howard and Patel</v>
      </c>
      <c r="L1252" s="1">
        <v>45204</v>
      </c>
      <c r="M12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45204</v>
      </c>
      <c r="N1252">
        <v>1</v>
      </c>
      <c r="O1252">
        <v>103.89</v>
      </c>
      <c r="P1252">
        <f>tblOrders[[#This Row],[Quantity]]*tblOrders[[#This Row],[Unit Price]]</f>
        <v>103.89</v>
      </c>
      <c r="Q1252">
        <f>tblOrders[[#This Row],[TotalSales]]-tblOrders[[#This Row],[Calculated Sales]]</f>
        <v>0</v>
      </c>
    </row>
    <row r="1253" spans="1:17" x14ac:dyDescent="0.25">
      <c r="A1253">
        <v>981</v>
      </c>
      <c r="B1253">
        <v>105</v>
      </c>
      <c r="C1253" t="str">
        <f>_xlfn.XLOOKUP(tblOrders[[#This Row],[CustomerID]],tblCustomers[CustomerID],tblCustomers[CustomerName],"not found")</f>
        <v>Carolyn Harris</v>
      </c>
      <c r="D1253">
        <f>_xlfn.XLOOKUP(tblOrders[[#This Row],[CustomerID]],tblCustomers[CustomerID],tblCustomers[Age],"not found")</f>
        <v>48</v>
      </c>
      <c r="E1253" t="str">
        <f>_xlfn.XLOOKUP(tblOrders[[#This Row],[CustomerID]],tblCustomers[CustomerID],tblCustomers[Gender],"not found")</f>
        <v>Male</v>
      </c>
      <c r="F1253" t="str">
        <f>_xlfn.XLOOKUP(tblOrders[[#This Row],[CustomerID]],tblCustomers[CustomerID],tblCustomers[Region],"not found")</f>
        <v>North</v>
      </c>
      <c r="G1253">
        <v>1071</v>
      </c>
      <c r="H1253" t="str">
        <f>_xlfn.XLOOKUP(tblOrders[[#This Row],[ProductID]],tblProducts[ProductID],tblProducts[ProductName],"not found")</f>
        <v>Scientist</v>
      </c>
      <c r="I1253" t="str">
        <f>_xlfn.XLOOKUP(tblOrders[[#This Row],[ProductID]],tblProducts[ProductID],tblProducts[Category],"not found")</f>
        <v>Apparel</v>
      </c>
      <c r="J1253">
        <f>_xlfn.XLOOKUP(tblOrders[[#This Row],[ProductID]],tblProducts[ProductID],tblProducts[UnitPrice],"not found")</f>
        <v>103.89</v>
      </c>
      <c r="K1253" t="str">
        <f>_xlfn.XLOOKUP(tblOrders[[#This Row],[ProductID]],tblProducts[ProductID],tblProducts[Supplier],"not found")</f>
        <v>Spence, Howard and Patel</v>
      </c>
      <c r="L1253" s="1">
        <v>45081</v>
      </c>
      <c r="M12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45081</v>
      </c>
      <c r="N1253">
        <v>9</v>
      </c>
      <c r="O1253">
        <v>935.01</v>
      </c>
      <c r="P1253">
        <f>tblOrders[[#This Row],[Quantity]]*tblOrders[[#This Row],[Unit Price]]</f>
        <v>935.01</v>
      </c>
      <c r="Q1253">
        <f>tblOrders[[#This Row],[TotalSales]]-tblOrders[[#This Row],[Calculated Sales]]</f>
        <v>0</v>
      </c>
    </row>
    <row r="1254" spans="1:17" x14ac:dyDescent="0.25">
      <c r="A1254">
        <v>1027</v>
      </c>
      <c r="B1254">
        <v>649</v>
      </c>
      <c r="C1254" t="str">
        <f>_xlfn.XLOOKUP(tblOrders[[#This Row],[CustomerID]],tblCustomers[CustomerID],tblCustomers[CustomerName],"not found")</f>
        <v>Anthony Scott</v>
      </c>
      <c r="D1254">
        <f>_xlfn.XLOOKUP(tblOrders[[#This Row],[CustomerID]],tblCustomers[CustomerID],tblCustomers[Age],"not found")</f>
        <v>29</v>
      </c>
      <c r="E1254" t="str">
        <f>_xlfn.XLOOKUP(tblOrders[[#This Row],[CustomerID]],tblCustomers[CustomerID],tblCustomers[Gender],"not found")</f>
        <v>Male</v>
      </c>
      <c r="F1254" t="str">
        <f>_xlfn.XLOOKUP(tblOrders[[#This Row],[CustomerID]],tblCustomers[CustomerID],tblCustomers[Region],"not found")</f>
        <v>East</v>
      </c>
      <c r="G1254">
        <v>1071</v>
      </c>
      <c r="H1254" t="str">
        <f>_xlfn.XLOOKUP(tblOrders[[#This Row],[ProductID]],tblProducts[ProductID],tblProducts[ProductName],"not found")</f>
        <v>Scientist</v>
      </c>
      <c r="I1254" t="str">
        <f>_xlfn.XLOOKUP(tblOrders[[#This Row],[ProductID]],tblProducts[ProductID],tblProducts[Category],"not found")</f>
        <v>Apparel</v>
      </c>
      <c r="J1254">
        <f>_xlfn.XLOOKUP(tblOrders[[#This Row],[ProductID]],tblProducts[ProductID],tblProducts[UnitPrice],"not found")</f>
        <v>103.89</v>
      </c>
      <c r="K1254" t="str">
        <f>_xlfn.XLOOKUP(tblOrders[[#This Row],[ProductID]],tblProducts[ProductID],tblProducts[Supplier],"not found")</f>
        <v>Spence, Howard and Patel</v>
      </c>
      <c r="L1254" s="1">
        <v>45048</v>
      </c>
      <c r="M12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45048</v>
      </c>
      <c r="N1254">
        <v>4</v>
      </c>
      <c r="O1254">
        <v>415.56</v>
      </c>
      <c r="P1254">
        <f>tblOrders[[#This Row],[Quantity]]*tblOrders[[#This Row],[Unit Price]]</f>
        <v>415.56</v>
      </c>
      <c r="Q1254">
        <f>tblOrders[[#This Row],[TotalSales]]-tblOrders[[#This Row],[Calculated Sales]]</f>
        <v>0</v>
      </c>
    </row>
    <row r="1255" spans="1:17" x14ac:dyDescent="0.25">
      <c r="A1255">
        <v>1052</v>
      </c>
      <c r="B1255">
        <v>228</v>
      </c>
      <c r="C1255" t="str">
        <f>_xlfn.XLOOKUP(tblOrders[[#This Row],[CustomerID]],tblCustomers[CustomerID],tblCustomers[CustomerName],"not found")</f>
        <v>Sherry Brown</v>
      </c>
      <c r="D1255">
        <f>_xlfn.XLOOKUP(tblOrders[[#This Row],[CustomerID]],tblCustomers[CustomerID],tblCustomers[Age],"not found")</f>
        <v>59</v>
      </c>
      <c r="E1255" t="str">
        <f>_xlfn.XLOOKUP(tblOrders[[#This Row],[CustomerID]],tblCustomers[CustomerID],tblCustomers[Gender],"not found")</f>
        <v>Female</v>
      </c>
      <c r="F1255" t="str">
        <f>_xlfn.XLOOKUP(tblOrders[[#This Row],[CustomerID]],tblCustomers[CustomerID],tblCustomers[Region],"not found")</f>
        <v>East</v>
      </c>
      <c r="G1255">
        <v>1071</v>
      </c>
      <c r="H1255" t="str">
        <f>_xlfn.XLOOKUP(tblOrders[[#This Row],[ProductID]],tblProducts[ProductID],tblProducts[ProductName],"not found")</f>
        <v>Scientist</v>
      </c>
      <c r="I1255" t="str">
        <f>_xlfn.XLOOKUP(tblOrders[[#This Row],[ProductID]],tblProducts[ProductID],tblProducts[Category],"not found")</f>
        <v>Apparel</v>
      </c>
      <c r="J1255">
        <f>_xlfn.XLOOKUP(tblOrders[[#This Row],[ProductID]],tblProducts[ProductID],tblProducts[UnitPrice],"not found")</f>
        <v>103.89</v>
      </c>
      <c r="K1255" t="str">
        <f>_xlfn.XLOOKUP(tblOrders[[#This Row],[ProductID]],tblProducts[ProductID],tblProducts[Supplier],"not found")</f>
        <v>Spence, Howard and Patel</v>
      </c>
      <c r="L1255" s="1">
        <v>45514</v>
      </c>
      <c r="M12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45514</v>
      </c>
      <c r="N1255">
        <v>2</v>
      </c>
      <c r="O1255">
        <v>207.78</v>
      </c>
      <c r="P1255">
        <f>tblOrders[[#This Row],[Quantity]]*tblOrders[[#This Row],[Unit Price]]</f>
        <v>207.78</v>
      </c>
      <c r="Q1255">
        <f>tblOrders[[#This Row],[TotalSales]]-tblOrders[[#This Row],[Calculated Sales]]</f>
        <v>0</v>
      </c>
    </row>
    <row r="1256" spans="1:17" x14ac:dyDescent="0.25">
      <c r="A1256">
        <v>1066</v>
      </c>
      <c r="B1256">
        <v>3</v>
      </c>
      <c r="C1256" t="str">
        <f>_xlfn.XLOOKUP(tblOrders[[#This Row],[CustomerID]],tblCustomers[CustomerID],tblCustomers[CustomerName],"not found")</f>
        <v>Dr. Alicia Henderson DVM</v>
      </c>
      <c r="D1256">
        <f>_xlfn.XLOOKUP(tblOrders[[#This Row],[CustomerID]],tblCustomers[CustomerID],tblCustomers[Age],"not found")</f>
        <v>19</v>
      </c>
      <c r="E1256" t="str">
        <f>_xlfn.XLOOKUP(tblOrders[[#This Row],[CustomerID]],tblCustomers[CustomerID],tblCustomers[Gender],"not found")</f>
        <v>Male</v>
      </c>
      <c r="F1256" t="str">
        <f>_xlfn.XLOOKUP(tblOrders[[#This Row],[CustomerID]],tblCustomers[CustomerID],tblCustomers[Region],"not found")</f>
        <v>North</v>
      </c>
      <c r="G1256">
        <v>1071</v>
      </c>
      <c r="H1256" t="str">
        <f>_xlfn.XLOOKUP(tblOrders[[#This Row],[ProductID]],tblProducts[ProductID],tblProducts[ProductName],"not found")</f>
        <v>Scientist</v>
      </c>
      <c r="I1256" t="str">
        <f>_xlfn.XLOOKUP(tblOrders[[#This Row],[ProductID]],tblProducts[ProductID],tblProducts[Category],"not found")</f>
        <v>Apparel</v>
      </c>
      <c r="J1256">
        <f>_xlfn.XLOOKUP(tblOrders[[#This Row],[ProductID]],tblProducts[ProductID],tblProducts[UnitPrice],"not found")</f>
        <v>103.89</v>
      </c>
      <c r="K1256" t="str">
        <f>_xlfn.XLOOKUP(tblOrders[[#This Row],[ProductID]],tblProducts[ProductID],tblProducts[Supplier],"not found")</f>
        <v>Spence, Howard and Patel</v>
      </c>
      <c r="L1256" s="1">
        <v>45633</v>
      </c>
      <c r="M12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45633</v>
      </c>
      <c r="N1256">
        <v>6</v>
      </c>
      <c r="O1256">
        <v>623.34</v>
      </c>
      <c r="P1256">
        <f>tblOrders[[#This Row],[Quantity]]*tblOrders[[#This Row],[Unit Price]]</f>
        <v>623.34</v>
      </c>
      <c r="Q1256">
        <f>tblOrders[[#This Row],[TotalSales]]-tblOrders[[#This Row],[Calculated Sales]]</f>
        <v>0</v>
      </c>
    </row>
    <row r="1257" spans="1:17" x14ac:dyDescent="0.25">
      <c r="A1257">
        <v>1141</v>
      </c>
      <c r="B1257">
        <v>392</v>
      </c>
      <c r="C1257" t="str">
        <f>_xlfn.XLOOKUP(tblOrders[[#This Row],[CustomerID]],tblCustomers[CustomerID],tblCustomers[CustomerName],"not found")</f>
        <v>Kristen Barajas</v>
      </c>
      <c r="D1257">
        <f>_xlfn.XLOOKUP(tblOrders[[#This Row],[CustomerID]],tblCustomers[CustomerID],tblCustomers[Age],"not found")</f>
        <v>29</v>
      </c>
      <c r="E1257" t="str">
        <f>_xlfn.XLOOKUP(tblOrders[[#This Row],[CustomerID]],tblCustomers[CustomerID],tblCustomers[Gender],"not found")</f>
        <v>Female</v>
      </c>
      <c r="F1257" t="str">
        <f>_xlfn.XLOOKUP(tblOrders[[#This Row],[CustomerID]],tblCustomers[CustomerID],tblCustomers[Region],"not found")</f>
        <v>East</v>
      </c>
      <c r="G1257">
        <v>1071</v>
      </c>
      <c r="H1257" t="str">
        <f>_xlfn.XLOOKUP(tblOrders[[#This Row],[ProductID]],tblProducts[ProductID],tblProducts[ProductName],"not found")</f>
        <v>Scientist</v>
      </c>
      <c r="I1257" t="str">
        <f>_xlfn.XLOOKUP(tblOrders[[#This Row],[ProductID]],tblProducts[ProductID],tblProducts[Category],"not found")</f>
        <v>Apparel</v>
      </c>
      <c r="J1257">
        <f>_xlfn.XLOOKUP(tblOrders[[#This Row],[ProductID]],tblProducts[ProductID],tblProducts[UnitPrice],"not found")</f>
        <v>103.89</v>
      </c>
      <c r="K1257" t="str">
        <f>_xlfn.XLOOKUP(tblOrders[[#This Row],[ProductID]],tblProducts[ProductID],tblProducts[Supplier],"not found")</f>
        <v>Spence, Howard and Patel</v>
      </c>
      <c r="L1257" s="1">
        <v>45234</v>
      </c>
      <c r="M12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45234</v>
      </c>
      <c r="N1257">
        <v>4</v>
      </c>
      <c r="O1257">
        <v>415.56</v>
      </c>
      <c r="P1257">
        <f>tblOrders[[#This Row],[Quantity]]*tblOrders[[#This Row],[Unit Price]]</f>
        <v>415.56</v>
      </c>
      <c r="Q1257">
        <f>tblOrders[[#This Row],[TotalSales]]-tblOrders[[#This Row],[Calculated Sales]]</f>
        <v>0</v>
      </c>
    </row>
    <row r="1258" spans="1:17" x14ac:dyDescent="0.25">
      <c r="A1258">
        <v>1183</v>
      </c>
      <c r="B1258">
        <v>33</v>
      </c>
      <c r="C1258" t="str">
        <f>_xlfn.XLOOKUP(tblOrders[[#This Row],[CustomerID]],tblCustomers[CustomerID],tblCustomers[CustomerName],"not found")</f>
        <v>Jared Hudson</v>
      </c>
      <c r="D1258">
        <f>_xlfn.XLOOKUP(tblOrders[[#This Row],[CustomerID]],tblCustomers[CustomerID],tblCustomers[Age],"not found")</f>
        <v>39</v>
      </c>
      <c r="E1258" t="str">
        <f>_xlfn.XLOOKUP(tblOrders[[#This Row],[CustomerID]],tblCustomers[CustomerID],tblCustomers[Gender],"not found")</f>
        <v>Female</v>
      </c>
      <c r="F1258" t="str">
        <f>_xlfn.XLOOKUP(tblOrders[[#This Row],[CustomerID]],tblCustomers[CustomerID],tblCustomers[Region],"not found")</f>
        <v>North</v>
      </c>
      <c r="G1258">
        <v>1071</v>
      </c>
      <c r="H1258" t="str">
        <f>_xlfn.XLOOKUP(tblOrders[[#This Row],[ProductID]],tblProducts[ProductID],tblProducts[ProductName],"not found")</f>
        <v>Scientist</v>
      </c>
      <c r="I1258" t="str">
        <f>_xlfn.XLOOKUP(tblOrders[[#This Row],[ProductID]],tblProducts[ProductID],tblProducts[Category],"not found")</f>
        <v>Apparel</v>
      </c>
      <c r="J1258">
        <f>_xlfn.XLOOKUP(tblOrders[[#This Row],[ProductID]],tblProducts[ProductID],tblProducts[UnitPrice],"not found")</f>
        <v>103.89</v>
      </c>
      <c r="K1258" t="str">
        <f>_xlfn.XLOOKUP(tblOrders[[#This Row],[ProductID]],tblProducts[ProductID],tblProducts[Supplier],"not found")</f>
        <v>Spence, Howard and Patel</v>
      </c>
      <c r="L1258" s="1" t="s">
        <v>2285</v>
      </c>
      <c r="M12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44909</v>
      </c>
      <c r="N1258">
        <v>4</v>
      </c>
      <c r="O1258">
        <v>415.56</v>
      </c>
      <c r="P1258">
        <f>tblOrders[[#This Row],[Quantity]]*tblOrders[[#This Row],[Unit Price]]</f>
        <v>415.56</v>
      </c>
      <c r="Q1258">
        <f>tblOrders[[#This Row],[TotalSales]]-tblOrders[[#This Row],[Calculated Sales]]</f>
        <v>0</v>
      </c>
    </row>
    <row r="1259" spans="1:17" x14ac:dyDescent="0.25">
      <c r="A1259">
        <v>1243</v>
      </c>
      <c r="B1259">
        <v>51</v>
      </c>
      <c r="C1259" t="str">
        <f>_xlfn.XLOOKUP(tblOrders[[#This Row],[CustomerID]],tblCustomers[CustomerID],tblCustomers[CustomerName],"not found")</f>
        <v>Randall Medina</v>
      </c>
      <c r="D1259">
        <f>_xlfn.XLOOKUP(tblOrders[[#This Row],[CustomerID]],tblCustomers[CustomerID],tblCustomers[Age],"not found")</f>
        <v>66</v>
      </c>
      <c r="E1259" t="str">
        <f>_xlfn.XLOOKUP(tblOrders[[#This Row],[CustomerID]],tblCustomers[CustomerID],tblCustomers[Gender],"not found")</f>
        <v>Male</v>
      </c>
      <c r="F1259" t="str">
        <f>_xlfn.XLOOKUP(tblOrders[[#This Row],[CustomerID]],tblCustomers[CustomerID],tblCustomers[Region],"not found")</f>
        <v>South</v>
      </c>
      <c r="G1259">
        <v>1071</v>
      </c>
      <c r="H1259" t="str">
        <f>_xlfn.XLOOKUP(tblOrders[[#This Row],[ProductID]],tblProducts[ProductID],tblProducts[ProductName],"not found")</f>
        <v>Scientist</v>
      </c>
      <c r="I1259" t="str">
        <f>_xlfn.XLOOKUP(tblOrders[[#This Row],[ProductID]],tblProducts[ProductID],tblProducts[Category],"not found")</f>
        <v>Apparel</v>
      </c>
      <c r="J1259">
        <f>_xlfn.XLOOKUP(tblOrders[[#This Row],[ProductID]],tblProducts[ProductID],tblProducts[UnitPrice],"not found")</f>
        <v>103.89</v>
      </c>
      <c r="K1259" t="str">
        <f>_xlfn.XLOOKUP(tblOrders[[#This Row],[ProductID]],tblProducts[ProductID],tblProducts[Supplier],"not found")</f>
        <v>Spence, Howard and Patel</v>
      </c>
      <c r="L1259" s="1">
        <v>45109</v>
      </c>
      <c r="M12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45109</v>
      </c>
      <c r="N1259">
        <v>4</v>
      </c>
      <c r="O1259">
        <v>415.56</v>
      </c>
      <c r="P1259">
        <f>tblOrders[[#This Row],[Quantity]]*tblOrders[[#This Row],[Unit Price]]</f>
        <v>415.56</v>
      </c>
      <c r="Q1259">
        <f>tblOrders[[#This Row],[TotalSales]]-tblOrders[[#This Row],[Calculated Sales]]</f>
        <v>0</v>
      </c>
    </row>
    <row r="1260" spans="1:17" x14ac:dyDescent="0.25">
      <c r="A1260">
        <v>1282</v>
      </c>
      <c r="B1260">
        <v>720</v>
      </c>
      <c r="C1260" t="str">
        <f>_xlfn.XLOOKUP(tblOrders[[#This Row],[CustomerID]],tblCustomers[CustomerID],tblCustomers[CustomerName],"not found")</f>
        <v>Cynthia Lee</v>
      </c>
      <c r="D1260">
        <f>_xlfn.XLOOKUP(tblOrders[[#This Row],[CustomerID]],tblCustomers[CustomerID],tblCustomers[Age],"not found")</f>
        <v>44</v>
      </c>
      <c r="E1260" t="str">
        <f>_xlfn.XLOOKUP(tblOrders[[#This Row],[CustomerID]],tblCustomers[CustomerID],tblCustomers[Gender],"not found")</f>
        <v>Male</v>
      </c>
      <c r="F1260" t="str">
        <f>_xlfn.XLOOKUP(tblOrders[[#This Row],[CustomerID]],tblCustomers[CustomerID],tblCustomers[Region],"not found")</f>
        <v>East</v>
      </c>
      <c r="G1260">
        <v>1071</v>
      </c>
      <c r="H1260" t="str">
        <f>_xlfn.XLOOKUP(tblOrders[[#This Row],[ProductID]],tblProducts[ProductID],tblProducts[ProductName],"not found")</f>
        <v>Scientist</v>
      </c>
      <c r="I1260" t="str">
        <f>_xlfn.XLOOKUP(tblOrders[[#This Row],[ProductID]],tblProducts[ProductID],tblProducts[Category],"not found")</f>
        <v>Apparel</v>
      </c>
      <c r="J1260">
        <f>_xlfn.XLOOKUP(tblOrders[[#This Row],[ProductID]],tblProducts[ProductID],tblProducts[UnitPrice],"not found")</f>
        <v>103.89</v>
      </c>
      <c r="K1260" t="str">
        <f>_xlfn.XLOOKUP(tblOrders[[#This Row],[ProductID]],tblProducts[ProductID],tblProducts[Supplier],"not found")</f>
        <v>Spence, Howard and Patel</v>
      </c>
      <c r="L1260" s="1" t="s">
        <v>2213</v>
      </c>
      <c r="M12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45166</v>
      </c>
      <c r="N1260">
        <v>2</v>
      </c>
      <c r="O1260">
        <v>207.78</v>
      </c>
      <c r="P1260">
        <f>tblOrders[[#This Row],[Quantity]]*tblOrders[[#This Row],[Unit Price]]</f>
        <v>207.78</v>
      </c>
      <c r="Q1260">
        <f>tblOrders[[#This Row],[TotalSales]]-tblOrders[[#This Row],[Calculated Sales]]</f>
        <v>0</v>
      </c>
    </row>
    <row r="1261" spans="1:17" x14ac:dyDescent="0.25">
      <c r="A1261">
        <v>1388</v>
      </c>
      <c r="B1261">
        <v>572</v>
      </c>
      <c r="C1261" t="str">
        <f>_xlfn.XLOOKUP(tblOrders[[#This Row],[CustomerID]],tblCustomers[CustomerID],tblCustomers[CustomerName],"not found")</f>
        <v>Christopher Rogers</v>
      </c>
      <c r="D1261">
        <f>_xlfn.XLOOKUP(tblOrders[[#This Row],[CustomerID]],tblCustomers[CustomerID],tblCustomers[Age],"not found")</f>
        <v>53</v>
      </c>
      <c r="E1261" t="str">
        <f>_xlfn.XLOOKUP(tblOrders[[#This Row],[CustomerID]],tblCustomers[CustomerID],tblCustomers[Gender],"not found")</f>
        <v>Female</v>
      </c>
      <c r="F1261" t="str">
        <f>_xlfn.XLOOKUP(tblOrders[[#This Row],[CustomerID]],tblCustomers[CustomerID],tblCustomers[Region],"not found")</f>
        <v>East</v>
      </c>
      <c r="G1261">
        <v>1071</v>
      </c>
      <c r="H1261" t="str">
        <f>_xlfn.XLOOKUP(tblOrders[[#This Row],[ProductID]],tblProducts[ProductID],tblProducts[ProductName],"not found")</f>
        <v>Scientist</v>
      </c>
      <c r="I1261" t="str">
        <f>_xlfn.XLOOKUP(tblOrders[[#This Row],[ProductID]],tblProducts[ProductID],tblProducts[Category],"not found")</f>
        <v>Apparel</v>
      </c>
      <c r="J1261">
        <f>_xlfn.XLOOKUP(tblOrders[[#This Row],[ProductID]],tblProducts[ProductID],tblProducts[UnitPrice],"not found")</f>
        <v>103.89</v>
      </c>
      <c r="K1261" t="str">
        <f>_xlfn.XLOOKUP(tblOrders[[#This Row],[ProductID]],tblProducts[ProductID],tblProducts[Supplier],"not found")</f>
        <v>Spence, Howard and Patel</v>
      </c>
      <c r="L1261" s="1" t="s">
        <v>2288</v>
      </c>
      <c r="M12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45245</v>
      </c>
      <c r="N1261">
        <v>4</v>
      </c>
      <c r="O1261">
        <v>415.56</v>
      </c>
      <c r="P1261">
        <f>tblOrders[[#This Row],[Quantity]]*tblOrders[[#This Row],[Unit Price]]</f>
        <v>415.56</v>
      </c>
      <c r="Q1261">
        <f>tblOrders[[#This Row],[TotalSales]]-tblOrders[[#This Row],[Calculated Sales]]</f>
        <v>0</v>
      </c>
    </row>
    <row r="1262" spans="1:17" x14ac:dyDescent="0.25">
      <c r="A1262">
        <v>1408</v>
      </c>
      <c r="B1262">
        <v>346</v>
      </c>
      <c r="C1262" t="str">
        <f>_xlfn.XLOOKUP(tblOrders[[#This Row],[CustomerID]],tblCustomers[CustomerID],tblCustomers[CustomerName],"not found")</f>
        <v>Austin Bell</v>
      </c>
      <c r="D1262">
        <f>_xlfn.XLOOKUP(tblOrders[[#This Row],[CustomerID]],tblCustomers[CustomerID],tblCustomers[Age],"not found")</f>
        <v>58</v>
      </c>
      <c r="E1262" t="str">
        <f>_xlfn.XLOOKUP(tblOrders[[#This Row],[CustomerID]],tblCustomers[CustomerID],tblCustomers[Gender],"not found")</f>
        <v>Female</v>
      </c>
      <c r="F1262" t="str">
        <f>_xlfn.XLOOKUP(tblOrders[[#This Row],[CustomerID]],tblCustomers[CustomerID],tblCustomers[Region],"not found")</f>
        <v>Central</v>
      </c>
      <c r="G1262">
        <v>1071</v>
      </c>
      <c r="H1262" t="str">
        <f>_xlfn.XLOOKUP(tblOrders[[#This Row],[ProductID]],tblProducts[ProductID],tblProducts[ProductName],"not found")</f>
        <v>Scientist</v>
      </c>
      <c r="I1262" t="str">
        <f>_xlfn.XLOOKUP(tblOrders[[#This Row],[ProductID]],tblProducts[ProductID],tblProducts[Category],"not found")</f>
        <v>Apparel</v>
      </c>
      <c r="J1262">
        <f>_xlfn.XLOOKUP(tblOrders[[#This Row],[ProductID]],tblProducts[ProductID],tblProducts[UnitPrice],"not found")</f>
        <v>103.89</v>
      </c>
      <c r="K1262" t="str">
        <f>_xlfn.XLOOKUP(tblOrders[[#This Row],[ProductID]],tblProducts[ProductID],tblProducts[Supplier],"not found")</f>
        <v>Spence, Howard and Patel</v>
      </c>
      <c r="L1262" s="1" t="s">
        <v>2352</v>
      </c>
      <c r="M12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44913</v>
      </c>
      <c r="N1262">
        <v>5</v>
      </c>
      <c r="O1262">
        <v>519.45000000000005</v>
      </c>
      <c r="P1262">
        <f>tblOrders[[#This Row],[Quantity]]*tblOrders[[#This Row],[Unit Price]]</f>
        <v>519.45000000000005</v>
      </c>
      <c r="Q1262">
        <f>tblOrders[[#This Row],[TotalSales]]-tblOrders[[#This Row],[Calculated Sales]]</f>
        <v>0</v>
      </c>
    </row>
    <row r="1263" spans="1:17" x14ac:dyDescent="0.25">
      <c r="A1263">
        <v>1421</v>
      </c>
      <c r="B1263">
        <v>470</v>
      </c>
      <c r="C1263" t="str">
        <f>_xlfn.XLOOKUP(tblOrders[[#This Row],[CustomerID]],tblCustomers[CustomerID],tblCustomers[CustomerName],"not found")</f>
        <v>Robert Allen</v>
      </c>
      <c r="D1263">
        <f>_xlfn.XLOOKUP(tblOrders[[#This Row],[CustomerID]],tblCustomers[CustomerID],tblCustomers[Age],"not found")</f>
        <v>48</v>
      </c>
      <c r="E1263" t="str">
        <f>_xlfn.XLOOKUP(tblOrders[[#This Row],[CustomerID]],tblCustomers[CustomerID],tblCustomers[Gender],"not found")</f>
        <v>Female</v>
      </c>
      <c r="F1263" t="str">
        <f>_xlfn.XLOOKUP(tblOrders[[#This Row],[CustomerID]],tblCustomers[CustomerID],tblCustomers[Region],"not found")</f>
        <v>Central</v>
      </c>
      <c r="G1263">
        <v>1071</v>
      </c>
      <c r="H1263" t="str">
        <f>_xlfn.XLOOKUP(tblOrders[[#This Row],[ProductID]],tblProducts[ProductID],tblProducts[ProductName],"not found")</f>
        <v>Scientist</v>
      </c>
      <c r="I1263" t="str">
        <f>_xlfn.XLOOKUP(tblOrders[[#This Row],[ProductID]],tblProducts[ProductID],tblProducts[Category],"not found")</f>
        <v>Apparel</v>
      </c>
      <c r="J1263">
        <f>_xlfn.XLOOKUP(tblOrders[[#This Row],[ProductID]],tblProducts[ProductID],tblProducts[UnitPrice],"not found")</f>
        <v>103.89</v>
      </c>
      <c r="K1263" t="str">
        <f>_xlfn.XLOOKUP(tblOrders[[#This Row],[ProductID]],tblProducts[ProductID],tblProducts[Supplier],"not found")</f>
        <v>Spence, Howard and Patel</v>
      </c>
      <c r="L1263" s="1">
        <v>44785</v>
      </c>
      <c r="M12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44785</v>
      </c>
      <c r="N1263">
        <v>7</v>
      </c>
      <c r="O1263">
        <v>727.23</v>
      </c>
      <c r="P1263">
        <f>tblOrders[[#This Row],[Quantity]]*tblOrders[[#This Row],[Unit Price]]</f>
        <v>727.23</v>
      </c>
      <c r="Q1263">
        <f>tblOrders[[#This Row],[TotalSales]]-tblOrders[[#This Row],[Calculated Sales]]</f>
        <v>0</v>
      </c>
    </row>
    <row r="1264" spans="1:17" x14ac:dyDescent="0.25">
      <c r="A1264">
        <v>1556</v>
      </c>
      <c r="B1264">
        <v>968</v>
      </c>
      <c r="C1264" t="str">
        <f>_xlfn.XLOOKUP(tblOrders[[#This Row],[CustomerID]],tblCustomers[CustomerID],tblCustomers[CustomerName],"not found")</f>
        <v>Bruce Cook</v>
      </c>
      <c r="D1264">
        <f>_xlfn.XLOOKUP(tblOrders[[#This Row],[CustomerID]],tblCustomers[CustomerID],tblCustomers[Age],"not found")</f>
        <v>18</v>
      </c>
      <c r="E1264" t="str">
        <f>_xlfn.XLOOKUP(tblOrders[[#This Row],[CustomerID]],tblCustomers[CustomerID],tblCustomers[Gender],"not found")</f>
        <v>Female</v>
      </c>
      <c r="F1264" t="str">
        <f>_xlfn.XLOOKUP(tblOrders[[#This Row],[CustomerID]],tblCustomers[CustomerID],tblCustomers[Region],"not found")</f>
        <v>South</v>
      </c>
      <c r="G1264">
        <v>1071</v>
      </c>
      <c r="H1264" t="str">
        <f>_xlfn.XLOOKUP(tblOrders[[#This Row],[ProductID]],tblProducts[ProductID],tblProducts[ProductName],"not found")</f>
        <v>Scientist</v>
      </c>
      <c r="I1264" t="str">
        <f>_xlfn.XLOOKUP(tblOrders[[#This Row],[ProductID]],tblProducts[ProductID],tblProducts[Category],"not found")</f>
        <v>Apparel</v>
      </c>
      <c r="J1264">
        <f>_xlfn.XLOOKUP(tblOrders[[#This Row],[ProductID]],tblProducts[ProductID],tblProducts[UnitPrice],"not found")</f>
        <v>103.89</v>
      </c>
      <c r="K1264" t="str">
        <f>_xlfn.XLOOKUP(tblOrders[[#This Row],[ProductID]],tblProducts[ProductID],tblProducts[Supplier],"not found")</f>
        <v>Spence, Howard and Patel</v>
      </c>
      <c r="L1264" s="1" t="s">
        <v>2050</v>
      </c>
      <c r="M12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1264">
        <v>3</v>
      </c>
      <c r="O1264">
        <v>311.67</v>
      </c>
      <c r="P1264">
        <f>tblOrders[[#This Row],[Quantity]]*tblOrders[[#This Row],[Unit Price]]</f>
        <v>311.67</v>
      </c>
      <c r="Q1264">
        <f>tblOrders[[#This Row],[TotalSales]]-tblOrders[[#This Row],[Calculated Sales]]</f>
        <v>0</v>
      </c>
    </row>
    <row r="1265" spans="1:17" x14ac:dyDescent="0.25">
      <c r="A1265">
        <v>1617</v>
      </c>
      <c r="B1265">
        <v>485</v>
      </c>
      <c r="C1265" t="str">
        <f>_xlfn.XLOOKUP(tblOrders[[#This Row],[CustomerID]],tblCustomers[CustomerID],tblCustomers[CustomerName],"not found")</f>
        <v>Christina Stewart</v>
      </c>
      <c r="D1265">
        <f>_xlfn.XLOOKUP(tblOrders[[#This Row],[CustomerID]],tblCustomers[CustomerID],tblCustomers[Age],"not found")</f>
        <v>51</v>
      </c>
      <c r="E1265" t="str">
        <f>_xlfn.XLOOKUP(tblOrders[[#This Row],[CustomerID]],tblCustomers[CustomerID],tblCustomers[Gender],"not found")</f>
        <v>Female</v>
      </c>
      <c r="F1265" t="str">
        <f>_xlfn.XLOOKUP(tblOrders[[#This Row],[CustomerID]],tblCustomers[CustomerID],tblCustomers[Region],"not found")</f>
        <v>Central</v>
      </c>
      <c r="G1265">
        <v>1071</v>
      </c>
      <c r="H1265" t="str">
        <f>_xlfn.XLOOKUP(tblOrders[[#This Row],[ProductID]],tblProducts[ProductID],tblProducts[ProductName],"not found")</f>
        <v>Scientist</v>
      </c>
      <c r="I1265" t="str">
        <f>_xlfn.XLOOKUP(tblOrders[[#This Row],[ProductID]],tblProducts[ProductID],tblProducts[Category],"not found")</f>
        <v>Apparel</v>
      </c>
      <c r="J1265">
        <f>_xlfn.XLOOKUP(tblOrders[[#This Row],[ProductID]],tblProducts[ProductID],tblProducts[UnitPrice],"not found")</f>
        <v>103.89</v>
      </c>
      <c r="K1265" t="str">
        <f>_xlfn.XLOOKUP(tblOrders[[#This Row],[ProductID]],tblProducts[ProductID],tblProducts[Supplier],"not found")</f>
        <v>Spence, Howard and Patel</v>
      </c>
      <c r="L1265" s="1" t="s">
        <v>2057</v>
      </c>
      <c r="M12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44972</v>
      </c>
      <c r="N1265">
        <v>8</v>
      </c>
      <c r="O1265">
        <v>831.12</v>
      </c>
      <c r="P1265">
        <f>tblOrders[[#This Row],[Quantity]]*tblOrders[[#This Row],[Unit Price]]</f>
        <v>831.12</v>
      </c>
      <c r="Q1265">
        <f>tblOrders[[#This Row],[TotalSales]]-tblOrders[[#This Row],[Calculated Sales]]</f>
        <v>0</v>
      </c>
    </row>
    <row r="1266" spans="1:17" x14ac:dyDescent="0.25">
      <c r="A1266">
        <v>1627</v>
      </c>
      <c r="B1266">
        <v>522</v>
      </c>
      <c r="C1266" t="str">
        <f>_xlfn.XLOOKUP(tblOrders[[#This Row],[CustomerID]],tblCustomers[CustomerID],tblCustomers[CustomerName],"not found")</f>
        <v>Gina Hood</v>
      </c>
      <c r="D1266">
        <f>_xlfn.XLOOKUP(tblOrders[[#This Row],[CustomerID]],tblCustomers[CustomerID],tblCustomers[Age],"not found")</f>
        <v>36</v>
      </c>
      <c r="E1266" t="str">
        <f>_xlfn.XLOOKUP(tblOrders[[#This Row],[CustomerID]],tblCustomers[CustomerID],tblCustomers[Gender],"not found")</f>
        <v>Male</v>
      </c>
      <c r="F1266" t="str">
        <f>_xlfn.XLOOKUP(tblOrders[[#This Row],[CustomerID]],tblCustomers[CustomerID],tblCustomers[Region],"not found")</f>
        <v>East</v>
      </c>
      <c r="G1266">
        <v>1071</v>
      </c>
      <c r="H1266" t="str">
        <f>_xlfn.XLOOKUP(tblOrders[[#This Row],[ProductID]],tblProducts[ProductID],tblProducts[ProductName],"not found")</f>
        <v>Scientist</v>
      </c>
      <c r="I1266" t="str">
        <f>_xlfn.XLOOKUP(tblOrders[[#This Row],[ProductID]],tblProducts[ProductID],tblProducts[Category],"not found")</f>
        <v>Apparel</v>
      </c>
      <c r="J1266">
        <f>_xlfn.XLOOKUP(tblOrders[[#This Row],[ProductID]],tblProducts[ProductID],tblProducts[UnitPrice],"not found")</f>
        <v>103.89</v>
      </c>
      <c r="K1266" t="str">
        <f>_xlfn.XLOOKUP(tblOrders[[#This Row],[ProductID]],tblProducts[ProductID],tblProducts[Supplier],"not found")</f>
        <v>Spence, Howard and Patel</v>
      </c>
      <c r="L1266" s="1" t="s">
        <v>2094</v>
      </c>
      <c r="M12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45214</v>
      </c>
      <c r="N1266">
        <v>1</v>
      </c>
      <c r="O1266">
        <v>103.89</v>
      </c>
      <c r="P1266">
        <f>tblOrders[[#This Row],[Quantity]]*tblOrders[[#This Row],[Unit Price]]</f>
        <v>103.89</v>
      </c>
      <c r="Q1266">
        <f>tblOrders[[#This Row],[TotalSales]]-tblOrders[[#This Row],[Calculated Sales]]</f>
        <v>0</v>
      </c>
    </row>
    <row r="1267" spans="1:17" x14ac:dyDescent="0.25">
      <c r="A1267">
        <v>1641</v>
      </c>
      <c r="B1267">
        <v>466</v>
      </c>
      <c r="C1267" t="str">
        <f>_xlfn.XLOOKUP(tblOrders[[#This Row],[CustomerID]],tblCustomers[CustomerID],tblCustomers[CustomerName],"not found")</f>
        <v>Christine Mcbride</v>
      </c>
      <c r="D1267">
        <f>_xlfn.XLOOKUP(tblOrders[[#This Row],[CustomerID]],tblCustomers[CustomerID],tblCustomers[Age],"not found")</f>
        <v>30</v>
      </c>
      <c r="E1267" t="str">
        <f>_xlfn.XLOOKUP(tblOrders[[#This Row],[CustomerID]],tblCustomers[CustomerID],tblCustomers[Gender],"not found")</f>
        <v>Male</v>
      </c>
      <c r="F1267" t="str">
        <f>_xlfn.XLOOKUP(tblOrders[[#This Row],[CustomerID]],tblCustomers[CustomerID],tblCustomers[Region],"not found")</f>
        <v>South</v>
      </c>
      <c r="G1267">
        <v>1071</v>
      </c>
      <c r="H1267" t="str">
        <f>_xlfn.XLOOKUP(tblOrders[[#This Row],[ProductID]],tblProducts[ProductID],tblProducts[ProductName],"not found")</f>
        <v>Scientist</v>
      </c>
      <c r="I1267" t="str">
        <f>_xlfn.XLOOKUP(tblOrders[[#This Row],[ProductID]],tblProducts[ProductID],tblProducts[Category],"not found")</f>
        <v>Apparel</v>
      </c>
      <c r="J1267">
        <f>_xlfn.XLOOKUP(tblOrders[[#This Row],[ProductID]],tblProducts[ProductID],tblProducts[UnitPrice],"not found")</f>
        <v>103.89</v>
      </c>
      <c r="K1267" t="str">
        <f>_xlfn.XLOOKUP(tblOrders[[#This Row],[ProductID]],tblProducts[ProductID],tblProducts[Supplier],"not found")</f>
        <v>Spence, Howard and Patel</v>
      </c>
      <c r="L1267" s="1" t="s">
        <v>2102</v>
      </c>
      <c r="M12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45249</v>
      </c>
      <c r="N1267">
        <v>9</v>
      </c>
      <c r="O1267">
        <v>935.01</v>
      </c>
      <c r="P1267">
        <f>tblOrders[[#This Row],[Quantity]]*tblOrders[[#This Row],[Unit Price]]</f>
        <v>935.01</v>
      </c>
      <c r="Q1267">
        <f>tblOrders[[#This Row],[TotalSales]]-tblOrders[[#This Row],[Calculated Sales]]</f>
        <v>0</v>
      </c>
    </row>
    <row r="1268" spans="1:17" x14ac:dyDescent="0.25">
      <c r="A1268">
        <v>1795</v>
      </c>
      <c r="B1268">
        <v>424</v>
      </c>
      <c r="C1268" t="str">
        <f>_xlfn.XLOOKUP(tblOrders[[#This Row],[CustomerID]],tblCustomers[CustomerID],tblCustomers[CustomerName],"not found")</f>
        <v>Thomas Sanchez</v>
      </c>
      <c r="D1268">
        <f>_xlfn.XLOOKUP(tblOrders[[#This Row],[CustomerID]],tblCustomers[CustomerID],tblCustomers[Age],"not found")</f>
        <v>27</v>
      </c>
      <c r="E1268" t="str">
        <f>_xlfn.XLOOKUP(tblOrders[[#This Row],[CustomerID]],tblCustomers[CustomerID],tblCustomers[Gender],"not found")</f>
        <v>Male</v>
      </c>
      <c r="F1268" t="str">
        <f>_xlfn.XLOOKUP(tblOrders[[#This Row],[CustomerID]],tblCustomers[CustomerID],tblCustomers[Region],"not found")</f>
        <v>South</v>
      </c>
      <c r="G1268">
        <v>1071</v>
      </c>
      <c r="H1268" t="str">
        <f>_xlfn.XLOOKUP(tblOrders[[#This Row],[ProductID]],tblProducts[ProductID],tblProducts[ProductName],"not found")</f>
        <v>Scientist</v>
      </c>
      <c r="I1268" t="str">
        <f>_xlfn.XLOOKUP(tblOrders[[#This Row],[ProductID]],tblProducts[ProductID],tblProducts[Category],"not found")</f>
        <v>Apparel</v>
      </c>
      <c r="J1268">
        <f>_xlfn.XLOOKUP(tblOrders[[#This Row],[ProductID]],tblProducts[ProductID],tblProducts[UnitPrice],"not found")</f>
        <v>103.89</v>
      </c>
      <c r="K1268" t="str">
        <f>_xlfn.XLOOKUP(tblOrders[[#This Row],[ProductID]],tblProducts[ProductID],tblProducts[Supplier],"not found")</f>
        <v>Spence, Howard and Patel</v>
      </c>
      <c r="L1268" s="1" t="s">
        <v>2218</v>
      </c>
      <c r="M12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45098</v>
      </c>
      <c r="N1268">
        <v>4</v>
      </c>
      <c r="O1268">
        <v>415.56</v>
      </c>
      <c r="P1268">
        <f>tblOrders[[#This Row],[Quantity]]*tblOrders[[#This Row],[Unit Price]]</f>
        <v>415.56</v>
      </c>
      <c r="Q1268">
        <f>tblOrders[[#This Row],[TotalSales]]-tblOrders[[#This Row],[Calculated Sales]]</f>
        <v>0</v>
      </c>
    </row>
    <row r="1269" spans="1:17" x14ac:dyDescent="0.25">
      <c r="A1269">
        <v>1900</v>
      </c>
      <c r="B1269">
        <v>602</v>
      </c>
      <c r="C1269" t="str">
        <f>_xlfn.XLOOKUP(tblOrders[[#This Row],[CustomerID]],tblCustomers[CustomerID],tblCustomers[CustomerName],"not found")</f>
        <v>Kenneth Young</v>
      </c>
      <c r="D1269">
        <f>_xlfn.XLOOKUP(tblOrders[[#This Row],[CustomerID]],tblCustomers[CustomerID],tblCustomers[Age],"not found")</f>
        <v>19</v>
      </c>
      <c r="E1269" t="str">
        <f>_xlfn.XLOOKUP(tblOrders[[#This Row],[CustomerID]],tblCustomers[CustomerID],tblCustomers[Gender],"not found")</f>
        <v>Male</v>
      </c>
      <c r="F1269" t="str">
        <f>_xlfn.XLOOKUP(tblOrders[[#This Row],[CustomerID]],tblCustomers[CustomerID],tblCustomers[Region],"not found")</f>
        <v>East</v>
      </c>
      <c r="G1269">
        <v>1071</v>
      </c>
      <c r="H1269" t="str">
        <f>_xlfn.XLOOKUP(tblOrders[[#This Row],[ProductID]],tblProducts[ProductID],tblProducts[ProductName],"not found")</f>
        <v>Scientist</v>
      </c>
      <c r="I1269" t="str">
        <f>_xlfn.XLOOKUP(tblOrders[[#This Row],[ProductID]],tblProducts[ProductID],tblProducts[Category],"not found")</f>
        <v>Apparel</v>
      </c>
      <c r="J1269">
        <f>_xlfn.XLOOKUP(tblOrders[[#This Row],[ProductID]],tblProducts[ProductID],tblProducts[UnitPrice],"not found")</f>
        <v>103.89</v>
      </c>
      <c r="K1269" t="str">
        <f>_xlfn.XLOOKUP(tblOrders[[#This Row],[ProductID]],tblProducts[ProductID],tblProducts[Supplier],"not found")</f>
        <v>Spence, Howard and Patel</v>
      </c>
      <c r="L1269" s="1">
        <v>45480</v>
      </c>
      <c r="M12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45480</v>
      </c>
      <c r="N1269">
        <v>3</v>
      </c>
      <c r="O1269">
        <v>311.67</v>
      </c>
      <c r="P1269">
        <f>tblOrders[[#This Row],[Quantity]]*tblOrders[[#This Row],[Unit Price]]</f>
        <v>311.67</v>
      </c>
      <c r="Q1269">
        <f>tblOrders[[#This Row],[TotalSales]]-tblOrders[[#This Row],[Calculated Sales]]</f>
        <v>0</v>
      </c>
    </row>
    <row r="1270" spans="1:17" x14ac:dyDescent="0.25">
      <c r="A1270">
        <v>1919</v>
      </c>
      <c r="B1270">
        <v>201</v>
      </c>
      <c r="C1270" t="str">
        <f>_xlfn.XLOOKUP(tblOrders[[#This Row],[CustomerID]],tblCustomers[CustomerID],tblCustomers[CustomerName],"not found")</f>
        <v>Caroline Miller</v>
      </c>
      <c r="D1270">
        <f>_xlfn.XLOOKUP(tblOrders[[#This Row],[CustomerID]],tblCustomers[CustomerID],tblCustomers[Age],"not found")</f>
        <v>23</v>
      </c>
      <c r="E1270" t="str">
        <f>_xlfn.XLOOKUP(tblOrders[[#This Row],[CustomerID]],tblCustomers[CustomerID],tblCustomers[Gender],"not found")</f>
        <v>Male</v>
      </c>
      <c r="F1270" t="str">
        <f>_xlfn.XLOOKUP(tblOrders[[#This Row],[CustomerID]],tblCustomers[CustomerID],tblCustomers[Region],"not found")</f>
        <v>South</v>
      </c>
      <c r="G1270">
        <v>1071</v>
      </c>
      <c r="H1270" t="str">
        <f>_xlfn.XLOOKUP(tblOrders[[#This Row],[ProductID]],tblProducts[ProductID],tblProducts[ProductName],"not found")</f>
        <v>Scientist</v>
      </c>
      <c r="I1270" t="str">
        <f>_xlfn.XLOOKUP(tblOrders[[#This Row],[ProductID]],tblProducts[ProductID],tblProducts[Category],"not found")</f>
        <v>Apparel</v>
      </c>
      <c r="J1270">
        <f>_xlfn.XLOOKUP(tblOrders[[#This Row],[ProductID]],tblProducts[ProductID],tblProducts[UnitPrice],"not found")</f>
        <v>103.89</v>
      </c>
      <c r="K1270" t="str">
        <f>_xlfn.XLOOKUP(tblOrders[[#This Row],[ProductID]],tblProducts[ProductID],tblProducts[Supplier],"not found")</f>
        <v>Spence, Howard and Patel</v>
      </c>
      <c r="L1270" s="1" t="s">
        <v>2112</v>
      </c>
      <c r="M12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45436</v>
      </c>
      <c r="N1270">
        <v>5</v>
      </c>
      <c r="O1270">
        <v>519.45000000000005</v>
      </c>
      <c r="P1270">
        <f>tblOrders[[#This Row],[Quantity]]*tblOrders[[#This Row],[Unit Price]]</f>
        <v>519.45000000000005</v>
      </c>
      <c r="Q1270">
        <f>tblOrders[[#This Row],[TotalSales]]-tblOrders[[#This Row],[Calculated Sales]]</f>
        <v>0</v>
      </c>
    </row>
    <row r="1271" spans="1:17" x14ac:dyDescent="0.25">
      <c r="A1271">
        <v>87</v>
      </c>
      <c r="B1271">
        <v>927</v>
      </c>
      <c r="C1271" t="str">
        <f>_xlfn.XLOOKUP(tblOrders[[#This Row],[CustomerID]],tblCustomers[CustomerID],tblCustomers[CustomerName],"not found")</f>
        <v>Dennis Shannon</v>
      </c>
      <c r="D1271">
        <f>_xlfn.XLOOKUP(tblOrders[[#This Row],[CustomerID]],tblCustomers[CustomerID],tblCustomers[Age],"not found")</f>
        <v>41</v>
      </c>
      <c r="E1271" t="str">
        <f>_xlfn.XLOOKUP(tblOrders[[#This Row],[CustomerID]],tblCustomers[CustomerID],tblCustomers[Gender],"not found")</f>
        <v>Male</v>
      </c>
      <c r="F1271" t="str">
        <f>_xlfn.XLOOKUP(tblOrders[[#This Row],[CustomerID]],tblCustomers[CustomerID],tblCustomers[Region],"not found")</f>
        <v>South</v>
      </c>
      <c r="G1271">
        <v>1083</v>
      </c>
      <c r="H1271" t="str">
        <f>_xlfn.XLOOKUP(tblOrders[[#This Row],[ProductID]],tblProducts[ProductID],tblProducts[ProductName],"not found")</f>
        <v>Pressure</v>
      </c>
      <c r="I1271" t="str">
        <f>_xlfn.XLOOKUP(tblOrders[[#This Row],[ProductID]],tblProducts[ProductID],tblProducts[Category],"not found")</f>
        <v>Toys</v>
      </c>
      <c r="J1271">
        <f>_xlfn.XLOOKUP(tblOrders[[#This Row],[ProductID]],tblProducts[ProductID],tblProducts[UnitPrice],"not found")</f>
        <v>199.18</v>
      </c>
      <c r="K1271" t="str">
        <f>_xlfn.XLOOKUP(tblOrders[[#This Row],[ProductID]],tblProducts[ProductID],tblProducts[Supplier],"not found")</f>
        <v>Wilson-Garcia</v>
      </c>
      <c r="L1271" s="1" t="s">
        <v>2377</v>
      </c>
      <c r="M12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45318</v>
      </c>
      <c r="N1271">
        <v>7</v>
      </c>
      <c r="O1271">
        <v>1394.26</v>
      </c>
      <c r="P1271">
        <f>tblOrders[[#This Row],[Quantity]]*tblOrders[[#This Row],[Unit Price]]</f>
        <v>1394.26</v>
      </c>
      <c r="Q1271">
        <f>tblOrders[[#This Row],[TotalSales]]-tblOrders[[#This Row],[Calculated Sales]]</f>
        <v>0</v>
      </c>
    </row>
    <row r="1272" spans="1:17" x14ac:dyDescent="0.25">
      <c r="A1272">
        <v>90</v>
      </c>
      <c r="B1272">
        <v>419</v>
      </c>
      <c r="C1272" t="str">
        <f>_xlfn.XLOOKUP(tblOrders[[#This Row],[CustomerID]],tblCustomers[CustomerID],tblCustomers[CustomerName],"not found")</f>
        <v>Jordan Berry</v>
      </c>
      <c r="D1272">
        <f>_xlfn.XLOOKUP(tblOrders[[#This Row],[CustomerID]],tblCustomers[CustomerID],tblCustomers[Age],"not found")</f>
        <v>65</v>
      </c>
      <c r="E1272" t="str">
        <f>_xlfn.XLOOKUP(tblOrders[[#This Row],[CustomerID]],tblCustomers[CustomerID],tblCustomers[Gender],"not found")</f>
        <v>Female</v>
      </c>
      <c r="F1272" t="str">
        <f>_xlfn.XLOOKUP(tblOrders[[#This Row],[CustomerID]],tblCustomers[CustomerID],tblCustomers[Region],"not found")</f>
        <v>Central</v>
      </c>
      <c r="G1272">
        <v>1083</v>
      </c>
      <c r="H1272" t="str">
        <f>_xlfn.XLOOKUP(tblOrders[[#This Row],[ProductID]],tblProducts[ProductID],tblProducts[ProductName],"not found")</f>
        <v>Pressure</v>
      </c>
      <c r="I1272" t="str">
        <f>_xlfn.XLOOKUP(tblOrders[[#This Row],[ProductID]],tblProducts[ProductID],tblProducts[Category],"not found")</f>
        <v>Toys</v>
      </c>
      <c r="J1272">
        <f>_xlfn.XLOOKUP(tblOrders[[#This Row],[ProductID]],tblProducts[ProductID],tblProducts[UnitPrice],"not found")</f>
        <v>199.18</v>
      </c>
      <c r="K1272" t="str">
        <f>_xlfn.XLOOKUP(tblOrders[[#This Row],[ProductID]],tblProducts[ProductID],tblProducts[Supplier],"not found")</f>
        <v>Wilson-Garcia</v>
      </c>
      <c r="L1272" s="1">
        <v>45231</v>
      </c>
      <c r="M12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45231</v>
      </c>
      <c r="N1272">
        <v>3</v>
      </c>
      <c r="O1272">
        <v>597.54</v>
      </c>
      <c r="P1272">
        <f>tblOrders[[#This Row],[Quantity]]*tblOrders[[#This Row],[Unit Price]]</f>
        <v>597.54</v>
      </c>
      <c r="Q1272">
        <f>tblOrders[[#This Row],[TotalSales]]-tblOrders[[#This Row],[Calculated Sales]]</f>
        <v>0</v>
      </c>
    </row>
    <row r="1273" spans="1:17" x14ac:dyDescent="0.25">
      <c r="A1273">
        <v>98</v>
      </c>
      <c r="B1273">
        <v>445</v>
      </c>
      <c r="C1273" t="str">
        <f>_xlfn.XLOOKUP(tblOrders[[#This Row],[CustomerID]],tblCustomers[CustomerID],tblCustomers[CustomerName],"not found")</f>
        <v>Dr. Kathryn Jacobs</v>
      </c>
      <c r="D1273">
        <f>_xlfn.XLOOKUP(tblOrders[[#This Row],[CustomerID]],tblCustomers[CustomerID],tblCustomers[Age],"not found")</f>
        <v>62</v>
      </c>
      <c r="E1273" t="str">
        <f>_xlfn.XLOOKUP(tblOrders[[#This Row],[CustomerID]],tblCustomers[CustomerID],tblCustomers[Gender],"not found")</f>
        <v>Male</v>
      </c>
      <c r="F1273" t="str">
        <f>_xlfn.XLOOKUP(tblOrders[[#This Row],[CustomerID]],tblCustomers[CustomerID],tblCustomers[Region],"not found")</f>
        <v>West</v>
      </c>
      <c r="G1273">
        <v>1083</v>
      </c>
      <c r="H1273" t="str">
        <f>_xlfn.XLOOKUP(tblOrders[[#This Row],[ProductID]],tblProducts[ProductID],tblProducts[ProductName],"not found")</f>
        <v>Pressure</v>
      </c>
      <c r="I1273" t="str">
        <f>_xlfn.XLOOKUP(tblOrders[[#This Row],[ProductID]],tblProducts[ProductID],tblProducts[Category],"not found")</f>
        <v>Toys</v>
      </c>
      <c r="J1273">
        <f>_xlfn.XLOOKUP(tblOrders[[#This Row],[ProductID]],tblProducts[ProductID],tblProducts[UnitPrice],"not found")</f>
        <v>199.18</v>
      </c>
      <c r="K1273" t="str">
        <f>_xlfn.XLOOKUP(tblOrders[[#This Row],[ProductID]],tblProducts[ProductID],tblProducts[Supplier],"not found")</f>
        <v>Wilson-Garcia</v>
      </c>
      <c r="L1273" s="1">
        <v>45510</v>
      </c>
      <c r="M12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45510</v>
      </c>
      <c r="N1273">
        <v>3</v>
      </c>
      <c r="O1273">
        <v>597.54</v>
      </c>
      <c r="P1273">
        <f>tblOrders[[#This Row],[Quantity]]*tblOrders[[#This Row],[Unit Price]]</f>
        <v>597.54</v>
      </c>
      <c r="Q1273">
        <f>tblOrders[[#This Row],[TotalSales]]-tblOrders[[#This Row],[Calculated Sales]]</f>
        <v>0</v>
      </c>
    </row>
    <row r="1274" spans="1:17" x14ac:dyDescent="0.25">
      <c r="A1274">
        <v>164</v>
      </c>
      <c r="B1274">
        <v>316</v>
      </c>
      <c r="C1274" t="str">
        <f>_xlfn.XLOOKUP(tblOrders[[#This Row],[CustomerID]],tblCustomers[CustomerID],tblCustomers[CustomerName],"not found")</f>
        <v>Joseph Lawrence</v>
      </c>
      <c r="D1274">
        <f>_xlfn.XLOOKUP(tblOrders[[#This Row],[CustomerID]],tblCustomers[CustomerID],tblCustomers[Age],"not found")</f>
        <v>62</v>
      </c>
      <c r="E1274" t="str">
        <f>_xlfn.XLOOKUP(tblOrders[[#This Row],[CustomerID]],tblCustomers[CustomerID],tblCustomers[Gender],"not found")</f>
        <v>Female</v>
      </c>
      <c r="F1274" t="str">
        <f>_xlfn.XLOOKUP(tblOrders[[#This Row],[CustomerID]],tblCustomers[CustomerID],tblCustomers[Region],"not found")</f>
        <v>South</v>
      </c>
      <c r="G1274">
        <v>1083</v>
      </c>
      <c r="H1274" t="str">
        <f>_xlfn.XLOOKUP(tblOrders[[#This Row],[ProductID]],tblProducts[ProductID],tblProducts[ProductName],"not found")</f>
        <v>Pressure</v>
      </c>
      <c r="I1274" t="str">
        <f>_xlfn.XLOOKUP(tblOrders[[#This Row],[ProductID]],tblProducts[ProductID],tblProducts[Category],"not found")</f>
        <v>Toys</v>
      </c>
      <c r="J1274">
        <f>_xlfn.XLOOKUP(tblOrders[[#This Row],[ProductID]],tblProducts[ProductID],tblProducts[UnitPrice],"not found")</f>
        <v>199.18</v>
      </c>
      <c r="K1274" t="str">
        <f>_xlfn.XLOOKUP(tblOrders[[#This Row],[ProductID]],tblProducts[ProductID],tblProducts[Supplier],"not found")</f>
        <v>Wilson-Garcia</v>
      </c>
      <c r="L1274" s="1">
        <v>45261</v>
      </c>
      <c r="M12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45261</v>
      </c>
      <c r="N1274">
        <v>2</v>
      </c>
      <c r="O1274">
        <v>398.36</v>
      </c>
      <c r="P1274">
        <f>tblOrders[[#This Row],[Quantity]]*tblOrders[[#This Row],[Unit Price]]</f>
        <v>398.36</v>
      </c>
      <c r="Q1274">
        <f>tblOrders[[#This Row],[TotalSales]]-tblOrders[[#This Row],[Calculated Sales]]</f>
        <v>0</v>
      </c>
    </row>
    <row r="1275" spans="1:17" x14ac:dyDescent="0.25">
      <c r="A1275">
        <v>190</v>
      </c>
      <c r="B1275">
        <v>782</v>
      </c>
      <c r="C1275" t="str">
        <f>_xlfn.XLOOKUP(tblOrders[[#This Row],[CustomerID]],tblCustomers[CustomerID],tblCustomers[CustomerName],"not found")</f>
        <v>Abigail Anderson</v>
      </c>
      <c r="D1275">
        <f>_xlfn.XLOOKUP(tblOrders[[#This Row],[CustomerID]],tblCustomers[CustomerID],tblCustomers[Age],"not found")</f>
        <v>18</v>
      </c>
      <c r="E1275" t="str">
        <f>_xlfn.XLOOKUP(tblOrders[[#This Row],[CustomerID]],tblCustomers[CustomerID],tblCustomers[Gender],"not found")</f>
        <v>Female</v>
      </c>
      <c r="F1275" t="str">
        <f>_xlfn.XLOOKUP(tblOrders[[#This Row],[CustomerID]],tblCustomers[CustomerID],tblCustomers[Region],"not found")</f>
        <v>North</v>
      </c>
      <c r="G1275">
        <v>1083</v>
      </c>
      <c r="H1275" t="str">
        <f>_xlfn.XLOOKUP(tblOrders[[#This Row],[ProductID]],tblProducts[ProductID],tblProducts[ProductName],"not found")</f>
        <v>Pressure</v>
      </c>
      <c r="I1275" t="str">
        <f>_xlfn.XLOOKUP(tblOrders[[#This Row],[ProductID]],tblProducts[ProductID],tblProducts[Category],"not found")</f>
        <v>Toys</v>
      </c>
      <c r="J1275">
        <f>_xlfn.XLOOKUP(tblOrders[[#This Row],[ProductID]],tblProducts[ProductID],tblProducts[UnitPrice],"not found")</f>
        <v>199.18</v>
      </c>
      <c r="K1275" t="str">
        <f>_xlfn.XLOOKUP(tblOrders[[#This Row],[ProductID]],tblProducts[ProductID],tblProducts[Supplier],"not found")</f>
        <v>Wilson-Garcia</v>
      </c>
      <c r="L1275" s="1" t="s">
        <v>2133</v>
      </c>
      <c r="M12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44884</v>
      </c>
      <c r="N1275">
        <v>4</v>
      </c>
      <c r="O1275">
        <v>796.72</v>
      </c>
      <c r="P1275">
        <f>tblOrders[[#This Row],[Quantity]]*tblOrders[[#This Row],[Unit Price]]</f>
        <v>796.72</v>
      </c>
      <c r="Q1275">
        <f>tblOrders[[#This Row],[TotalSales]]-tblOrders[[#This Row],[Calculated Sales]]</f>
        <v>0</v>
      </c>
    </row>
    <row r="1276" spans="1:17" x14ac:dyDescent="0.25">
      <c r="A1276">
        <v>255</v>
      </c>
      <c r="B1276">
        <v>189</v>
      </c>
      <c r="C1276" t="str">
        <f>_xlfn.XLOOKUP(tblOrders[[#This Row],[CustomerID]],tblCustomers[CustomerID],tblCustomers[CustomerName],"not found")</f>
        <v>Carlos Bright</v>
      </c>
      <c r="D1276">
        <f>_xlfn.XLOOKUP(tblOrders[[#This Row],[CustomerID]],tblCustomers[CustomerID],tblCustomers[Age],"not found")</f>
        <v>54</v>
      </c>
      <c r="E1276" t="str">
        <f>_xlfn.XLOOKUP(tblOrders[[#This Row],[CustomerID]],tblCustomers[CustomerID],tblCustomers[Gender],"not found")</f>
        <v>Male</v>
      </c>
      <c r="F1276" t="str">
        <f>_xlfn.XLOOKUP(tblOrders[[#This Row],[CustomerID]],tblCustomers[CustomerID],tblCustomers[Region],"not found")</f>
        <v>East</v>
      </c>
      <c r="G1276">
        <v>1083</v>
      </c>
      <c r="H1276" t="str">
        <f>_xlfn.XLOOKUP(tblOrders[[#This Row],[ProductID]],tblProducts[ProductID],tblProducts[ProductName],"not found")</f>
        <v>Pressure</v>
      </c>
      <c r="I1276" t="str">
        <f>_xlfn.XLOOKUP(tblOrders[[#This Row],[ProductID]],tblProducts[ProductID],tblProducts[Category],"not found")</f>
        <v>Toys</v>
      </c>
      <c r="J1276">
        <f>_xlfn.XLOOKUP(tblOrders[[#This Row],[ProductID]],tblProducts[ProductID],tblProducts[UnitPrice],"not found")</f>
        <v>199.18</v>
      </c>
      <c r="K1276" t="str">
        <f>_xlfn.XLOOKUP(tblOrders[[#This Row],[ProductID]],tblProducts[ProductID],tblProducts[Supplier],"not found")</f>
        <v>Wilson-Garcia</v>
      </c>
      <c r="L1276" s="1" t="s">
        <v>2268</v>
      </c>
      <c r="M12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45305</v>
      </c>
      <c r="N1276">
        <v>4</v>
      </c>
      <c r="O1276">
        <v>796.72</v>
      </c>
      <c r="P1276">
        <f>tblOrders[[#This Row],[Quantity]]*tblOrders[[#This Row],[Unit Price]]</f>
        <v>796.72</v>
      </c>
      <c r="Q1276">
        <f>tblOrders[[#This Row],[TotalSales]]-tblOrders[[#This Row],[Calculated Sales]]</f>
        <v>0</v>
      </c>
    </row>
    <row r="1277" spans="1:17" x14ac:dyDescent="0.25">
      <c r="A1277">
        <v>438</v>
      </c>
      <c r="B1277">
        <v>99</v>
      </c>
      <c r="C1277" t="str">
        <f>_xlfn.XLOOKUP(tblOrders[[#This Row],[CustomerID]],tblCustomers[CustomerID],tblCustomers[CustomerName],"not found")</f>
        <v>Richard Roman</v>
      </c>
      <c r="D1277">
        <f>_xlfn.XLOOKUP(tblOrders[[#This Row],[CustomerID]],tblCustomers[CustomerID],tblCustomers[Age],"not found")</f>
        <v>54</v>
      </c>
      <c r="E1277" t="str">
        <f>_xlfn.XLOOKUP(tblOrders[[#This Row],[CustomerID]],tblCustomers[CustomerID],tblCustomers[Gender],"not found")</f>
        <v>Male</v>
      </c>
      <c r="F1277" t="str">
        <f>_xlfn.XLOOKUP(tblOrders[[#This Row],[CustomerID]],tblCustomers[CustomerID],tblCustomers[Region],"not found")</f>
        <v>East</v>
      </c>
      <c r="G1277">
        <v>1083</v>
      </c>
      <c r="H1277" t="str">
        <f>_xlfn.XLOOKUP(tblOrders[[#This Row],[ProductID]],tblProducts[ProductID],tblProducts[ProductName],"not found")</f>
        <v>Pressure</v>
      </c>
      <c r="I1277" t="str">
        <f>_xlfn.XLOOKUP(tblOrders[[#This Row],[ProductID]],tblProducts[ProductID],tblProducts[Category],"not found")</f>
        <v>Toys</v>
      </c>
      <c r="J1277">
        <f>_xlfn.XLOOKUP(tblOrders[[#This Row],[ProductID]],tblProducts[ProductID],tblProducts[UnitPrice],"not found")</f>
        <v>199.18</v>
      </c>
      <c r="K1277" t="str">
        <f>_xlfn.XLOOKUP(tblOrders[[#This Row],[ProductID]],tblProducts[ProductID],tblProducts[Supplier],"not found")</f>
        <v>Wilson-Garcia</v>
      </c>
      <c r="L1277" s="1" t="s">
        <v>2298</v>
      </c>
      <c r="M12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45550</v>
      </c>
      <c r="N1277">
        <v>8</v>
      </c>
      <c r="O1277">
        <v>1593.44</v>
      </c>
      <c r="P1277">
        <f>tblOrders[[#This Row],[Quantity]]*tblOrders[[#This Row],[Unit Price]]</f>
        <v>1593.44</v>
      </c>
      <c r="Q1277">
        <f>tblOrders[[#This Row],[TotalSales]]-tblOrders[[#This Row],[Calculated Sales]]</f>
        <v>0</v>
      </c>
    </row>
    <row r="1278" spans="1:17" x14ac:dyDescent="0.25">
      <c r="A1278">
        <v>484</v>
      </c>
      <c r="B1278">
        <v>45</v>
      </c>
      <c r="C1278" t="str">
        <f>_xlfn.XLOOKUP(tblOrders[[#This Row],[CustomerID]],tblCustomers[CustomerID],tblCustomers[CustomerName],"not found")</f>
        <v>William Morris</v>
      </c>
      <c r="D1278">
        <f>_xlfn.XLOOKUP(tblOrders[[#This Row],[CustomerID]],tblCustomers[CustomerID],tblCustomers[Age],"not found")</f>
        <v>51</v>
      </c>
      <c r="E1278" t="str">
        <f>_xlfn.XLOOKUP(tblOrders[[#This Row],[CustomerID]],tblCustomers[CustomerID],tblCustomers[Gender],"not found")</f>
        <v>Female</v>
      </c>
      <c r="F1278" t="str">
        <f>_xlfn.XLOOKUP(tblOrders[[#This Row],[CustomerID]],tblCustomers[CustomerID],tblCustomers[Region],"not found")</f>
        <v>North</v>
      </c>
      <c r="G1278">
        <v>1083</v>
      </c>
      <c r="H1278" t="str">
        <f>_xlfn.XLOOKUP(tblOrders[[#This Row],[ProductID]],tblProducts[ProductID],tblProducts[ProductName],"not found")</f>
        <v>Pressure</v>
      </c>
      <c r="I1278" t="str">
        <f>_xlfn.XLOOKUP(tblOrders[[#This Row],[ProductID]],tblProducts[ProductID],tblProducts[Category],"not found")</f>
        <v>Toys</v>
      </c>
      <c r="J1278">
        <f>_xlfn.XLOOKUP(tblOrders[[#This Row],[ProductID]],tblProducts[ProductID],tblProducts[UnitPrice],"not found")</f>
        <v>199.18</v>
      </c>
      <c r="K1278" t="str">
        <f>_xlfn.XLOOKUP(tblOrders[[#This Row],[ProductID]],tblProducts[ProductID],tblProducts[Supplier],"not found")</f>
        <v>Wilson-Garcia</v>
      </c>
      <c r="L1278" s="1" t="s">
        <v>2078</v>
      </c>
      <c r="M12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45493</v>
      </c>
      <c r="N1278">
        <v>6</v>
      </c>
      <c r="O1278">
        <v>1195.08</v>
      </c>
      <c r="P1278">
        <f>tblOrders[[#This Row],[Quantity]]*tblOrders[[#This Row],[Unit Price]]</f>
        <v>1195.08</v>
      </c>
      <c r="Q1278">
        <f>tblOrders[[#This Row],[TotalSales]]-tblOrders[[#This Row],[Calculated Sales]]</f>
        <v>0</v>
      </c>
    </row>
    <row r="1279" spans="1:17" x14ac:dyDescent="0.25">
      <c r="A1279">
        <v>516</v>
      </c>
      <c r="B1279">
        <v>62</v>
      </c>
      <c r="C1279" t="str">
        <f>_xlfn.XLOOKUP(tblOrders[[#This Row],[CustomerID]],tblCustomers[CustomerID],tblCustomers[CustomerName],"not found")</f>
        <v>Jeffrey Johnson</v>
      </c>
      <c r="D1279">
        <f>_xlfn.XLOOKUP(tblOrders[[#This Row],[CustomerID]],tblCustomers[CustomerID],tblCustomers[Age],"not found")</f>
        <v>58</v>
      </c>
      <c r="E1279" t="str">
        <f>_xlfn.XLOOKUP(tblOrders[[#This Row],[CustomerID]],tblCustomers[CustomerID],tblCustomers[Gender],"not found")</f>
        <v>Female</v>
      </c>
      <c r="F1279" t="str">
        <f>_xlfn.XLOOKUP(tblOrders[[#This Row],[CustomerID]],tblCustomers[CustomerID],tblCustomers[Region],"not found")</f>
        <v>West</v>
      </c>
      <c r="G1279">
        <v>1083</v>
      </c>
      <c r="H1279" t="str">
        <f>_xlfn.XLOOKUP(tblOrders[[#This Row],[ProductID]],tblProducts[ProductID],tblProducts[ProductName],"not found")</f>
        <v>Pressure</v>
      </c>
      <c r="I1279" t="str">
        <f>_xlfn.XLOOKUP(tblOrders[[#This Row],[ProductID]],tblProducts[ProductID],tblProducts[Category],"not found")</f>
        <v>Toys</v>
      </c>
      <c r="J1279">
        <f>_xlfn.XLOOKUP(tblOrders[[#This Row],[ProductID]],tblProducts[ProductID],tblProducts[UnitPrice],"not found")</f>
        <v>199.18</v>
      </c>
      <c r="K1279" t="str">
        <f>_xlfn.XLOOKUP(tblOrders[[#This Row],[ProductID]],tblProducts[ProductID],tblProducts[Supplier],"not found")</f>
        <v>Wilson-Garcia</v>
      </c>
      <c r="L1279" s="1" t="s">
        <v>2103</v>
      </c>
      <c r="M12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45532</v>
      </c>
      <c r="N1279">
        <v>1</v>
      </c>
      <c r="O1279">
        <v>199.18</v>
      </c>
      <c r="P1279">
        <f>tblOrders[[#This Row],[Quantity]]*tblOrders[[#This Row],[Unit Price]]</f>
        <v>199.18</v>
      </c>
      <c r="Q1279">
        <f>tblOrders[[#This Row],[TotalSales]]-tblOrders[[#This Row],[Calculated Sales]]</f>
        <v>0</v>
      </c>
    </row>
    <row r="1280" spans="1:17" x14ac:dyDescent="0.25">
      <c r="A1280">
        <v>587</v>
      </c>
      <c r="B1280">
        <v>481</v>
      </c>
      <c r="C1280" t="str">
        <f>_xlfn.XLOOKUP(tblOrders[[#This Row],[CustomerID]],tblCustomers[CustomerID],tblCustomers[CustomerName],"not found")</f>
        <v>Benjamin Porter</v>
      </c>
      <c r="D1280">
        <f>_xlfn.XLOOKUP(tblOrders[[#This Row],[CustomerID]],tblCustomers[CustomerID],tblCustomers[Age],"not found")</f>
        <v>20</v>
      </c>
      <c r="E1280" t="str">
        <f>_xlfn.XLOOKUP(tblOrders[[#This Row],[CustomerID]],tblCustomers[CustomerID],tblCustomers[Gender],"not found")</f>
        <v>Male</v>
      </c>
      <c r="F1280" t="str">
        <f>_xlfn.XLOOKUP(tblOrders[[#This Row],[CustomerID]],tblCustomers[CustomerID],tblCustomers[Region],"not found")</f>
        <v>Central</v>
      </c>
      <c r="G1280">
        <v>1083</v>
      </c>
      <c r="H1280" t="str">
        <f>_xlfn.XLOOKUP(tblOrders[[#This Row],[ProductID]],tblProducts[ProductID],tblProducts[ProductName],"not found")</f>
        <v>Pressure</v>
      </c>
      <c r="I1280" t="str">
        <f>_xlfn.XLOOKUP(tblOrders[[#This Row],[ProductID]],tblProducts[ProductID],tblProducts[Category],"not found")</f>
        <v>Toys</v>
      </c>
      <c r="J1280">
        <f>_xlfn.XLOOKUP(tblOrders[[#This Row],[ProductID]],tblProducts[ProductID],tblProducts[UnitPrice],"not found")</f>
        <v>199.18</v>
      </c>
      <c r="K1280" t="str">
        <f>_xlfn.XLOOKUP(tblOrders[[#This Row],[ProductID]],tblProducts[ProductID],tblProducts[Supplier],"not found")</f>
        <v>Wilson-Garcia</v>
      </c>
      <c r="L1280" s="1" t="s">
        <v>2022</v>
      </c>
      <c r="M12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45066</v>
      </c>
      <c r="N1280">
        <v>8</v>
      </c>
      <c r="O1280">
        <v>1593.44</v>
      </c>
      <c r="P1280">
        <f>tblOrders[[#This Row],[Quantity]]*tblOrders[[#This Row],[Unit Price]]</f>
        <v>1593.44</v>
      </c>
      <c r="Q1280">
        <f>tblOrders[[#This Row],[TotalSales]]-tblOrders[[#This Row],[Calculated Sales]]</f>
        <v>0</v>
      </c>
    </row>
    <row r="1281" spans="1:17" x14ac:dyDescent="0.25">
      <c r="A1281">
        <v>652</v>
      </c>
      <c r="B1281">
        <v>970</v>
      </c>
      <c r="C1281" t="str">
        <f>_xlfn.XLOOKUP(tblOrders[[#This Row],[CustomerID]],tblCustomers[CustomerID],tblCustomers[CustomerName],"not found")</f>
        <v>Alyssa Burke</v>
      </c>
      <c r="D1281">
        <f>_xlfn.XLOOKUP(tblOrders[[#This Row],[CustomerID]],tblCustomers[CustomerID],tblCustomers[Age],"not found")</f>
        <v>35</v>
      </c>
      <c r="E1281" t="str">
        <f>_xlfn.XLOOKUP(tblOrders[[#This Row],[CustomerID]],tblCustomers[CustomerID],tblCustomers[Gender],"not found")</f>
        <v>Male</v>
      </c>
      <c r="F1281" t="str">
        <f>_xlfn.XLOOKUP(tblOrders[[#This Row],[CustomerID]],tblCustomers[CustomerID],tblCustomers[Region],"not found")</f>
        <v>North</v>
      </c>
      <c r="G1281">
        <v>1083</v>
      </c>
      <c r="H1281" t="str">
        <f>_xlfn.XLOOKUP(tblOrders[[#This Row],[ProductID]],tblProducts[ProductID],tblProducts[ProductName],"not found")</f>
        <v>Pressure</v>
      </c>
      <c r="I1281" t="str">
        <f>_xlfn.XLOOKUP(tblOrders[[#This Row],[ProductID]],tblProducts[ProductID],tblProducts[Category],"not found")</f>
        <v>Toys</v>
      </c>
      <c r="J1281">
        <f>_xlfn.XLOOKUP(tblOrders[[#This Row],[ProductID]],tblProducts[ProductID],tblProducts[UnitPrice],"not found")</f>
        <v>199.18</v>
      </c>
      <c r="K1281" t="str">
        <f>_xlfn.XLOOKUP(tblOrders[[#This Row],[ProductID]],tblProducts[ProductID],tblProducts[Supplier],"not found")</f>
        <v>Wilson-Garcia</v>
      </c>
      <c r="L1281" s="1" t="s">
        <v>2271</v>
      </c>
      <c r="M12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45341</v>
      </c>
      <c r="N1281">
        <v>4</v>
      </c>
      <c r="O1281">
        <v>796.72</v>
      </c>
      <c r="P1281">
        <f>tblOrders[[#This Row],[Quantity]]*tblOrders[[#This Row],[Unit Price]]</f>
        <v>796.72</v>
      </c>
      <c r="Q1281">
        <f>tblOrders[[#This Row],[TotalSales]]-tblOrders[[#This Row],[Calculated Sales]]</f>
        <v>0</v>
      </c>
    </row>
    <row r="1282" spans="1:17" x14ac:dyDescent="0.25">
      <c r="A1282">
        <v>658</v>
      </c>
      <c r="B1282">
        <v>950</v>
      </c>
      <c r="C1282" t="str">
        <f>_xlfn.XLOOKUP(tblOrders[[#This Row],[CustomerID]],tblCustomers[CustomerID],tblCustomers[CustomerName],"not found")</f>
        <v>Robert Cohen</v>
      </c>
      <c r="D1282">
        <f>_xlfn.XLOOKUP(tblOrders[[#This Row],[CustomerID]],tblCustomers[CustomerID],tblCustomers[Age],"not found")</f>
        <v>26</v>
      </c>
      <c r="E1282" t="str">
        <f>_xlfn.XLOOKUP(tblOrders[[#This Row],[CustomerID]],tblCustomers[CustomerID],tblCustomers[Gender],"not found")</f>
        <v>Female</v>
      </c>
      <c r="F1282" t="str">
        <f>_xlfn.XLOOKUP(tblOrders[[#This Row],[CustomerID]],tblCustomers[CustomerID],tblCustomers[Region],"not found")</f>
        <v>East</v>
      </c>
      <c r="G1282">
        <v>1083</v>
      </c>
      <c r="H1282" t="str">
        <f>_xlfn.XLOOKUP(tblOrders[[#This Row],[ProductID]],tblProducts[ProductID],tblProducts[ProductName],"not found")</f>
        <v>Pressure</v>
      </c>
      <c r="I1282" t="str">
        <f>_xlfn.XLOOKUP(tblOrders[[#This Row],[ProductID]],tblProducts[ProductID],tblProducts[Category],"not found")</f>
        <v>Toys</v>
      </c>
      <c r="J1282">
        <f>_xlfn.XLOOKUP(tblOrders[[#This Row],[ProductID]],tblProducts[ProductID],tblProducts[UnitPrice],"not found")</f>
        <v>199.18</v>
      </c>
      <c r="K1282" t="str">
        <f>_xlfn.XLOOKUP(tblOrders[[#This Row],[ProductID]],tblProducts[ProductID],tblProducts[Supplier],"not found")</f>
        <v>Wilson-Garcia</v>
      </c>
      <c r="L1282" s="1">
        <v>45597</v>
      </c>
      <c r="M12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1282">
        <v>8</v>
      </c>
      <c r="O1282">
        <v>1593.44</v>
      </c>
      <c r="P1282">
        <f>tblOrders[[#This Row],[Quantity]]*tblOrders[[#This Row],[Unit Price]]</f>
        <v>1593.44</v>
      </c>
      <c r="Q1282">
        <f>tblOrders[[#This Row],[TotalSales]]-tblOrders[[#This Row],[Calculated Sales]]</f>
        <v>0</v>
      </c>
    </row>
    <row r="1283" spans="1:17" x14ac:dyDescent="0.25">
      <c r="A1283">
        <v>662</v>
      </c>
      <c r="B1283">
        <v>414</v>
      </c>
      <c r="C1283" t="str">
        <f>_xlfn.XLOOKUP(tblOrders[[#This Row],[CustomerID]],tblCustomers[CustomerID],tblCustomers[CustomerName],"not found")</f>
        <v>Michael Miles</v>
      </c>
      <c r="D1283">
        <f>_xlfn.XLOOKUP(tblOrders[[#This Row],[CustomerID]],tblCustomers[CustomerID],tblCustomers[Age],"not found")</f>
        <v>59</v>
      </c>
      <c r="E1283" t="str">
        <f>_xlfn.XLOOKUP(tblOrders[[#This Row],[CustomerID]],tblCustomers[CustomerID],tblCustomers[Gender],"not found")</f>
        <v>Female</v>
      </c>
      <c r="F1283" t="str">
        <f>_xlfn.XLOOKUP(tblOrders[[#This Row],[CustomerID]],tblCustomers[CustomerID],tblCustomers[Region],"not found")</f>
        <v>North</v>
      </c>
      <c r="G1283">
        <v>1083</v>
      </c>
      <c r="H1283" t="str">
        <f>_xlfn.XLOOKUP(tblOrders[[#This Row],[ProductID]],tblProducts[ProductID],tblProducts[ProductName],"not found")</f>
        <v>Pressure</v>
      </c>
      <c r="I1283" t="str">
        <f>_xlfn.XLOOKUP(tblOrders[[#This Row],[ProductID]],tblProducts[ProductID],tblProducts[Category],"not found")</f>
        <v>Toys</v>
      </c>
      <c r="J1283">
        <f>_xlfn.XLOOKUP(tblOrders[[#This Row],[ProductID]],tblProducts[ProductID],tblProducts[UnitPrice],"not found")</f>
        <v>199.18</v>
      </c>
      <c r="K1283" t="str">
        <f>_xlfn.XLOOKUP(tblOrders[[#This Row],[ProductID]],tblProducts[ProductID],tblProducts[Supplier],"not found")</f>
        <v>Wilson-Garcia</v>
      </c>
      <c r="L1283" s="1" t="s">
        <v>2295</v>
      </c>
      <c r="M12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45275</v>
      </c>
      <c r="N1283">
        <v>5</v>
      </c>
      <c r="O1283">
        <v>995.9</v>
      </c>
      <c r="P1283">
        <f>tblOrders[[#This Row],[Quantity]]*tblOrders[[#This Row],[Unit Price]]</f>
        <v>995.90000000000009</v>
      </c>
      <c r="Q1283">
        <f>tblOrders[[#This Row],[TotalSales]]-tblOrders[[#This Row],[Calculated Sales]]</f>
        <v>0</v>
      </c>
    </row>
    <row r="1284" spans="1:17" x14ac:dyDescent="0.25">
      <c r="A1284">
        <v>790</v>
      </c>
      <c r="B1284">
        <v>623</v>
      </c>
      <c r="C1284" t="str">
        <f>_xlfn.XLOOKUP(tblOrders[[#This Row],[CustomerID]],tblCustomers[CustomerID],tblCustomers[CustomerName],"not found")</f>
        <v>Timothy Williams</v>
      </c>
      <c r="D1284">
        <f>_xlfn.XLOOKUP(tblOrders[[#This Row],[CustomerID]],tblCustomers[CustomerID],tblCustomers[Age],"not found")</f>
        <v>44</v>
      </c>
      <c r="E1284" t="str">
        <f>_xlfn.XLOOKUP(tblOrders[[#This Row],[CustomerID]],tblCustomers[CustomerID],tblCustomers[Gender],"not found")</f>
        <v>Female</v>
      </c>
      <c r="F1284" t="str">
        <f>_xlfn.XLOOKUP(tblOrders[[#This Row],[CustomerID]],tblCustomers[CustomerID],tblCustomers[Region],"not found")</f>
        <v>North</v>
      </c>
      <c r="G1284">
        <v>1083</v>
      </c>
      <c r="H1284" t="str">
        <f>_xlfn.XLOOKUP(tblOrders[[#This Row],[ProductID]],tblProducts[ProductID],tblProducts[ProductName],"not found")</f>
        <v>Pressure</v>
      </c>
      <c r="I1284" t="str">
        <f>_xlfn.XLOOKUP(tblOrders[[#This Row],[ProductID]],tblProducts[ProductID],tblProducts[Category],"not found")</f>
        <v>Toys</v>
      </c>
      <c r="J1284">
        <f>_xlfn.XLOOKUP(tblOrders[[#This Row],[ProductID]],tblProducts[ProductID],tblProducts[UnitPrice],"not found")</f>
        <v>199.18</v>
      </c>
      <c r="K1284" t="str">
        <f>_xlfn.XLOOKUP(tblOrders[[#This Row],[ProductID]],tblProducts[ProductID],tblProducts[Supplier],"not found")</f>
        <v>Wilson-Garcia</v>
      </c>
      <c r="L1284" s="1" t="s">
        <v>2283</v>
      </c>
      <c r="M12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45099</v>
      </c>
      <c r="N1284">
        <v>3</v>
      </c>
      <c r="O1284">
        <v>597.54</v>
      </c>
      <c r="P1284">
        <f>tblOrders[[#This Row],[Quantity]]*tblOrders[[#This Row],[Unit Price]]</f>
        <v>597.54</v>
      </c>
      <c r="Q1284">
        <f>tblOrders[[#This Row],[TotalSales]]-tblOrders[[#This Row],[Calculated Sales]]</f>
        <v>0</v>
      </c>
    </row>
    <row r="1285" spans="1:17" x14ac:dyDescent="0.25">
      <c r="A1285">
        <v>937</v>
      </c>
      <c r="B1285">
        <v>829</v>
      </c>
      <c r="C1285" t="str">
        <f>_xlfn.XLOOKUP(tblOrders[[#This Row],[CustomerID]],tblCustomers[CustomerID],tblCustomers[CustomerName],"not found")</f>
        <v>Jessica Anderson</v>
      </c>
      <c r="D1285">
        <f>_xlfn.XLOOKUP(tblOrders[[#This Row],[CustomerID]],tblCustomers[CustomerID],tblCustomers[Age],"not found")</f>
        <v>43</v>
      </c>
      <c r="E1285" t="str">
        <f>_xlfn.XLOOKUP(tblOrders[[#This Row],[CustomerID]],tblCustomers[CustomerID],tblCustomers[Gender],"not found")</f>
        <v>Male</v>
      </c>
      <c r="F1285" t="str">
        <f>_xlfn.XLOOKUP(tblOrders[[#This Row],[CustomerID]],tblCustomers[CustomerID],tblCustomers[Region],"not found")</f>
        <v>North</v>
      </c>
      <c r="G1285">
        <v>1083</v>
      </c>
      <c r="H1285" t="str">
        <f>_xlfn.XLOOKUP(tblOrders[[#This Row],[ProductID]],tblProducts[ProductID],tblProducts[ProductName],"not found")</f>
        <v>Pressure</v>
      </c>
      <c r="I1285" t="str">
        <f>_xlfn.XLOOKUP(tblOrders[[#This Row],[ProductID]],tblProducts[ProductID],tblProducts[Category],"not found")</f>
        <v>Toys</v>
      </c>
      <c r="J1285">
        <f>_xlfn.XLOOKUP(tblOrders[[#This Row],[ProductID]],tblProducts[ProductID],tblProducts[UnitPrice],"not found")</f>
        <v>199.18</v>
      </c>
      <c r="K1285" t="str">
        <f>_xlfn.XLOOKUP(tblOrders[[#This Row],[ProductID]],tblProducts[ProductID],tblProducts[Supplier],"not found")</f>
        <v>Wilson-Garcia</v>
      </c>
      <c r="L1285" s="1" t="s">
        <v>2095</v>
      </c>
      <c r="M12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45217</v>
      </c>
      <c r="N1285">
        <v>9</v>
      </c>
      <c r="O1285">
        <v>1792.62</v>
      </c>
      <c r="P1285">
        <f>tblOrders[[#This Row],[Quantity]]*tblOrders[[#This Row],[Unit Price]]</f>
        <v>1792.6200000000001</v>
      </c>
      <c r="Q1285">
        <f>tblOrders[[#This Row],[TotalSales]]-tblOrders[[#This Row],[Calculated Sales]]</f>
        <v>0</v>
      </c>
    </row>
    <row r="1286" spans="1:17" x14ac:dyDescent="0.25">
      <c r="A1286">
        <v>1023</v>
      </c>
      <c r="B1286">
        <v>306</v>
      </c>
      <c r="C1286" t="str">
        <f>_xlfn.XLOOKUP(tblOrders[[#This Row],[CustomerID]],tblCustomers[CustomerID],tblCustomers[CustomerName],"not found")</f>
        <v>Philip Meyers</v>
      </c>
      <c r="D1286">
        <f>_xlfn.XLOOKUP(tblOrders[[#This Row],[CustomerID]],tblCustomers[CustomerID],tblCustomers[Age],"not found")</f>
        <v>56</v>
      </c>
      <c r="E1286" t="str">
        <f>_xlfn.XLOOKUP(tblOrders[[#This Row],[CustomerID]],tblCustomers[CustomerID],tblCustomers[Gender],"not found")</f>
        <v>Male</v>
      </c>
      <c r="F1286" t="str">
        <f>_xlfn.XLOOKUP(tblOrders[[#This Row],[CustomerID]],tblCustomers[CustomerID],tblCustomers[Region],"not found")</f>
        <v>West</v>
      </c>
      <c r="G1286">
        <v>1083</v>
      </c>
      <c r="H1286" t="str">
        <f>_xlfn.XLOOKUP(tblOrders[[#This Row],[ProductID]],tblProducts[ProductID],tblProducts[ProductName],"not found")</f>
        <v>Pressure</v>
      </c>
      <c r="I1286" t="str">
        <f>_xlfn.XLOOKUP(tblOrders[[#This Row],[ProductID]],tblProducts[ProductID],tblProducts[Category],"not found")</f>
        <v>Toys</v>
      </c>
      <c r="J1286">
        <f>_xlfn.XLOOKUP(tblOrders[[#This Row],[ProductID]],tblProducts[ProductID],tblProducts[UnitPrice],"not found")</f>
        <v>199.18</v>
      </c>
      <c r="K1286" t="str">
        <f>_xlfn.XLOOKUP(tblOrders[[#This Row],[ProductID]],tblProducts[ProductID],tblProducts[Supplier],"not found")</f>
        <v>Wilson-Garcia</v>
      </c>
      <c r="L1286" s="1" t="s">
        <v>2367</v>
      </c>
      <c r="M12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45406</v>
      </c>
      <c r="N1286">
        <v>3</v>
      </c>
      <c r="O1286">
        <v>597.54</v>
      </c>
      <c r="P1286">
        <f>tblOrders[[#This Row],[Quantity]]*tblOrders[[#This Row],[Unit Price]]</f>
        <v>597.54</v>
      </c>
      <c r="Q1286">
        <f>tblOrders[[#This Row],[TotalSales]]-tblOrders[[#This Row],[Calculated Sales]]</f>
        <v>0</v>
      </c>
    </row>
    <row r="1287" spans="1:17" x14ac:dyDescent="0.25">
      <c r="A1287">
        <v>1024</v>
      </c>
      <c r="B1287">
        <v>946</v>
      </c>
      <c r="C1287" t="str">
        <f>_xlfn.XLOOKUP(tblOrders[[#This Row],[CustomerID]],tblCustomers[CustomerID],tblCustomers[CustomerName],"not found")</f>
        <v>Gordon Phillips</v>
      </c>
      <c r="D1287">
        <f>_xlfn.XLOOKUP(tblOrders[[#This Row],[CustomerID]],tblCustomers[CustomerID],tblCustomers[Age],"not found")</f>
        <v>52</v>
      </c>
      <c r="E1287" t="str">
        <f>_xlfn.XLOOKUP(tblOrders[[#This Row],[CustomerID]],tblCustomers[CustomerID],tblCustomers[Gender],"not found")</f>
        <v>Male</v>
      </c>
      <c r="F1287" t="str">
        <f>_xlfn.XLOOKUP(tblOrders[[#This Row],[CustomerID]],tblCustomers[CustomerID],tblCustomers[Region],"not found")</f>
        <v>North</v>
      </c>
      <c r="G1287">
        <v>1083</v>
      </c>
      <c r="H1287" t="str">
        <f>_xlfn.XLOOKUP(tblOrders[[#This Row],[ProductID]],tblProducts[ProductID],tblProducts[ProductName],"not found")</f>
        <v>Pressure</v>
      </c>
      <c r="I1287" t="str">
        <f>_xlfn.XLOOKUP(tblOrders[[#This Row],[ProductID]],tblProducts[ProductID],tblProducts[Category],"not found")</f>
        <v>Toys</v>
      </c>
      <c r="J1287">
        <f>_xlfn.XLOOKUP(tblOrders[[#This Row],[ProductID]],tblProducts[ProductID],tblProducts[UnitPrice],"not found")</f>
        <v>199.18</v>
      </c>
      <c r="K1287" t="str">
        <f>_xlfn.XLOOKUP(tblOrders[[#This Row],[ProductID]],tblProducts[ProductID],tblProducts[Supplier],"not found")</f>
        <v>Wilson-Garcia</v>
      </c>
      <c r="L1287" s="1" t="s">
        <v>2364</v>
      </c>
      <c r="M12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45038</v>
      </c>
      <c r="N1287">
        <v>5</v>
      </c>
      <c r="O1287">
        <v>995.9</v>
      </c>
      <c r="P1287">
        <f>tblOrders[[#This Row],[Quantity]]*tblOrders[[#This Row],[Unit Price]]</f>
        <v>995.90000000000009</v>
      </c>
      <c r="Q1287">
        <f>tblOrders[[#This Row],[TotalSales]]-tblOrders[[#This Row],[Calculated Sales]]</f>
        <v>0</v>
      </c>
    </row>
    <row r="1288" spans="1:17" x14ac:dyDescent="0.25">
      <c r="A1288">
        <v>1088</v>
      </c>
      <c r="B1288">
        <v>325</v>
      </c>
      <c r="C1288" t="str">
        <f>_xlfn.XLOOKUP(tblOrders[[#This Row],[CustomerID]],tblCustomers[CustomerID],tblCustomers[CustomerName],"not found")</f>
        <v>Manuel Patrick</v>
      </c>
      <c r="D1288">
        <f>_xlfn.XLOOKUP(tblOrders[[#This Row],[CustomerID]],tblCustomers[CustomerID],tblCustomers[Age],"not found")</f>
        <v>50</v>
      </c>
      <c r="E1288" t="str">
        <f>_xlfn.XLOOKUP(tblOrders[[#This Row],[CustomerID]],tblCustomers[CustomerID],tblCustomers[Gender],"not found")</f>
        <v>Female</v>
      </c>
      <c r="F1288" t="str">
        <f>_xlfn.XLOOKUP(tblOrders[[#This Row],[CustomerID]],tblCustomers[CustomerID],tblCustomers[Region],"not found")</f>
        <v>East</v>
      </c>
      <c r="G1288">
        <v>1083</v>
      </c>
      <c r="H1288" t="str">
        <f>_xlfn.XLOOKUP(tblOrders[[#This Row],[ProductID]],tblProducts[ProductID],tblProducts[ProductName],"not found")</f>
        <v>Pressure</v>
      </c>
      <c r="I1288" t="str">
        <f>_xlfn.XLOOKUP(tblOrders[[#This Row],[ProductID]],tblProducts[ProductID],tblProducts[Category],"not found")</f>
        <v>Toys</v>
      </c>
      <c r="J1288">
        <f>_xlfn.XLOOKUP(tblOrders[[#This Row],[ProductID]],tblProducts[ProductID],tblProducts[UnitPrice],"not found")</f>
        <v>199.18</v>
      </c>
      <c r="K1288" t="str">
        <f>_xlfn.XLOOKUP(tblOrders[[#This Row],[ProductID]],tblProducts[ProductID],tblProducts[Supplier],"not found")</f>
        <v>Wilson-Garcia</v>
      </c>
      <c r="L1288" s="1" t="s">
        <v>2083</v>
      </c>
      <c r="M12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45000</v>
      </c>
      <c r="N1288">
        <v>2</v>
      </c>
      <c r="O1288">
        <v>398.36</v>
      </c>
      <c r="P1288">
        <f>tblOrders[[#This Row],[Quantity]]*tblOrders[[#This Row],[Unit Price]]</f>
        <v>398.36</v>
      </c>
      <c r="Q1288">
        <f>tblOrders[[#This Row],[TotalSales]]-tblOrders[[#This Row],[Calculated Sales]]</f>
        <v>0</v>
      </c>
    </row>
    <row r="1289" spans="1:17" x14ac:dyDescent="0.25">
      <c r="A1289">
        <v>1310</v>
      </c>
      <c r="B1289">
        <v>89</v>
      </c>
      <c r="C1289" t="str">
        <f>_xlfn.XLOOKUP(tblOrders[[#This Row],[CustomerID]],tblCustomers[CustomerID],tblCustomers[CustomerName],"not found")</f>
        <v>Timothy Fernandez</v>
      </c>
      <c r="D1289">
        <f>_xlfn.XLOOKUP(tblOrders[[#This Row],[CustomerID]],tblCustomers[CustomerID],tblCustomers[Age],"not found")</f>
        <v>57</v>
      </c>
      <c r="E1289" t="str">
        <f>_xlfn.XLOOKUP(tblOrders[[#This Row],[CustomerID]],tblCustomers[CustomerID],tblCustomers[Gender],"not found")</f>
        <v>Male</v>
      </c>
      <c r="F1289" t="str">
        <f>_xlfn.XLOOKUP(tblOrders[[#This Row],[CustomerID]],tblCustomers[CustomerID],tblCustomers[Region],"not found")</f>
        <v>West</v>
      </c>
      <c r="G1289">
        <v>1083</v>
      </c>
      <c r="H1289" t="str">
        <f>_xlfn.XLOOKUP(tblOrders[[#This Row],[ProductID]],tblProducts[ProductID],tblProducts[ProductName],"not found")</f>
        <v>Pressure</v>
      </c>
      <c r="I1289" t="str">
        <f>_xlfn.XLOOKUP(tblOrders[[#This Row],[ProductID]],tblProducts[ProductID],tblProducts[Category],"not found")</f>
        <v>Toys</v>
      </c>
      <c r="J1289">
        <f>_xlfn.XLOOKUP(tblOrders[[#This Row],[ProductID]],tblProducts[ProductID],tblProducts[UnitPrice],"not found")</f>
        <v>199.18</v>
      </c>
      <c r="K1289" t="str">
        <f>_xlfn.XLOOKUP(tblOrders[[#This Row],[ProductID]],tblProducts[ProductID],tblProducts[Supplier],"not found")</f>
        <v>Wilson-Garcia</v>
      </c>
      <c r="L1289" s="1">
        <v>45087</v>
      </c>
      <c r="M12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45087</v>
      </c>
      <c r="N1289">
        <v>1</v>
      </c>
      <c r="O1289">
        <v>199.18</v>
      </c>
      <c r="P1289">
        <f>tblOrders[[#This Row],[Quantity]]*tblOrders[[#This Row],[Unit Price]]</f>
        <v>199.18</v>
      </c>
      <c r="Q1289">
        <f>tblOrders[[#This Row],[TotalSales]]-tblOrders[[#This Row],[Calculated Sales]]</f>
        <v>0</v>
      </c>
    </row>
    <row r="1290" spans="1:17" x14ac:dyDescent="0.25">
      <c r="A1290">
        <v>1451</v>
      </c>
      <c r="B1290">
        <v>785</v>
      </c>
      <c r="C1290" t="str">
        <f>_xlfn.XLOOKUP(tblOrders[[#This Row],[CustomerID]],tblCustomers[CustomerID],tblCustomers[CustomerName],"not found")</f>
        <v>Joshua Leonard</v>
      </c>
      <c r="D1290">
        <f>_xlfn.XLOOKUP(tblOrders[[#This Row],[CustomerID]],tblCustomers[CustomerID],tblCustomers[Age],"not found")</f>
        <v>21</v>
      </c>
      <c r="E1290" t="str">
        <f>_xlfn.XLOOKUP(tblOrders[[#This Row],[CustomerID]],tblCustomers[CustomerID],tblCustomers[Gender],"not found")</f>
        <v>Female</v>
      </c>
      <c r="F1290" t="str">
        <f>_xlfn.XLOOKUP(tblOrders[[#This Row],[CustomerID]],tblCustomers[CustomerID],tblCustomers[Region],"not found")</f>
        <v>North</v>
      </c>
      <c r="G1290">
        <v>1083</v>
      </c>
      <c r="H1290" t="str">
        <f>_xlfn.XLOOKUP(tblOrders[[#This Row],[ProductID]],tblProducts[ProductID],tblProducts[ProductName],"not found")</f>
        <v>Pressure</v>
      </c>
      <c r="I1290" t="str">
        <f>_xlfn.XLOOKUP(tblOrders[[#This Row],[ProductID]],tblProducts[ProductID],tblProducts[Category],"not found")</f>
        <v>Toys</v>
      </c>
      <c r="J1290">
        <f>_xlfn.XLOOKUP(tblOrders[[#This Row],[ProductID]],tblProducts[ProductID],tblProducts[UnitPrice],"not found")</f>
        <v>199.18</v>
      </c>
      <c r="K1290" t="str">
        <f>_xlfn.XLOOKUP(tblOrders[[#This Row],[ProductID]],tblProducts[ProductID],tblProducts[Supplier],"not found")</f>
        <v>Wilson-Garcia</v>
      </c>
      <c r="L1290" s="1" t="s">
        <v>2229</v>
      </c>
      <c r="M12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45310</v>
      </c>
      <c r="N1290">
        <v>8</v>
      </c>
      <c r="O1290">
        <v>1593.44</v>
      </c>
      <c r="P1290">
        <f>tblOrders[[#This Row],[Quantity]]*tblOrders[[#This Row],[Unit Price]]</f>
        <v>1593.44</v>
      </c>
      <c r="Q1290">
        <f>tblOrders[[#This Row],[TotalSales]]-tblOrders[[#This Row],[Calculated Sales]]</f>
        <v>0</v>
      </c>
    </row>
    <row r="1291" spans="1:17" x14ac:dyDescent="0.25">
      <c r="A1291">
        <v>1549</v>
      </c>
      <c r="B1291">
        <v>767</v>
      </c>
      <c r="C1291" t="str">
        <f>_xlfn.XLOOKUP(tblOrders[[#This Row],[CustomerID]],tblCustomers[CustomerID],tblCustomers[CustomerName],"not found")</f>
        <v>Amy Porter</v>
      </c>
      <c r="D1291">
        <f>_xlfn.XLOOKUP(tblOrders[[#This Row],[CustomerID]],tblCustomers[CustomerID],tblCustomers[Age],"not found")</f>
        <v>51</v>
      </c>
      <c r="E1291" t="str">
        <f>_xlfn.XLOOKUP(tblOrders[[#This Row],[CustomerID]],tblCustomers[CustomerID],tblCustomers[Gender],"not found")</f>
        <v>Male</v>
      </c>
      <c r="F1291" t="str">
        <f>_xlfn.XLOOKUP(tblOrders[[#This Row],[CustomerID]],tblCustomers[CustomerID],tblCustomers[Region],"not found")</f>
        <v>North</v>
      </c>
      <c r="G1291">
        <v>1083</v>
      </c>
      <c r="H1291" t="str">
        <f>_xlfn.XLOOKUP(tblOrders[[#This Row],[ProductID]],tblProducts[ProductID],tblProducts[ProductName],"not found")</f>
        <v>Pressure</v>
      </c>
      <c r="I1291" t="str">
        <f>_xlfn.XLOOKUP(tblOrders[[#This Row],[ProductID]],tblProducts[ProductID],tblProducts[Category],"not found")</f>
        <v>Toys</v>
      </c>
      <c r="J1291">
        <f>_xlfn.XLOOKUP(tblOrders[[#This Row],[ProductID]],tblProducts[ProductID],tblProducts[UnitPrice],"not found")</f>
        <v>199.18</v>
      </c>
      <c r="K1291" t="str">
        <f>_xlfn.XLOOKUP(tblOrders[[#This Row],[ProductID]],tblProducts[ProductID],tblProducts[Supplier],"not found")</f>
        <v>Wilson-Garcia</v>
      </c>
      <c r="L1291" s="1">
        <v>45081</v>
      </c>
      <c r="M12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45081</v>
      </c>
      <c r="N1291">
        <v>4</v>
      </c>
      <c r="O1291">
        <v>796.72</v>
      </c>
      <c r="P1291">
        <f>tblOrders[[#This Row],[Quantity]]*tblOrders[[#This Row],[Unit Price]]</f>
        <v>796.72</v>
      </c>
      <c r="Q1291">
        <f>tblOrders[[#This Row],[TotalSales]]-tblOrders[[#This Row],[Calculated Sales]]</f>
        <v>0</v>
      </c>
    </row>
    <row r="1292" spans="1:17" x14ac:dyDescent="0.25">
      <c r="A1292">
        <v>1603</v>
      </c>
      <c r="B1292">
        <v>885</v>
      </c>
      <c r="C1292" t="str">
        <f>_xlfn.XLOOKUP(tblOrders[[#This Row],[CustomerID]],tblCustomers[CustomerID],tblCustomers[CustomerName],"not found")</f>
        <v>Briana Barker</v>
      </c>
      <c r="D1292">
        <f>_xlfn.XLOOKUP(tblOrders[[#This Row],[CustomerID]],tblCustomers[CustomerID],tblCustomers[Age],"not found")</f>
        <v>54</v>
      </c>
      <c r="E1292" t="str">
        <f>_xlfn.XLOOKUP(tblOrders[[#This Row],[CustomerID]],tblCustomers[CustomerID],tblCustomers[Gender],"not found")</f>
        <v>Female</v>
      </c>
      <c r="F1292" t="str">
        <f>_xlfn.XLOOKUP(tblOrders[[#This Row],[CustomerID]],tblCustomers[CustomerID],tblCustomers[Region],"not found")</f>
        <v>East</v>
      </c>
      <c r="G1292">
        <v>1083</v>
      </c>
      <c r="H1292" t="str">
        <f>_xlfn.XLOOKUP(tblOrders[[#This Row],[ProductID]],tblProducts[ProductID],tblProducts[ProductName],"not found")</f>
        <v>Pressure</v>
      </c>
      <c r="I1292" t="str">
        <f>_xlfn.XLOOKUP(tblOrders[[#This Row],[ProductID]],tblProducts[ProductID],tblProducts[Category],"not found")</f>
        <v>Toys</v>
      </c>
      <c r="J1292">
        <f>_xlfn.XLOOKUP(tblOrders[[#This Row],[ProductID]],tblProducts[ProductID],tblProducts[UnitPrice],"not found")</f>
        <v>199.18</v>
      </c>
      <c r="K1292" t="str">
        <f>_xlfn.XLOOKUP(tblOrders[[#This Row],[ProductID]],tblProducts[ProductID],tblProducts[Supplier],"not found")</f>
        <v>Wilson-Garcia</v>
      </c>
      <c r="L1292" s="1" t="s">
        <v>2289</v>
      </c>
      <c r="M12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45091</v>
      </c>
      <c r="N1292">
        <v>2</v>
      </c>
      <c r="O1292">
        <v>398.36</v>
      </c>
      <c r="P1292">
        <f>tblOrders[[#This Row],[Quantity]]*tblOrders[[#This Row],[Unit Price]]</f>
        <v>398.36</v>
      </c>
      <c r="Q1292">
        <f>tblOrders[[#This Row],[TotalSales]]-tblOrders[[#This Row],[Calculated Sales]]</f>
        <v>0</v>
      </c>
    </row>
    <row r="1293" spans="1:17" x14ac:dyDescent="0.25">
      <c r="A1293">
        <v>1746</v>
      </c>
      <c r="B1293">
        <v>485</v>
      </c>
      <c r="C1293" t="str">
        <f>_xlfn.XLOOKUP(tblOrders[[#This Row],[CustomerID]],tblCustomers[CustomerID],tblCustomers[CustomerName],"not found")</f>
        <v>Christina Stewart</v>
      </c>
      <c r="D1293">
        <f>_xlfn.XLOOKUP(tblOrders[[#This Row],[CustomerID]],tblCustomers[CustomerID],tblCustomers[Age],"not found")</f>
        <v>51</v>
      </c>
      <c r="E1293" t="str">
        <f>_xlfn.XLOOKUP(tblOrders[[#This Row],[CustomerID]],tblCustomers[CustomerID],tblCustomers[Gender],"not found")</f>
        <v>Female</v>
      </c>
      <c r="F1293" t="str">
        <f>_xlfn.XLOOKUP(tblOrders[[#This Row],[CustomerID]],tblCustomers[CustomerID],tblCustomers[Region],"not found")</f>
        <v>Central</v>
      </c>
      <c r="G1293">
        <v>1083</v>
      </c>
      <c r="H1293" t="str">
        <f>_xlfn.XLOOKUP(tblOrders[[#This Row],[ProductID]],tblProducts[ProductID],tblProducts[ProductName],"not found")</f>
        <v>Pressure</v>
      </c>
      <c r="I1293" t="str">
        <f>_xlfn.XLOOKUP(tblOrders[[#This Row],[ProductID]],tblProducts[ProductID],tblProducts[Category],"not found")</f>
        <v>Toys</v>
      </c>
      <c r="J1293">
        <f>_xlfn.XLOOKUP(tblOrders[[#This Row],[ProductID]],tblProducts[ProductID],tblProducts[UnitPrice],"not found")</f>
        <v>199.18</v>
      </c>
      <c r="K1293" t="str">
        <f>_xlfn.XLOOKUP(tblOrders[[#This Row],[ProductID]],tblProducts[ProductID],tblProducts[Supplier],"not found")</f>
        <v>Wilson-Garcia</v>
      </c>
      <c r="L1293" s="1" t="s">
        <v>2218</v>
      </c>
      <c r="M12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45098</v>
      </c>
      <c r="N1293">
        <v>4</v>
      </c>
      <c r="O1293">
        <v>796.72</v>
      </c>
      <c r="P1293">
        <f>tblOrders[[#This Row],[Quantity]]*tblOrders[[#This Row],[Unit Price]]</f>
        <v>796.72</v>
      </c>
      <c r="Q1293">
        <f>tblOrders[[#This Row],[TotalSales]]-tblOrders[[#This Row],[Calculated Sales]]</f>
        <v>0</v>
      </c>
    </row>
    <row r="1294" spans="1:17" x14ac:dyDescent="0.25">
      <c r="A1294">
        <v>89</v>
      </c>
      <c r="B1294">
        <v>518</v>
      </c>
      <c r="C1294" t="str">
        <f>_xlfn.XLOOKUP(tblOrders[[#This Row],[CustomerID]],tblCustomers[CustomerID],tblCustomers[CustomerName],"not found")</f>
        <v>Crystal Moon</v>
      </c>
      <c r="D1294">
        <f>_xlfn.XLOOKUP(tblOrders[[#This Row],[CustomerID]],tblCustomers[CustomerID],tblCustomers[Age],"not found")</f>
        <v>30</v>
      </c>
      <c r="E1294" t="str">
        <f>_xlfn.XLOOKUP(tblOrders[[#This Row],[CustomerID]],tblCustomers[CustomerID],tblCustomers[Gender],"not found")</f>
        <v>Male</v>
      </c>
      <c r="F1294" t="str">
        <f>_xlfn.XLOOKUP(tblOrders[[#This Row],[CustomerID]],tblCustomers[CustomerID],tblCustomers[Region],"not found")</f>
        <v>East</v>
      </c>
      <c r="G1294">
        <v>1042</v>
      </c>
      <c r="H1294" t="str">
        <f>_xlfn.XLOOKUP(tblOrders[[#This Row],[ProductID]],tblProducts[ProductID],tblProducts[ProductName],"not found")</f>
        <v>Mrs</v>
      </c>
      <c r="I1294" t="str">
        <f>_xlfn.XLOOKUP(tblOrders[[#This Row],[ProductID]],tblProducts[ProductID],tblProducts[Category],"not found")</f>
        <v>Furniture</v>
      </c>
      <c r="J1294">
        <f>_xlfn.XLOOKUP(tblOrders[[#This Row],[ProductID]],tblProducts[ProductID],tblProducts[UnitPrice],"not found")</f>
        <v>60.66</v>
      </c>
      <c r="K1294" t="str">
        <f>_xlfn.XLOOKUP(tblOrders[[#This Row],[ProductID]],tblProducts[ProductID],tblProducts[Supplier],"not found")</f>
        <v>Lee, Lamb and Petty</v>
      </c>
      <c r="L1294" s="1" t="s">
        <v>2273</v>
      </c>
      <c r="M12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45278</v>
      </c>
      <c r="N1294">
        <v>8</v>
      </c>
      <c r="O1294">
        <v>485.28</v>
      </c>
      <c r="P1294">
        <f>tblOrders[[#This Row],[Quantity]]*tblOrders[[#This Row],[Unit Price]]</f>
        <v>485.28</v>
      </c>
      <c r="Q1294">
        <f>tblOrders[[#This Row],[TotalSales]]-tblOrders[[#This Row],[Calculated Sales]]</f>
        <v>0</v>
      </c>
    </row>
    <row r="1295" spans="1:17" x14ac:dyDescent="0.25">
      <c r="A1295">
        <v>120</v>
      </c>
      <c r="B1295">
        <v>720</v>
      </c>
      <c r="C1295" t="str">
        <f>_xlfn.XLOOKUP(tblOrders[[#This Row],[CustomerID]],tblCustomers[CustomerID],tblCustomers[CustomerName],"not found")</f>
        <v>Cynthia Lee</v>
      </c>
      <c r="D1295">
        <f>_xlfn.XLOOKUP(tblOrders[[#This Row],[CustomerID]],tblCustomers[CustomerID],tblCustomers[Age],"not found")</f>
        <v>44</v>
      </c>
      <c r="E1295" t="str">
        <f>_xlfn.XLOOKUP(tblOrders[[#This Row],[CustomerID]],tblCustomers[CustomerID],tblCustomers[Gender],"not found")</f>
        <v>Male</v>
      </c>
      <c r="F1295" t="str">
        <f>_xlfn.XLOOKUP(tblOrders[[#This Row],[CustomerID]],tblCustomers[CustomerID],tblCustomers[Region],"not found")</f>
        <v>East</v>
      </c>
      <c r="G1295">
        <v>1042</v>
      </c>
      <c r="H1295" t="str">
        <f>_xlfn.XLOOKUP(tblOrders[[#This Row],[ProductID]],tblProducts[ProductID],tblProducts[ProductName],"not found")</f>
        <v>Mrs</v>
      </c>
      <c r="I1295" t="str">
        <f>_xlfn.XLOOKUP(tblOrders[[#This Row],[ProductID]],tblProducts[ProductID],tblProducts[Category],"not found")</f>
        <v>Furniture</v>
      </c>
      <c r="J1295">
        <f>_xlfn.XLOOKUP(tblOrders[[#This Row],[ProductID]],tblProducts[ProductID],tblProducts[UnitPrice],"not found")</f>
        <v>60.66</v>
      </c>
      <c r="K1295" t="str">
        <f>_xlfn.XLOOKUP(tblOrders[[#This Row],[ProductID]],tblProducts[ProductID],tblProducts[Supplier],"not found")</f>
        <v>Lee, Lamb and Petty</v>
      </c>
      <c r="L1295" s="1">
        <v>44960</v>
      </c>
      <c r="M12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44960</v>
      </c>
      <c r="N1295">
        <v>2</v>
      </c>
      <c r="O1295">
        <v>121.32</v>
      </c>
      <c r="P1295">
        <f>tblOrders[[#This Row],[Quantity]]*tblOrders[[#This Row],[Unit Price]]</f>
        <v>121.32</v>
      </c>
      <c r="Q1295">
        <f>tblOrders[[#This Row],[TotalSales]]-tblOrders[[#This Row],[Calculated Sales]]</f>
        <v>0</v>
      </c>
    </row>
    <row r="1296" spans="1:17" x14ac:dyDescent="0.25">
      <c r="A1296">
        <v>318</v>
      </c>
      <c r="B1296">
        <v>46</v>
      </c>
      <c r="C1296" t="str">
        <f>_xlfn.XLOOKUP(tblOrders[[#This Row],[CustomerID]],tblCustomers[CustomerID],tblCustomers[CustomerName],"not found")</f>
        <v>Mary Snyder</v>
      </c>
      <c r="D1296">
        <f>_xlfn.XLOOKUP(tblOrders[[#This Row],[CustomerID]],tblCustomers[CustomerID],tblCustomers[Age],"not found")</f>
        <v>23</v>
      </c>
      <c r="E1296" t="str">
        <f>_xlfn.XLOOKUP(tblOrders[[#This Row],[CustomerID]],tblCustomers[CustomerID],tblCustomers[Gender],"not found")</f>
        <v>Female</v>
      </c>
      <c r="F1296" t="str">
        <f>_xlfn.XLOOKUP(tblOrders[[#This Row],[CustomerID]],tblCustomers[CustomerID],tblCustomers[Region],"not found")</f>
        <v>West</v>
      </c>
      <c r="G1296">
        <v>1042</v>
      </c>
      <c r="H1296" t="str">
        <f>_xlfn.XLOOKUP(tblOrders[[#This Row],[ProductID]],tblProducts[ProductID],tblProducts[ProductName],"not found")</f>
        <v>Mrs</v>
      </c>
      <c r="I1296" t="str">
        <f>_xlfn.XLOOKUP(tblOrders[[#This Row],[ProductID]],tblProducts[ProductID],tblProducts[Category],"not found")</f>
        <v>Furniture</v>
      </c>
      <c r="J1296">
        <f>_xlfn.XLOOKUP(tblOrders[[#This Row],[ProductID]],tblProducts[ProductID],tblProducts[UnitPrice],"not found")</f>
        <v>60.66</v>
      </c>
      <c r="K1296" t="str">
        <f>_xlfn.XLOOKUP(tblOrders[[#This Row],[ProductID]],tblProducts[ProductID],tblProducts[Supplier],"not found")</f>
        <v>Lee, Lamb and Petty</v>
      </c>
      <c r="L1296" s="1">
        <v>45360</v>
      </c>
      <c r="M12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45360</v>
      </c>
      <c r="N1296">
        <v>6</v>
      </c>
      <c r="O1296">
        <v>363.96</v>
      </c>
      <c r="P1296">
        <f>tblOrders[[#This Row],[Quantity]]*tblOrders[[#This Row],[Unit Price]]</f>
        <v>363.96</v>
      </c>
      <c r="Q1296">
        <f>tblOrders[[#This Row],[TotalSales]]-tblOrders[[#This Row],[Calculated Sales]]</f>
        <v>0</v>
      </c>
    </row>
    <row r="1297" spans="1:17" x14ac:dyDescent="0.25">
      <c r="A1297">
        <v>333</v>
      </c>
      <c r="B1297">
        <v>344</v>
      </c>
      <c r="C1297" t="str">
        <f>_xlfn.XLOOKUP(tblOrders[[#This Row],[CustomerID]],tblCustomers[CustomerID],tblCustomers[CustomerName],"not found")</f>
        <v>Joseph Hernandez</v>
      </c>
      <c r="D1297">
        <f>_xlfn.XLOOKUP(tblOrders[[#This Row],[CustomerID]],tblCustomers[CustomerID],tblCustomers[Age],"not found")</f>
        <v>27</v>
      </c>
      <c r="E1297" t="str">
        <f>_xlfn.XLOOKUP(tblOrders[[#This Row],[CustomerID]],tblCustomers[CustomerID],tblCustomers[Gender],"not found")</f>
        <v>Female</v>
      </c>
      <c r="F1297" t="str">
        <f>_xlfn.XLOOKUP(tblOrders[[#This Row],[CustomerID]],tblCustomers[CustomerID],tblCustomers[Region],"not found")</f>
        <v>North</v>
      </c>
      <c r="G1297">
        <v>1042</v>
      </c>
      <c r="H1297" t="str">
        <f>_xlfn.XLOOKUP(tblOrders[[#This Row],[ProductID]],tblProducts[ProductID],tblProducts[ProductName],"not found")</f>
        <v>Mrs</v>
      </c>
      <c r="I1297" t="str">
        <f>_xlfn.XLOOKUP(tblOrders[[#This Row],[ProductID]],tblProducts[ProductID],tblProducts[Category],"not found")</f>
        <v>Furniture</v>
      </c>
      <c r="J1297">
        <f>_xlfn.XLOOKUP(tblOrders[[#This Row],[ProductID]],tblProducts[ProductID],tblProducts[UnitPrice],"not found")</f>
        <v>60.66</v>
      </c>
      <c r="K1297" t="str">
        <f>_xlfn.XLOOKUP(tblOrders[[#This Row],[ProductID]],tblProducts[ProductID],tblProducts[Supplier],"not found")</f>
        <v>Lee, Lamb and Petty</v>
      </c>
      <c r="L1297" s="1">
        <v>45084</v>
      </c>
      <c r="M12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45084</v>
      </c>
      <c r="N1297">
        <v>3</v>
      </c>
      <c r="O1297">
        <v>181.98</v>
      </c>
      <c r="P1297">
        <f>tblOrders[[#This Row],[Quantity]]*tblOrders[[#This Row],[Unit Price]]</f>
        <v>181.98</v>
      </c>
      <c r="Q1297">
        <f>tblOrders[[#This Row],[TotalSales]]-tblOrders[[#This Row],[Calculated Sales]]</f>
        <v>0</v>
      </c>
    </row>
    <row r="1298" spans="1:17" x14ac:dyDescent="0.25">
      <c r="A1298">
        <v>427</v>
      </c>
      <c r="B1298">
        <v>919</v>
      </c>
      <c r="C1298" t="str">
        <f>_xlfn.XLOOKUP(tblOrders[[#This Row],[CustomerID]],tblCustomers[CustomerID],tblCustomers[CustomerName],"not found")</f>
        <v>Gabriella Johnson</v>
      </c>
      <c r="D1298">
        <f>_xlfn.XLOOKUP(tblOrders[[#This Row],[CustomerID]],tblCustomers[CustomerID],tblCustomers[Age],"not found")</f>
        <v>25</v>
      </c>
      <c r="E1298" t="str">
        <f>_xlfn.XLOOKUP(tblOrders[[#This Row],[CustomerID]],tblCustomers[CustomerID],tblCustomers[Gender],"not found")</f>
        <v>Male</v>
      </c>
      <c r="F1298" t="str">
        <f>_xlfn.XLOOKUP(tblOrders[[#This Row],[CustomerID]],tblCustomers[CustomerID],tblCustomers[Region],"not found")</f>
        <v>West</v>
      </c>
      <c r="G1298">
        <v>1042</v>
      </c>
      <c r="H1298" t="str">
        <f>_xlfn.XLOOKUP(tblOrders[[#This Row],[ProductID]],tblProducts[ProductID],tblProducts[ProductName],"not found")</f>
        <v>Mrs</v>
      </c>
      <c r="I1298" t="str">
        <f>_xlfn.XLOOKUP(tblOrders[[#This Row],[ProductID]],tblProducts[ProductID],tblProducts[Category],"not found")</f>
        <v>Furniture</v>
      </c>
      <c r="J1298">
        <f>_xlfn.XLOOKUP(tblOrders[[#This Row],[ProductID]],tblProducts[ProductID],tblProducts[UnitPrice],"not found")</f>
        <v>60.66</v>
      </c>
      <c r="K1298" t="str">
        <f>_xlfn.XLOOKUP(tblOrders[[#This Row],[ProductID]],tblProducts[ProductID],tblProducts[Supplier],"not found")</f>
        <v>Lee, Lamb and Petty</v>
      </c>
      <c r="L1298" s="1" t="s">
        <v>2354</v>
      </c>
      <c r="M12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45090</v>
      </c>
      <c r="N1298">
        <v>4</v>
      </c>
      <c r="O1298">
        <v>242.64</v>
      </c>
      <c r="P1298">
        <f>tblOrders[[#This Row],[Quantity]]*tblOrders[[#This Row],[Unit Price]]</f>
        <v>242.64</v>
      </c>
      <c r="Q1298">
        <f>tblOrders[[#This Row],[TotalSales]]-tblOrders[[#This Row],[Calculated Sales]]</f>
        <v>0</v>
      </c>
    </row>
    <row r="1299" spans="1:17" x14ac:dyDescent="0.25">
      <c r="A1299">
        <v>850</v>
      </c>
      <c r="B1299">
        <v>477</v>
      </c>
      <c r="C1299" t="str">
        <f>_xlfn.XLOOKUP(tblOrders[[#This Row],[CustomerID]],tblCustomers[CustomerID],tblCustomers[CustomerName],"not found")</f>
        <v>Ryan Mckay</v>
      </c>
      <c r="D1299">
        <f>_xlfn.XLOOKUP(tblOrders[[#This Row],[CustomerID]],tblCustomers[CustomerID],tblCustomers[Age],"not found")</f>
        <v>29</v>
      </c>
      <c r="E1299" t="str">
        <f>_xlfn.XLOOKUP(tblOrders[[#This Row],[CustomerID]],tblCustomers[CustomerID],tblCustomers[Gender],"not found")</f>
        <v>Male</v>
      </c>
      <c r="F1299" t="str">
        <f>_xlfn.XLOOKUP(tblOrders[[#This Row],[CustomerID]],tblCustomers[CustomerID],tblCustomers[Region],"not found")</f>
        <v>South</v>
      </c>
      <c r="G1299">
        <v>1042</v>
      </c>
      <c r="H1299" t="str">
        <f>_xlfn.XLOOKUP(tblOrders[[#This Row],[ProductID]],tblProducts[ProductID],tblProducts[ProductName],"not found")</f>
        <v>Mrs</v>
      </c>
      <c r="I1299" t="str">
        <f>_xlfn.XLOOKUP(tblOrders[[#This Row],[ProductID]],tblProducts[ProductID],tblProducts[Category],"not found")</f>
        <v>Furniture</v>
      </c>
      <c r="J1299">
        <f>_xlfn.XLOOKUP(tblOrders[[#This Row],[ProductID]],tblProducts[ProductID],tblProducts[UnitPrice],"not found")</f>
        <v>60.66</v>
      </c>
      <c r="K1299" t="str">
        <f>_xlfn.XLOOKUP(tblOrders[[#This Row],[ProductID]],tblProducts[ProductID],tblProducts[Supplier],"not found")</f>
        <v>Lee, Lamb and Petty</v>
      </c>
      <c r="L1299" s="1">
        <v>45449</v>
      </c>
      <c r="M12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45449</v>
      </c>
      <c r="N1299">
        <v>7</v>
      </c>
      <c r="O1299">
        <v>424.62</v>
      </c>
      <c r="P1299">
        <f>tblOrders[[#This Row],[Quantity]]*tblOrders[[#This Row],[Unit Price]]</f>
        <v>424.62</v>
      </c>
      <c r="Q1299">
        <f>tblOrders[[#This Row],[TotalSales]]-tblOrders[[#This Row],[Calculated Sales]]</f>
        <v>0</v>
      </c>
    </row>
    <row r="1300" spans="1:17" x14ac:dyDescent="0.25">
      <c r="A1300">
        <v>905</v>
      </c>
      <c r="B1300">
        <v>442</v>
      </c>
      <c r="C1300" t="str">
        <f>_xlfn.XLOOKUP(tblOrders[[#This Row],[CustomerID]],tblCustomers[CustomerID],tblCustomers[CustomerName],"not found")</f>
        <v>Jessica Garcia</v>
      </c>
      <c r="D1300">
        <f>_xlfn.XLOOKUP(tblOrders[[#This Row],[CustomerID]],tblCustomers[CustomerID],tblCustomers[Age],"not found")</f>
        <v>37</v>
      </c>
      <c r="E1300" t="str">
        <f>_xlfn.XLOOKUP(tblOrders[[#This Row],[CustomerID]],tblCustomers[CustomerID],tblCustomers[Gender],"not found")</f>
        <v>Female</v>
      </c>
      <c r="F1300" t="str">
        <f>_xlfn.XLOOKUP(tblOrders[[#This Row],[CustomerID]],tblCustomers[CustomerID],tblCustomers[Region],"not found")</f>
        <v>West</v>
      </c>
      <c r="G1300">
        <v>1042</v>
      </c>
      <c r="H1300" t="str">
        <f>_xlfn.XLOOKUP(tblOrders[[#This Row],[ProductID]],tblProducts[ProductID],tblProducts[ProductName],"not found")</f>
        <v>Mrs</v>
      </c>
      <c r="I1300" t="str">
        <f>_xlfn.XLOOKUP(tblOrders[[#This Row],[ProductID]],tblProducts[ProductID],tblProducts[Category],"not found")</f>
        <v>Furniture</v>
      </c>
      <c r="J1300">
        <f>_xlfn.XLOOKUP(tblOrders[[#This Row],[ProductID]],tblProducts[ProductID],tblProducts[UnitPrice],"not found")</f>
        <v>60.66</v>
      </c>
      <c r="K1300" t="str">
        <f>_xlfn.XLOOKUP(tblOrders[[#This Row],[ProductID]],tblProducts[ProductID],tblProducts[Supplier],"not found")</f>
        <v>Lee, Lamb and Petty</v>
      </c>
      <c r="L1300" s="1">
        <v>44928</v>
      </c>
      <c r="M13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44928</v>
      </c>
      <c r="N1300">
        <v>7</v>
      </c>
      <c r="O1300">
        <v>424.62</v>
      </c>
      <c r="P1300">
        <f>tblOrders[[#This Row],[Quantity]]*tblOrders[[#This Row],[Unit Price]]</f>
        <v>424.62</v>
      </c>
      <c r="Q1300">
        <f>tblOrders[[#This Row],[TotalSales]]-tblOrders[[#This Row],[Calculated Sales]]</f>
        <v>0</v>
      </c>
    </row>
    <row r="1301" spans="1:17" x14ac:dyDescent="0.25">
      <c r="A1301">
        <v>1107</v>
      </c>
      <c r="B1301">
        <v>82</v>
      </c>
      <c r="C1301" t="str">
        <f>_xlfn.XLOOKUP(tblOrders[[#This Row],[CustomerID]],tblCustomers[CustomerID],tblCustomers[CustomerName],"not found")</f>
        <v>Steven Stephens</v>
      </c>
      <c r="D1301">
        <f>_xlfn.XLOOKUP(tblOrders[[#This Row],[CustomerID]],tblCustomers[CustomerID],tblCustomers[Age],"not found")</f>
        <v>68</v>
      </c>
      <c r="E1301" t="str">
        <f>_xlfn.XLOOKUP(tblOrders[[#This Row],[CustomerID]],tblCustomers[CustomerID],tblCustomers[Gender],"not found")</f>
        <v>Female</v>
      </c>
      <c r="F1301" t="str">
        <f>_xlfn.XLOOKUP(tblOrders[[#This Row],[CustomerID]],tblCustomers[CustomerID],tblCustomers[Region],"not found")</f>
        <v>Central</v>
      </c>
      <c r="G1301">
        <v>1042</v>
      </c>
      <c r="H1301" t="str">
        <f>_xlfn.XLOOKUP(tblOrders[[#This Row],[ProductID]],tblProducts[ProductID],tblProducts[ProductName],"not found")</f>
        <v>Mrs</v>
      </c>
      <c r="I1301" t="str">
        <f>_xlfn.XLOOKUP(tblOrders[[#This Row],[ProductID]],tblProducts[ProductID],tblProducts[Category],"not found")</f>
        <v>Furniture</v>
      </c>
      <c r="J1301">
        <f>_xlfn.XLOOKUP(tblOrders[[#This Row],[ProductID]],tblProducts[ProductID],tblProducts[UnitPrice],"not found")</f>
        <v>60.66</v>
      </c>
      <c r="K1301" t="str">
        <f>_xlfn.XLOOKUP(tblOrders[[#This Row],[ProductID]],tblProducts[ProductID],tblProducts[Supplier],"not found")</f>
        <v>Lee, Lamb and Petty</v>
      </c>
      <c r="L1301" s="1" t="s">
        <v>2313</v>
      </c>
      <c r="M13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45494</v>
      </c>
      <c r="N1301">
        <v>3</v>
      </c>
      <c r="O1301">
        <v>181.98</v>
      </c>
      <c r="P1301">
        <f>tblOrders[[#This Row],[Quantity]]*tblOrders[[#This Row],[Unit Price]]</f>
        <v>181.98</v>
      </c>
      <c r="Q1301">
        <f>tblOrders[[#This Row],[TotalSales]]-tblOrders[[#This Row],[Calculated Sales]]</f>
        <v>0</v>
      </c>
    </row>
    <row r="1302" spans="1:17" x14ac:dyDescent="0.25">
      <c r="A1302">
        <v>1297</v>
      </c>
      <c r="B1302">
        <v>922</v>
      </c>
      <c r="C1302" t="str">
        <f>_xlfn.XLOOKUP(tblOrders[[#This Row],[CustomerID]],tblCustomers[CustomerID],tblCustomers[CustomerName],"not found")</f>
        <v>Oscar Garcia</v>
      </c>
      <c r="D1302">
        <f>_xlfn.XLOOKUP(tblOrders[[#This Row],[CustomerID]],tblCustomers[CustomerID],tblCustomers[Age],"not found")</f>
        <v>26</v>
      </c>
      <c r="E1302" t="str">
        <f>_xlfn.XLOOKUP(tblOrders[[#This Row],[CustomerID]],tblCustomers[CustomerID],tblCustomers[Gender],"not found")</f>
        <v>Female</v>
      </c>
      <c r="F1302" t="str">
        <f>_xlfn.XLOOKUP(tblOrders[[#This Row],[CustomerID]],tblCustomers[CustomerID],tblCustomers[Region],"not found")</f>
        <v>East</v>
      </c>
      <c r="G1302">
        <v>1042</v>
      </c>
      <c r="H1302" t="str">
        <f>_xlfn.XLOOKUP(tblOrders[[#This Row],[ProductID]],tblProducts[ProductID],tblProducts[ProductName],"not found")</f>
        <v>Mrs</v>
      </c>
      <c r="I1302" t="str">
        <f>_xlfn.XLOOKUP(tblOrders[[#This Row],[ProductID]],tblProducts[ProductID],tblProducts[Category],"not found")</f>
        <v>Furniture</v>
      </c>
      <c r="J1302">
        <f>_xlfn.XLOOKUP(tblOrders[[#This Row],[ProductID]],tblProducts[ProductID],tblProducts[UnitPrice],"not found")</f>
        <v>60.66</v>
      </c>
      <c r="K1302" t="str">
        <f>_xlfn.XLOOKUP(tblOrders[[#This Row],[ProductID]],tblProducts[ProductID],tblProducts[Supplier],"not found")</f>
        <v>Lee, Lamb and Petty</v>
      </c>
      <c r="L1302" s="1" t="s">
        <v>2378</v>
      </c>
      <c r="M13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45246</v>
      </c>
      <c r="N1302">
        <v>3</v>
      </c>
      <c r="O1302">
        <v>181.98</v>
      </c>
      <c r="P1302">
        <f>tblOrders[[#This Row],[Quantity]]*tblOrders[[#This Row],[Unit Price]]</f>
        <v>181.98</v>
      </c>
      <c r="Q1302">
        <f>tblOrders[[#This Row],[TotalSales]]-tblOrders[[#This Row],[Calculated Sales]]</f>
        <v>0</v>
      </c>
    </row>
    <row r="1303" spans="1:17" x14ac:dyDescent="0.25">
      <c r="A1303">
        <v>1319</v>
      </c>
      <c r="B1303">
        <v>917</v>
      </c>
      <c r="C1303" t="str">
        <f>_xlfn.XLOOKUP(tblOrders[[#This Row],[CustomerID]],tblCustomers[CustomerID],tblCustomers[CustomerName],"not found")</f>
        <v>Nancy Welch</v>
      </c>
      <c r="D1303">
        <f>_xlfn.XLOOKUP(tblOrders[[#This Row],[CustomerID]],tblCustomers[CustomerID],tblCustomers[Age],"not found")</f>
        <v>34</v>
      </c>
      <c r="E1303" t="str">
        <f>_xlfn.XLOOKUP(tblOrders[[#This Row],[CustomerID]],tblCustomers[CustomerID],tblCustomers[Gender],"not found")</f>
        <v>Female</v>
      </c>
      <c r="F1303" t="str">
        <f>_xlfn.XLOOKUP(tblOrders[[#This Row],[CustomerID]],tblCustomers[CustomerID],tblCustomers[Region],"not found")</f>
        <v>Central</v>
      </c>
      <c r="G1303">
        <v>1042</v>
      </c>
      <c r="H1303" t="str">
        <f>_xlfn.XLOOKUP(tblOrders[[#This Row],[ProductID]],tblProducts[ProductID],tblProducts[ProductName],"not found")</f>
        <v>Mrs</v>
      </c>
      <c r="I1303" t="str">
        <f>_xlfn.XLOOKUP(tblOrders[[#This Row],[ProductID]],tblProducts[ProductID],tblProducts[Category],"not found")</f>
        <v>Furniture</v>
      </c>
      <c r="J1303">
        <f>_xlfn.XLOOKUP(tblOrders[[#This Row],[ProductID]],tblProducts[ProductID],tblProducts[UnitPrice],"not found")</f>
        <v>60.66</v>
      </c>
      <c r="K1303" t="str">
        <f>_xlfn.XLOOKUP(tblOrders[[#This Row],[ProductID]],tblProducts[ProductID],tblProducts[Supplier],"not found")</f>
        <v>Lee, Lamb and Petty</v>
      </c>
      <c r="L1303" s="1" t="s">
        <v>2343</v>
      </c>
      <c r="M13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44957</v>
      </c>
      <c r="N1303">
        <v>7</v>
      </c>
      <c r="O1303">
        <v>424.62</v>
      </c>
      <c r="P1303">
        <f>tblOrders[[#This Row],[Quantity]]*tblOrders[[#This Row],[Unit Price]]</f>
        <v>424.62</v>
      </c>
      <c r="Q1303">
        <f>tblOrders[[#This Row],[TotalSales]]-tblOrders[[#This Row],[Calculated Sales]]</f>
        <v>0</v>
      </c>
    </row>
    <row r="1304" spans="1:17" x14ac:dyDescent="0.25">
      <c r="A1304">
        <v>1387</v>
      </c>
      <c r="B1304">
        <v>918</v>
      </c>
      <c r="C1304" t="str">
        <f>_xlfn.XLOOKUP(tblOrders[[#This Row],[CustomerID]],tblCustomers[CustomerID],tblCustomers[CustomerName],"not found")</f>
        <v>Erin Robinson</v>
      </c>
      <c r="D1304">
        <f>_xlfn.XLOOKUP(tblOrders[[#This Row],[CustomerID]],tblCustomers[CustomerID],tblCustomers[Age],"not found")</f>
        <v>67</v>
      </c>
      <c r="E1304" t="str">
        <f>_xlfn.XLOOKUP(tblOrders[[#This Row],[CustomerID]],tblCustomers[CustomerID],tblCustomers[Gender],"not found")</f>
        <v>Male</v>
      </c>
      <c r="F1304" t="str">
        <f>_xlfn.XLOOKUP(tblOrders[[#This Row],[CustomerID]],tblCustomers[CustomerID],tblCustomers[Region],"not found")</f>
        <v>South</v>
      </c>
      <c r="G1304">
        <v>1042</v>
      </c>
      <c r="H1304" t="str">
        <f>_xlfn.XLOOKUP(tblOrders[[#This Row],[ProductID]],tblProducts[ProductID],tblProducts[ProductName],"not found")</f>
        <v>Mrs</v>
      </c>
      <c r="I1304" t="str">
        <f>_xlfn.XLOOKUP(tblOrders[[#This Row],[ProductID]],tblProducts[ProductID],tblProducts[Category],"not found")</f>
        <v>Furniture</v>
      </c>
      <c r="J1304">
        <f>_xlfn.XLOOKUP(tblOrders[[#This Row],[ProductID]],tblProducts[ProductID],tblProducts[UnitPrice],"not found")</f>
        <v>60.66</v>
      </c>
      <c r="K1304" t="str">
        <f>_xlfn.XLOOKUP(tblOrders[[#This Row],[ProductID]],tblProducts[ProductID],tblProducts[Supplier],"not found")</f>
        <v>Lee, Lamb and Petty</v>
      </c>
      <c r="L1304" s="1">
        <v>45416</v>
      </c>
      <c r="M13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45416</v>
      </c>
      <c r="N1304">
        <v>9</v>
      </c>
      <c r="O1304">
        <v>545.94000000000005</v>
      </c>
      <c r="P1304">
        <f>tblOrders[[#This Row],[Quantity]]*tblOrders[[#This Row],[Unit Price]]</f>
        <v>545.93999999999994</v>
      </c>
      <c r="Q1304">
        <f>tblOrders[[#This Row],[TotalSales]]-tblOrders[[#This Row],[Calculated Sales]]</f>
        <v>0</v>
      </c>
    </row>
    <row r="1305" spans="1:17" x14ac:dyDescent="0.25">
      <c r="A1305">
        <v>1400</v>
      </c>
      <c r="B1305">
        <v>686</v>
      </c>
      <c r="C1305" t="str">
        <f>_xlfn.XLOOKUP(tblOrders[[#This Row],[CustomerID]],tblCustomers[CustomerID],tblCustomers[CustomerName],"not found")</f>
        <v>Albert Gutierrez</v>
      </c>
      <c r="D1305">
        <f>_xlfn.XLOOKUP(tblOrders[[#This Row],[CustomerID]],tblCustomers[CustomerID],tblCustomers[Age],"not found")</f>
        <v>50</v>
      </c>
      <c r="E1305" t="str">
        <f>_xlfn.XLOOKUP(tblOrders[[#This Row],[CustomerID]],tblCustomers[CustomerID],tblCustomers[Gender],"not found")</f>
        <v>Female</v>
      </c>
      <c r="F1305" t="str">
        <f>_xlfn.XLOOKUP(tblOrders[[#This Row],[CustomerID]],tblCustomers[CustomerID],tblCustomers[Region],"not found")</f>
        <v>Central</v>
      </c>
      <c r="G1305">
        <v>1042</v>
      </c>
      <c r="H1305" t="str">
        <f>_xlfn.XLOOKUP(tblOrders[[#This Row],[ProductID]],tblProducts[ProductID],tblProducts[ProductName],"not found")</f>
        <v>Mrs</v>
      </c>
      <c r="I1305" t="str">
        <f>_xlfn.XLOOKUP(tblOrders[[#This Row],[ProductID]],tblProducts[ProductID],tblProducts[Category],"not found")</f>
        <v>Furniture</v>
      </c>
      <c r="J1305">
        <f>_xlfn.XLOOKUP(tblOrders[[#This Row],[ProductID]],tblProducts[ProductID],tblProducts[UnitPrice],"not found")</f>
        <v>60.66</v>
      </c>
      <c r="K1305" t="str">
        <f>_xlfn.XLOOKUP(tblOrders[[#This Row],[ProductID]],tblProducts[ProductID],tblProducts[Supplier],"not found")</f>
        <v>Lee, Lamb and Petty</v>
      </c>
      <c r="L1305" s="1" t="s">
        <v>2087</v>
      </c>
      <c r="M13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45100</v>
      </c>
      <c r="N1305">
        <v>9</v>
      </c>
      <c r="O1305">
        <v>545.94000000000005</v>
      </c>
      <c r="P1305">
        <f>tblOrders[[#This Row],[Quantity]]*tblOrders[[#This Row],[Unit Price]]</f>
        <v>545.93999999999994</v>
      </c>
      <c r="Q1305">
        <f>tblOrders[[#This Row],[TotalSales]]-tblOrders[[#This Row],[Calculated Sales]]</f>
        <v>0</v>
      </c>
    </row>
    <row r="1306" spans="1:17" x14ac:dyDescent="0.25">
      <c r="A1306">
        <v>1525</v>
      </c>
      <c r="B1306">
        <v>297</v>
      </c>
      <c r="C1306" t="str">
        <f>_xlfn.XLOOKUP(tblOrders[[#This Row],[CustomerID]],tblCustomers[CustomerID],tblCustomers[CustomerName],"not found")</f>
        <v>Lauren Le</v>
      </c>
      <c r="D1306">
        <f>_xlfn.XLOOKUP(tblOrders[[#This Row],[CustomerID]],tblCustomers[CustomerID],tblCustomers[Age],"not found")</f>
        <v>27</v>
      </c>
      <c r="E1306" t="str">
        <f>_xlfn.XLOOKUP(tblOrders[[#This Row],[CustomerID]],tblCustomers[CustomerID],tblCustomers[Gender],"not found")</f>
        <v>Female</v>
      </c>
      <c r="F1306" t="str">
        <f>_xlfn.XLOOKUP(tblOrders[[#This Row],[CustomerID]],tblCustomers[CustomerID],tblCustomers[Region],"not found")</f>
        <v>South</v>
      </c>
      <c r="G1306">
        <v>1042</v>
      </c>
      <c r="H1306" t="str">
        <f>_xlfn.XLOOKUP(tblOrders[[#This Row],[ProductID]],tblProducts[ProductID],tblProducts[ProductName],"not found")</f>
        <v>Mrs</v>
      </c>
      <c r="I1306" t="str">
        <f>_xlfn.XLOOKUP(tblOrders[[#This Row],[ProductID]],tblProducts[ProductID],tblProducts[Category],"not found")</f>
        <v>Furniture</v>
      </c>
      <c r="J1306">
        <f>_xlfn.XLOOKUP(tblOrders[[#This Row],[ProductID]],tblProducts[ProductID],tblProducts[UnitPrice],"not found")</f>
        <v>60.66</v>
      </c>
      <c r="K1306" t="str">
        <f>_xlfn.XLOOKUP(tblOrders[[#This Row],[ProductID]],tblProducts[ProductID],tblProducts[Supplier],"not found")</f>
        <v>Lee, Lamb and Petty</v>
      </c>
      <c r="L1306" s="1" t="s">
        <v>2277</v>
      </c>
      <c r="M13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45230</v>
      </c>
      <c r="N1306">
        <v>6</v>
      </c>
      <c r="O1306">
        <v>363.96</v>
      </c>
      <c r="P1306">
        <f>tblOrders[[#This Row],[Quantity]]*tblOrders[[#This Row],[Unit Price]]</f>
        <v>363.96</v>
      </c>
      <c r="Q1306">
        <f>tblOrders[[#This Row],[TotalSales]]-tblOrders[[#This Row],[Calculated Sales]]</f>
        <v>0</v>
      </c>
    </row>
    <row r="1307" spans="1:17" x14ac:dyDescent="0.25">
      <c r="A1307">
        <v>1595</v>
      </c>
      <c r="B1307">
        <v>603</v>
      </c>
      <c r="C1307" t="str">
        <f>_xlfn.XLOOKUP(tblOrders[[#This Row],[CustomerID]],tblCustomers[CustomerID],tblCustomers[CustomerName],"not found")</f>
        <v>Robert Fuller</v>
      </c>
      <c r="D1307">
        <f>_xlfn.XLOOKUP(tblOrders[[#This Row],[CustomerID]],tblCustomers[CustomerID],tblCustomers[Age],"not found")</f>
        <v>26</v>
      </c>
      <c r="E1307" t="str">
        <f>_xlfn.XLOOKUP(tblOrders[[#This Row],[CustomerID]],tblCustomers[CustomerID],tblCustomers[Gender],"not found")</f>
        <v>Female</v>
      </c>
      <c r="F1307" t="str">
        <f>_xlfn.XLOOKUP(tblOrders[[#This Row],[CustomerID]],tblCustomers[CustomerID],tblCustomers[Region],"not found")</f>
        <v>Central</v>
      </c>
      <c r="G1307">
        <v>1042</v>
      </c>
      <c r="H1307" t="str">
        <f>_xlfn.XLOOKUP(tblOrders[[#This Row],[ProductID]],tblProducts[ProductID],tblProducts[ProductName],"not found")</f>
        <v>Mrs</v>
      </c>
      <c r="I1307" t="str">
        <f>_xlfn.XLOOKUP(tblOrders[[#This Row],[ProductID]],tblProducts[ProductID],tblProducts[Category],"not found")</f>
        <v>Furniture</v>
      </c>
      <c r="J1307">
        <f>_xlfn.XLOOKUP(tblOrders[[#This Row],[ProductID]],tblProducts[ProductID],tblProducts[UnitPrice],"not found")</f>
        <v>60.66</v>
      </c>
      <c r="K1307" t="str">
        <f>_xlfn.XLOOKUP(tblOrders[[#This Row],[ProductID]],tblProducts[ProductID],tblProducts[Supplier],"not found")</f>
        <v>Lee, Lamb and Petty</v>
      </c>
      <c r="L1307" s="1">
        <v>45566</v>
      </c>
      <c r="M13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45566</v>
      </c>
      <c r="N1307">
        <v>8</v>
      </c>
      <c r="O1307">
        <v>485.28</v>
      </c>
      <c r="P1307">
        <f>tblOrders[[#This Row],[Quantity]]*tblOrders[[#This Row],[Unit Price]]</f>
        <v>485.28</v>
      </c>
      <c r="Q1307">
        <f>tblOrders[[#This Row],[TotalSales]]-tblOrders[[#This Row],[Calculated Sales]]</f>
        <v>0</v>
      </c>
    </row>
    <row r="1308" spans="1:17" x14ac:dyDescent="0.25">
      <c r="A1308">
        <v>1625</v>
      </c>
      <c r="B1308">
        <v>832</v>
      </c>
      <c r="C1308" t="str">
        <f>_xlfn.XLOOKUP(tblOrders[[#This Row],[CustomerID]],tblCustomers[CustomerID],tblCustomers[CustomerName],"not found")</f>
        <v>Meghan Hardin</v>
      </c>
      <c r="D1308">
        <f>_xlfn.XLOOKUP(tblOrders[[#This Row],[CustomerID]],tblCustomers[CustomerID],tblCustomers[Age],"not found")</f>
        <v>32</v>
      </c>
      <c r="E1308" t="str">
        <f>_xlfn.XLOOKUP(tblOrders[[#This Row],[CustomerID]],tblCustomers[CustomerID],tblCustomers[Gender],"not found")</f>
        <v>Female</v>
      </c>
      <c r="F1308" t="str">
        <f>_xlfn.XLOOKUP(tblOrders[[#This Row],[CustomerID]],tblCustomers[CustomerID],tblCustomers[Region],"not found")</f>
        <v>North</v>
      </c>
      <c r="G1308">
        <v>1042</v>
      </c>
      <c r="H1308" t="str">
        <f>_xlfn.XLOOKUP(tblOrders[[#This Row],[ProductID]],tblProducts[ProductID],tblProducts[ProductName],"not found")</f>
        <v>Mrs</v>
      </c>
      <c r="I1308" t="str">
        <f>_xlfn.XLOOKUP(tblOrders[[#This Row],[ProductID]],tblProducts[ProductID],tblProducts[Category],"not found")</f>
        <v>Furniture</v>
      </c>
      <c r="J1308">
        <f>_xlfn.XLOOKUP(tblOrders[[#This Row],[ProductID]],tblProducts[ProductID],tblProducts[UnitPrice],"not found")</f>
        <v>60.66</v>
      </c>
      <c r="K1308" t="str">
        <f>_xlfn.XLOOKUP(tblOrders[[#This Row],[ProductID]],tblProducts[ProductID],tblProducts[Supplier],"not found")</f>
        <v>Lee, Lamb and Petty</v>
      </c>
      <c r="L1308" s="1" t="s">
        <v>2379</v>
      </c>
      <c r="M13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45134</v>
      </c>
      <c r="N1308">
        <v>7</v>
      </c>
      <c r="O1308">
        <v>424.62</v>
      </c>
      <c r="P1308">
        <f>tblOrders[[#This Row],[Quantity]]*tblOrders[[#This Row],[Unit Price]]</f>
        <v>424.62</v>
      </c>
      <c r="Q1308">
        <f>tblOrders[[#This Row],[TotalSales]]-tblOrders[[#This Row],[Calculated Sales]]</f>
        <v>0</v>
      </c>
    </row>
    <row r="1309" spans="1:17" x14ac:dyDescent="0.25">
      <c r="A1309">
        <v>1637</v>
      </c>
      <c r="B1309">
        <v>643</v>
      </c>
      <c r="C1309" t="str">
        <f>_xlfn.XLOOKUP(tblOrders[[#This Row],[CustomerID]],tblCustomers[CustomerID],tblCustomers[CustomerName],"not found")</f>
        <v>Chelsea Rogers</v>
      </c>
      <c r="D1309">
        <f>_xlfn.XLOOKUP(tblOrders[[#This Row],[CustomerID]],tblCustomers[CustomerID],tblCustomers[Age],"not found")</f>
        <v>35</v>
      </c>
      <c r="E1309" t="str">
        <f>_xlfn.XLOOKUP(tblOrders[[#This Row],[CustomerID]],tblCustomers[CustomerID],tblCustomers[Gender],"not found")</f>
        <v>Female</v>
      </c>
      <c r="F1309" t="str">
        <f>_xlfn.XLOOKUP(tblOrders[[#This Row],[CustomerID]],tblCustomers[CustomerID],tblCustomers[Region],"not found")</f>
        <v>South</v>
      </c>
      <c r="G1309">
        <v>1042</v>
      </c>
      <c r="H1309" t="str">
        <f>_xlfn.XLOOKUP(tblOrders[[#This Row],[ProductID]],tblProducts[ProductID],tblProducts[ProductName],"not found")</f>
        <v>Mrs</v>
      </c>
      <c r="I1309" t="str">
        <f>_xlfn.XLOOKUP(tblOrders[[#This Row],[ProductID]],tblProducts[ProductID],tblProducts[Category],"not found")</f>
        <v>Furniture</v>
      </c>
      <c r="J1309">
        <f>_xlfn.XLOOKUP(tblOrders[[#This Row],[ProductID]],tblProducts[ProductID],tblProducts[UnitPrice],"not found")</f>
        <v>60.66</v>
      </c>
      <c r="K1309" t="str">
        <f>_xlfn.XLOOKUP(tblOrders[[#This Row],[ProductID]],tblProducts[ProductID],tblProducts[Supplier],"not found")</f>
        <v>Lee, Lamb and Petty</v>
      </c>
      <c r="L1309" s="1">
        <v>44877</v>
      </c>
      <c r="M13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44877</v>
      </c>
      <c r="N1309">
        <v>1</v>
      </c>
      <c r="O1309">
        <v>60.66</v>
      </c>
      <c r="P1309">
        <f>tblOrders[[#This Row],[Quantity]]*tblOrders[[#This Row],[Unit Price]]</f>
        <v>60.66</v>
      </c>
      <c r="Q1309">
        <f>tblOrders[[#This Row],[TotalSales]]-tblOrders[[#This Row],[Calculated Sales]]</f>
        <v>0</v>
      </c>
    </row>
    <row r="1310" spans="1:17" x14ac:dyDescent="0.25">
      <c r="A1310">
        <v>1651</v>
      </c>
      <c r="B1310">
        <v>408</v>
      </c>
      <c r="C1310" t="str">
        <f>_xlfn.XLOOKUP(tblOrders[[#This Row],[CustomerID]],tblCustomers[CustomerID],tblCustomers[CustomerName],"not found")</f>
        <v>Alan Parks</v>
      </c>
      <c r="D1310">
        <f>_xlfn.XLOOKUP(tblOrders[[#This Row],[CustomerID]],tblCustomers[CustomerID],tblCustomers[Age],"not found")</f>
        <v>66</v>
      </c>
      <c r="E1310" t="str">
        <f>_xlfn.XLOOKUP(tblOrders[[#This Row],[CustomerID]],tblCustomers[CustomerID],tblCustomers[Gender],"not found")</f>
        <v>Female</v>
      </c>
      <c r="F1310" t="str">
        <f>_xlfn.XLOOKUP(tblOrders[[#This Row],[CustomerID]],tblCustomers[CustomerID],tblCustomers[Region],"not found")</f>
        <v>Central</v>
      </c>
      <c r="G1310">
        <v>1042</v>
      </c>
      <c r="H1310" t="str">
        <f>_xlfn.XLOOKUP(tblOrders[[#This Row],[ProductID]],tblProducts[ProductID],tblProducts[ProductName],"not found")</f>
        <v>Mrs</v>
      </c>
      <c r="I1310" t="str">
        <f>_xlfn.XLOOKUP(tblOrders[[#This Row],[ProductID]],tblProducts[ProductID],tblProducts[Category],"not found")</f>
        <v>Furniture</v>
      </c>
      <c r="J1310">
        <f>_xlfn.XLOOKUP(tblOrders[[#This Row],[ProductID]],tblProducts[ProductID],tblProducts[UnitPrice],"not found")</f>
        <v>60.66</v>
      </c>
      <c r="K1310" t="str">
        <f>_xlfn.XLOOKUP(tblOrders[[#This Row],[ProductID]],tblProducts[ProductID],tblProducts[Supplier],"not found")</f>
        <v>Lee, Lamb and Petty</v>
      </c>
      <c r="L1310" s="1">
        <v>45602</v>
      </c>
      <c r="M13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45602</v>
      </c>
      <c r="N1310">
        <v>7</v>
      </c>
      <c r="O1310">
        <v>424.62</v>
      </c>
      <c r="P1310">
        <f>tblOrders[[#This Row],[Quantity]]*tblOrders[[#This Row],[Unit Price]]</f>
        <v>424.62</v>
      </c>
      <c r="Q1310">
        <f>tblOrders[[#This Row],[TotalSales]]-tblOrders[[#This Row],[Calculated Sales]]</f>
        <v>0</v>
      </c>
    </row>
    <row r="1311" spans="1:17" x14ac:dyDescent="0.25">
      <c r="A1311">
        <v>1750</v>
      </c>
      <c r="B1311">
        <v>430</v>
      </c>
      <c r="C1311" t="str">
        <f>_xlfn.XLOOKUP(tblOrders[[#This Row],[CustomerID]],tblCustomers[CustomerID],tblCustomers[CustomerName],"not found")</f>
        <v>Emily Frazier</v>
      </c>
      <c r="D1311">
        <f>_xlfn.XLOOKUP(tblOrders[[#This Row],[CustomerID]],tblCustomers[CustomerID],tblCustomers[Age],"not found")</f>
        <v>51</v>
      </c>
      <c r="E1311" t="str">
        <f>_xlfn.XLOOKUP(tblOrders[[#This Row],[CustomerID]],tblCustomers[CustomerID],tblCustomers[Gender],"not found")</f>
        <v>Male</v>
      </c>
      <c r="F1311" t="str">
        <f>_xlfn.XLOOKUP(tblOrders[[#This Row],[CustomerID]],tblCustomers[CustomerID],tblCustomers[Region],"not found")</f>
        <v>North</v>
      </c>
      <c r="G1311">
        <v>1042</v>
      </c>
      <c r="H1311" t="str">
        <f>_xlfn.XLOOKUP(tblOrders[[#This Row],[ProductID]],tblProducts[ProductID],tblProducts[ProductName],"not found")</f>
        <v>Mrs</v>
      </c>
      <c r="I1311" t="str">
        <f>_xlfn.XLOOKUP(tblOrders[[#This Row],[ProductID]],tblProducts[ProductID],tblProducts[Category],"not found")</f>
        <v>Furniture</v>
      </c>
      <c r="J1311">
        <f>_xlfn.XLOOKUP(tblOrders[[#This Row],[ProductID]],tblProducts[ProductID],tblProducts[UnitPrice],"not found")</f>
        <v>60.66</v>
      </c>
      <c r="K1311" t="str">
        <f>_xlfn.XLOOKUP(tblOrders[[#This Row],[ProductID]],tblProducts[ProductID],tblProducts[Supplier],"not found")</f>
        <v>Lee, Lamb and Petty</v>
      </c>
      <c r="L1311" s="1">
        <v>44992</v>
      </c>
      <c r="M13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44992</v>
      </c>
      <c r="N1311">
        <v>6</v>
      </c>
      <c r="O1311">
        <v>363.96</v>
      </c>
      <c r="P1311">
        <f>tblOrders[[#This Row],[Quantity]]*tblOrders[[#This Row],[Unit Price]]</f>
        <v>363.96</v>
      </c>
      <c r="Q1311">
        <f>tblOrders[[#This Row],[TotalSales]]-tblOrders[[#This Row],[Calculated Sales]]</f>
        <v>0</v>
      </c>
    </row>
    <row r="1312" spans="1:17" x14ac:dyDescent="0.25">
      <c r="A1312">
        <v>1756</v>
      </c>
      <c r="B1312">
        <v>627</v>
      </c>
      <c r="C1312" t="str">
        <f>_xlfn.XLOOKUP(tblOrders[[#This Row],[CustomerID]],tblCustomers[CustomerID],tblCustomers[CustomerName],"not found")</f>
        <v>Kimberly Roberson</v>
      </c>
      <c r="D1312">
        <f>_xlfn.XLOOKUP(tblOrders[[#This Row],[CustomerID]],tblCustomers[CustomerID],tblCustomers[Age],"not found")</f>
        <v>44</v>
      </c>
      <c r="E1312" t="str">
        <f>_xlfn.XLOOKUP(tblOrders[[#This Row],[CustomerID]],tblCustomers[CustomerID],tblCustomers[Gender],"not found")</f>
        <v>Male</v>
      </c>
      <c r="F1312" t="str">
        <f>_xlfn.XLOOKUP(tblOrders[[#This Row],[CustomerID]],tblCustomers[CustomerID],tblCustomers[Region],"not found")</f>
        <v>West</v>
      </c>
      <c r="G1312">
        <v>1042</v>
      </c>
      <c r="H1312" t="str">
        <f>_xlfn.XLOOKUP(tblOrders[[#This Row],[ProductID]],tblProducts[ProductID],tblProducts[ProductName],"not found")</f>
        <v>Mrs</v>
      </c>
      <c r="I1312" t="str">
        <f>_xlfn.XLOOKUP(tblOrders[[#This Row],[ProductID]],tblProducts[ProductID],tblProducts[Category],"not found")</f>
        <v>Furniture</v>
      </c>
      <c r="J1312">
        <f>_xlfn.XLOOKUP(tblOrders[[#This Row],[ProductID]],tblProducts[ProductID],tblProducts[UnitPrice],"not found")</f>
        <v>60.66</v>
      </c>
      <c r="K1312" t="str">
        <f>_xlfn.XLOOKUP(tblOrders[[#This Row],[ProductID]],tblProducts[ProductID],tblProducts[Supplier],"not found")</f>
        <v>Lee, Lamb and Petty</v>
      </c>
      <c r="L1312" s="1" t="s">
        <v>2380</v>
      </c>
      <c r="M13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45458</v>
      </c>
      <c r="N1312">
        <v>7</v>
      </c>
      <c r="O1312">
        <v>424.62</v>
      </c>
      <c r="P1312">
        <f>tblOrders[[#This Row],[Quantity]]*tblOrders[[#This Row],[Unit Price]]</f>
        <v>424.62</v>
      </c>
      <c r="Q1312">
        <f>tblOrders[[#This Row],[TotalSales]]-tblOrders[[#This Row],[Calculated Sales]]</f>
        <v>0</v>
      </c>
    </row>
    <row r="1313" spans="1:17" x14ac:dyDescent="0.25">
      <c r="A1313">
        <v>1859</v>
      </c>
      <c r="B1313">
        <v>788</v>
      </c>
      <c r="C1313" t="str">
        <f>_xlfn.XLOOKUP(tblOrders[[#This Row],[CustomerID]],tblCustomers[CustomerID],tblCustomers[CustomerName],"not found")</f>
        <v>Amy Fisher</v>
      </c>
      <c r="D1313">
        <f>_xlfn.XLOOKUP(tblOrders[[#This Row],[CustomerID]],tblCustomers[CustomerID],tblCustomers[Age],"not found")</f>
        <v>62</v>
      </c>
      <c r="E1313" t="str">
        <f>_xlfn.XLOOKUP(tblOrders[[#This Row],[CustomerID]],tblCustomers[CustomerID],tblCustomers[Gender],"not found")</f>
        <v>Female</v>
      </c>
      <c r="F1313" t="str">
        <f>_xlfn.XLOOKUP(tblOrders[[#This Row],[CustomerID]],tblCustomers[CustomerID],tblCustomers[Region],"not found")</f>
        <v>South</v>
      </c>
      <c r="G1313">
        <v>1042</v>
      </c>
      <c r="H1313" t="str">
        <f>_xlfn.XLOOKUP(tblOrders[[#This Row],[ProductID]],tblProducts[ProductID],tblProducts[ProductName],"not found")</f>
        <v>Mrs</v>
      </c>
      <c r="I1313" t="str">
        <f>_xlfn.XLOOKUP(tblOrders[[#This Row],[ProductID]],tblProducts[ProductID],tblProducts[Category],"not found")</f>
        <v>Furniture</v>
      </c>
      <c r="J1313">
        <f>_xlfn.XLOOKUP(tblOrders[[#This Row],[ProductID]],tblProducts[ProductID],tblProducts[UnitPrice],"not found")</f>
        <v>60.66</v>
      </c>
      <c r="K1313" t="str">
        <f>_xlfn.XLOOKUP(tblOrders[[#This Row],[ProductID]],tblProducts[ProductID],tblProducts[Supplier],"not found")</f>
        <v>Lee, Lamb and Petty</v>
      </c>
      <c r="L1313" s="1">
        <v>45536</v>
      </c>
      <c r="M13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45536</v>
      </c>
      <c r="N1313">
        <v>6</v>
      </c>
      <c r="O1313">
        <v>363.96</v>
      </c>
      <c r="P1313">
        <f>tblOrders[[#This Row],[Quantity]]*tblOrders[[#This Row],[Unit Price]]</f>
        <v>363.96</v>
      </c>
      <c r="Q1313">
        <f>tblOrders[[#This Row],[TotalSales]]-tblOrders[[#This Row],[Calculated Sales]]</f>
        <v>0</v>
      </c>
    </row>
    <row r="1314" spans="1:17" x14ac:dyDescent="0.25">
      <c r="A1314">
        <v>1882</v>
      </c>
      <c r="B1314">
        <v>533</v>
      </c>
      <c r="C1314" t="str">
        <f>_xlfn.XLOOKUP(tblOrders[[#This Row],[CustomerID]],tblCustomers[CustomerID],tblCustomers[CustomerName],"not found")</f>
        <v>Daniel May</v>
      </c>
      <c r="D1314">
        <f>_xlfn.XLOOKUP(tblOrders[[#This Row],[CustomerID]],tblCustomers[CustomerID],tblCustomers[Age],"not found")</f>
        <v>43</v>
      </c>
      <c r="E1314" t="str">
        <f>_xlfn.XLOOKUP(tblOrders[[#This Row],[CustomerID]],tblCustomers[CustomerID],tblCustomers[Gender],"not found")</f>
        <v>Female</v>
      </c>
      <c r="F1314" t="str">
        <f>_xlfn.XLOOKUP(tblOrders[[#This Row],[CustomerID]],tblCustomers[CustomerID],tblCustomers[Region],"not found")</f>
        <v>Central</v>
      </c>
      <c r="G1314">
        <v>1042</v>
      </c>
      <c r="H1314" t="str">
        <f>_xlfn.XLOOKUP(tblOrders[[#This Row],[ProductID]],tblProducts[ProductID],tblProducts[ProductName],"not found")</f>
        <v>Mrs</v>
      </c>
      <c r="I1314" t="str">
        <f>_xlfn.XLOOKUP(tblOrders[[#This Row],[ProductID]],tblProducts[ProductID],tblProducts[Category],"not found")</f>
        <v>Furniture</v>
      </c>
      <c r="J1314">
        <f>_xlfn.XLOOKUP(tblOrders[[#This Row],[ProductID]],tblProducts[ProductID],tblProducts[UnitPrice],"not found")</f>
        <v>60.66</v>
      </c>
      <c r="K1314" t="str">
        <f>_xlfn.XLOOKUP(tblOrders[[#This Row],[ProductID]],tblProducts[ProductID],tblProducts[Supplier],"not found")</f>
        <v>Lee, Lamb and Petty</v>
      </c>
      <c r="L1314" s="1">
        <v>45268</v>
      </c>
      <c r="M13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45268</v>
      </c>
      <c r="N1314">
        <v>6</v>
      </c>
      <c r="O1314">
        <v>363.96</v>
      </c>
      <c r="P1314">
        <f>tblOrders[[#This Row],[Quantity]]*tblOrders[[#This Row],[Unit Price]]</f>
        <v>363.96</v>
      </c>
      <c r="Q1314">
        <f>tblOrders[[#This Row],[TotalSales]]-tblOrders[[#This Row],[Calculated Sales]]</f>
        <v>0</v>
      </c>
    </row>
    <row r="1315" spans="1:17" x14ac:dyDescent="0.25">
      <c r="A1315">
        <v>1970</v>
      </c>
      <c r="B1315">
        <v>531</v>
      </c>
      <c r="C1315" t="str">
        <f>_xlfn.XLOOKUP(tblOrders[[#This Row],[CustomerID]],tblCustomers[CustomerID],tblCustomers[CustomerName],"not found")</f>
        <v>Joseph Lutz</v>
      </c>
      <c r="D1315">
        <f>_xlfn.XLOOKUP(tblOrders[[#This Row],[CustomerID]],tblCustomers[CustomerID],tblCustomers[Age],"not found")</f>
        <v>40</v>
      </c>
      <c r="E1315" t="str">
        <f>_xlfn.XLOOKUP(tblOrders[[#This Row],[CustomerID]],tblCustomers[CustomerID],tblCustomers[Gender],"not found")</f>
        <v>Female</v>
      </c>
      <c r="F1315" t="str">
        <f>_xlfn.XLOOKUP(tblOrders[[#This Row],[CustomerID]],tblCustomers[CustomerID],tblCustomers[Region],"not found")</f>
        <v>North</v>
      </c>
      <c r="G1315">
        <v>1042</v>
      </c>
      <c r="H1315" t="str">
        <f>_xlfn.XLOOKUP(tblOrders[[#This Row],[ProductID]],tblProducts[ProductID],tblProducts[ProductName],"not found")</f>
        <v>Mrs</v>
      </c>
      <c r="I1315" t="str">
        <f>_xlfn.XLOOKUP(tblOrders[[#This Row],[ProductID]],tblProducts[ProductID],tblProducts[Category],"not found")</f>
        <v>Furniture</v>
      </c>
      <c r="J1315">
        <f>_xlfn.XLOOKUP(tblOrders[[#This Row],[ProductID]],tblProducts[ProductID],tblProducts[UnitPrice],"not found")</f>
        <v>60.66</v>
      </c>
      <c r="K1315" t="str">
        <f>_xlfn.XLOOKUP(tblOrders[[#This Row],[ProductID]],tblProducts[ProductID],tblProducts[Supplier],"not found")</f>
        <v>Lee, Lamb and Petty</v>
      </c>
      <c r="L1315" s="1" t="s">
        <v>2238</v>
      </c>
      <c r="M13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45548</v>
      </c>
      <c r="N1315">
        <v>8</v>
      </c>
      <c r="O1315">
        <v>485.28</v>
      </c>
      <c r="P1315">
        <f>tblOrders[[#This Row],[Quantity]]*tblOrders[[#This Row],[Unit Price]]</f>
        <v>485.28</v>
      </c>
      <c r="Q1315">
        <f>tblOrders[[#This Row],[TotalSales]]-tblOrders[[#This Row],[Calculated Sales]]</f>
        <v>0</v>
      </c>
    </row>
    <row r="1316" spans="1:17" x14ac:dyDescent="0.25">
      <c r="A1316">
        <v>1998</v>
      </c>
      <c r="B1316">
        <v>533</v>
      </c>
      <c r="C1316" t="str">
        <f>_xlfn.XLOOKUP(tblOrders[[#This Row],[CustomerID]],tblCustomers[CustomerID],tblCustomers[CustomerName],"not found")</f>
        <v>Daniel May</v>
      </c>
      <c r="D1316">
        <f>_xlfn.XLOOKUP(tblOrders[[#This Row],[CustomerID]],tblCustomers[CustomerID],tblCustomers[Age],"not found")</f>
        <v>43</v>
      </c>
      <c r="E1316" t="str">
        <f>_xlfn.XLOOKUP(tblOrders[[#This Row],[CustomerID]],tblCustomers[CustomerID],tblCustomers[Gender],"not found")</f>
        <v>Female</v>
      </c>
      <c r="F1316" t="str">
        <f>_xlfn.XLOOKUP(tblOrders[[#This Row],[CustomerID]],tblCustomers[CustomerID],tblCustomers[Region],"not found")</f>
        <v>Central</v>
      </c>
      <c r="G1316">
        <v>1042</v>
      </c>
      <c r="H1316" t="str">
        <f>_xlfn.XLOOKUP(tblOrders[[#This Row],[ProductID]],tblProducts[ProductID],tblProducts[ProductName],"not found")</f>
        <v>Mrs</v>
      </c>
      <c r="I1316" t="str">
        <f>_xlfn.XLOOKUP(tblOrders[[#This Row],[ProductID]],tblProducts[ProductID],tblProducts[Category],"not found")</f>
        <v>Furniture</v>
      </c>
      <c r="J1316">
        <f>_xlfn.XLOOKUP(tblOrders[[#This Row],[ProductID]],tblProducts[ProductID],tblProducts[UnitPrice],"not found")</f>
        <v>60.66</v>
      </c>
      <c r="K1316" t="str">
        <f>_xlfn.XLOOKUP(tblOrders[[#This Row],[ProductID]],tblProducts[ProductID],tblProducts[Supplier],"not found")</f>
        <v>Lee, Lamb and Petty</v>
      </c>
      <c r="L1316" s="1">
        <v>45208</v>
      </c>
      <c r="M13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45208</v>
      </c>
      <c r="N1316">
        <v>8</v>
      </c>
      <c r="O1316">
        <v>485.28</v>
      </c>
      <c r="P1316">
        <f>tblOrders[[#This Row],[Quantity]]*tblOrders[[#This Row],[Unit Price]]</f>
        <v>485.28</v>
      </c>
      <c r="Q1316">
        <f>tblOrders[[#This Row],[TotalSales]]-tblOrders[[#This Row],[Calculated Sales]]</f>
        <v>0</v>
      </c>
    </row>
    <row r="1317" spans="1:17" x14ac:dyDescent="0.25">
      <c r="A1317">
        <v>91</v>
      </c>
      <c r="B1317">
        <v>255</v>
      </c>
      <c r="C1317" t="str">
        <f>_xlfn.XLOOKUP(tblOrders[[#This Row],[CustomerID]],tblCustomers[CustomerID],tblCustomers[CustomerName],"not found")</f>
        <v>Amber Mann DVM</v>
      </c>
      <c r="D1317">
        <f>_xlfn.XLOOKUP(tblOrders[[#This Row],[CustomerID]],tblCustomers[CustomerID],tblCustomers[Age],"not found")</f>
        <v>25</v>
      </c>
      <c r="E1317" t="str">
        <f>_xlfn.XLOOKUP(tblOrders[[#This Row],[CustomerID]],tblCustomers[CustomerID],tblCustomers[Gender],"not found")</f>
        <v>Male</v>
      </c>
      <c r="F1317" t="str">
        <f>_xlfn.XLOOKUP(tblOrders[[#This Row],[CustomerID]],tblCustomers[CustomerID],tblCustomers[Region],"not found")</f>
        <v>Central</v>
      </c>
      <c r="G1317">
        <v>1035</v>
      </c>
      <c r="H1317" t="str">
        <f>_xlfn.XLOOKUP(tblOrders[[#This Row],[ProductID]],tblProducts[ProductID],tblProducts[ProductName],"not found")</f>
        <v>Sister</v>
      </c>
      <c r="I1317" t="str">
        <f>_xlfn.XLOOKUP(tblOrders[[#This Row],[ProductID]],tblProducts[ProductID],tblProducts[Category],"not found")</f>
        <v>Furniture</v>
      </c>
      <c r="J1317">
        <f>_xlfn.XLOOKUP(tblOrders[[#This Row],[ProductID]],tblProducts[ProductID],tblProducts[UnitPrice],"not found")</f>
        <v>449.01</v>
      </c>
      <c r="K1317" t="str">
        <f>_xlfn.XLOOKUP(tblOrders[[#This Row],[ProductID]],tblProducts[ProductID],tblProducts[Supplier],"not found")</f>
        <v>Hernandez-Clark</v>
      </c>
      <c r="L1317" s="1" t="s">
        <v>2162</v>
      </c>
      <c r="M13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45588</v>
      </c>
      <c r="N1317">
        <v>4</v>
      </c>
      <c r="O1317">
        <v>1796.04</v>
      </c>
      <c r="P1317">
        <f>tblOrders[[#This Row],[Quantity]]*tblOrders[[#This Row],[Unit Price]]</f>
        <v>1796.04</v>
      </c>
      <c r="Q1317">
        <f>tblOrders[[#This Row],[TotalSales]]-tblOrders[[#This Row],[Calculated Sales]]</f>
        <v>0</v>
      </c>
    </row>
    <row r="1318" spans="1:17" x14ac:dyDescent="0.25">
      <c r="A1318">
        <v>319</v>
      </c>
      <c r="B1318">
        <v>393</v>
      </c>
      <c r="C1318" t="str">
        <f>_xlfn.XLOOKUP(tblOrders[[#This Row],[CustomerID]],tblCustomers[CustomerID],tblCustomers[CustomerName],"not found")</f>
        <v>Kenneth Stone</v>
      </c>
      <c r="D1318">
        <f>_xlfn.XLOOKUP(tblOrders[[#This Row],[CustomerID]],tblCustomers[CustomerID],tblCustomers[Age],"not found")</f>
        <v>20</v>
      </c>
      <c r="E1318" t="str">
        <f>_xlfn.XLOOKUP(tblOrders[[#This Row],[CustomerID]],tblCustomers[CustomerID],tblCustomers[Gender],"not found")</f>
        <v>Female</v>
      </c>
      <c r="F1318" t="str">
        <f>_xlfn.XLOOKUP(tblOrders[[#This Row],[CustomerID]],tblCustomers[CustomerID],tblCustomers[Region],"not found")</f>
        <v>South</v>
      </c>
      <c r="G1318">
        <v>1035</v>
      </c>
      <c r="H1318" t="str">
        <f>_xlfn.XLOOKUP(tblOrders[[#This Row],[ProductID]],tblProducts[ProductID],tblProducts[ProductName],"not found")</f>
        <v>Sister</v>
      </c>
      <c r="I1318" t="str">
        <f>_xlfn.XLOOKUP(tblOrders[[#This Row],[ProductID]],tblProducts[ProductID],tblProducts[Category],"not found")</f>
        <v>Furniture</v>
      </c>
      <c r="J1318">
        <f>_xlfn.XLOOKUP(tblOrders[[#This Row],[ProductID]],tblProducts[ProductID],tblProducts[UnitPrice],"not found")</f>
        <v>449.01</v>
      </c>
      <c r="K1318" t="str">
        <f>_xlfn.XLOOKUP(tblOrders[[#This Row],[ProductID]],tblProducts[ProductID],tblProducts[Supplier],"not found")</f>
        <v>Hernandez-Clark</v>
      </c>
      <c r="L1318" s="1" t="s">
        <v>2027</v>
      </c>
      <c r="M13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45030</v>
      </c>
      <c r="N1318">
        <v>9</v>
      </c>
      <c r="O1318">
        <v>4041.09</v>
      </c>
      <c r="P1318">
        <f>tblOrders[[#This Row],[Quantity]]*tblOrders[[#This Row],[Unit Price]]</f>
        <v>4041.09</v>
      </c>
      <c r="Q1318">
        <f>tblOrders[[#This Row],[TotalSales]]-tblOrders[[#This Row],[Calculated Sales]]</f>
        <v>0</v>
      </c>
    </row>
    <row r="1319" spans="1:17" x14ac:dyDescent="0.25">
      <c r="A1319">
        <v>334</v>
      </c>
      <c r="B1319">
        <v>961</v>
      </c>
      <c r="C1319" t="str">
        <f>_xlfn.XLOOKUP(tblOrders[[#This Row],[CustomerID]],tblCustomers[CustomerID],tblCustomers[CustomerName],"not found")</f>
        <v>Justin Howard</v>
      </c>
      <c r="D1319">
        <f>_xlfn.XLOOKUP(tblOrders[[#This Row],[CustomerID]],tblCustomers[CustomerID],tblCustomers[Age],"not found")</f>
        <v>45</v>
      </c>
      <c r="E1319" t="str">
        <f>_xlfn.XLOOKUP(tblOrders[[#This Row],[CustomerID]],tblCustomers[CustomerID],tblCustomers[Gender],"not found")</f>
        <v>Female</v>
      </c>
      <c r="F1319" t="str">
        <f>_xlfn.XLOOKUP(tblOrders[[#This Row],[CustomerID]],tblCustomers[CustomerID],tblCustomers[Region],"not found")</f>
        <v>West</v>
      </c>
      <c r="G1319">
        <v>1035</v>
      </c>
      <c r="H1319" t="str">
        <f>_xlfn.XLOOKUP(tblOrders[[#This Row],[ProductID]],tblProducts[ProductID],tblProducts[ProductName],"not found")</f>
        <v>Sister</v>
      </c>
      <c r="I1319" t="str">
        <f>_xlfn.XLOOKUP(tblOrders[[#This Row],[ProductID]],tblProducts[ProductID],tblProducts[Category],"not found")</f>
        <v>Furniture</v>
      </c>
      <c r="J1319">
        <f>_xlfn.XLOOKUP(tblOrders[[#This Row],[ProductID]],tblProducts[ProductID],tblProducts[UnitPrice],"not found")</f>
        <v>449.01</v>
      </c>
      <c r="K1319" t="str">
        <f>_xlfn.XLOOKUP(tblOrders[[#This Row],[ProductID]],tblProducts[ProductID],tblProducts[Supplier],"not found")</f>
        <v>Hernandez-Clark</v>
      </c>
      <c r="L1319" s="1" t="s">
        <v>2294</v>
      </c>
      <c r="M13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45459</v>
      </c>
      <c r="N1319">
        <v>9</v>
      </c>
      <c r="O1319">
        <v>4041.09</v>
      </c>
      <c r="P1319">
        <f>tblOrders[[#This Row],[Quantity]]*tblOrders[[#This Row],[Unit Price]]</f>
        <v>4041.09</v>
      </c>
      <c r="Q1319">
        <f>tblOrders[[#This Row],[TotalSales]]-tblOrders[[#This Row],[Calculated Sales]]</f>
        <v>0</v>
      </c>
    </row>
    <row r="1320" spans="1:17" x14ac:dyDescent="0.25">
      <c r="A1320">
        <v>336</v>
      </c>
      <c r="B1320">
        <v>34</v>
      </c>
      <c r="C1320" t="str">
        <f>_xlfn.XLOOKUP(tblOrders[[#This Row],[CustomerID]],tblCustomers[CustomerID],tblCustomers[CustomerName],"not found")</f>
        <v>Emily Bryan</v>
      </c>
      <c r="D1320">
        <f>_xlfn.XLOOKUP(tblOrders[[#This Row],[CustomerID]],tblCustomers[CustomerID],tblCustomers[Age],"not found")</f>
        <v>37</v>
      </c>
      <c r="E1320" t="str">
        <f>_xlfn.XLOOKUP(tblOrders[[#This Row],[CustomerID]],tblCustomers[CustomerID],tblCustomers[Gender],"not found")</f>
        <v>Male</v>
      </c>
      <c r="F1320" t="str">
        <f>_xlfn.XLOOKUP(tblOrders[[#This Row],[CustomerID]],tblCustomers[CustomerID],tblCustomers[Region],"not found")</f>
        <v>East</v>
      </c>
      <c r="G1320">
        <v>1035</v>
      </c>
      <c r="H1320" t="str">
        <f>_xlfn.XLOOKUP(tblOrders[[#This Row],[ProductID]],tblProducts[ProductID],tblProducts[ProductName],"not found")</f>
        <v>Sister</v>
      </c>
      <c r="I1320" t="str">
        <f>_xlfn.XLOOKUP(tblOrders[[#This Row],[ProductID]],tblProducts[ProductID],tblProducts[Category],"not found")</f>
        <v>Furniture</v>
      </c>
      <c r="J1320">
        <f>_xlfn.XLOOKUP(tblOrders[[#This Row],[ProductID]],tblProducts[ProductID],tblProducts[UnitPrice],"not found")</f>
        <v>449.01</v>
      </c>
      <c r="K1320" t="str">
        <f>_xlfn.XLOOKUP(tblOrders[[#This Row],[ProductID]],tblProducts[ProductID],tblProducts[Supplier],"not found")</f>
        <v>Hernandez-Clark</v>
      </c>
      <c r="L1320" s="1" t="s">
        <v>2381</v>
      </c>
      <c r="M13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44949</v>
      </c>
      <c r="N1320">
        <v>4</v>
      </c>
      <c r="O1320">
        <v>1796.04</v>
      </c>
      <c r="P1320">
        <f>tblOrders[[#This Row],[Quantity]]*tblOrders[[#This Row],[Unit Price]]</f>
        <v>1796.04</v>
      </c>
      <c r="Q1320">
        <f>tblOrders[[#This Row],[TotalSales]]-tblOrders[[#This Row],[Calculated Sales]]</f>
        <v>0</v>
      </c>
    </row>
    <row r="1321" spans="1:17" x14ac:dyDescent="0.25">
      <c r="A1321">
        <v>475</v>
      </c>
      <c r="B1321">
        <v>320</v>
      </c>
      <c r="C1321" t="str">
        <f>_xlfn.XLOOKUP(tblOrders[[#This Row],[CustomerID]],tblCustomers[CustomerID],tblCustomers[CustomerName],"not found")</f>
        <v>Bryan Higgins</v>
      </c>
      <c r="D1321">
        <f>_xlfn.XLOOKUP(tblOrders[[#This Row],[CustomerID]],tblCustomers[CustomerID],tblCustomers[Age],"not found")</f>
        <v>23</v>
      </c>
      <c r="E1321" t="str">
        <f>_xlfn.XLOOKUP(tblOrders[[#This Row],[CustomerID]],tblCustomers[CustomerID],tblCustomers[Gender],"not found")</f>
        <v>Female</v>
      </c>
      <c r="F1321" t="str">
        <f>_xlfn.XLOOKUP(tblOrders[[#This Row],[CustomerID]],tblCustomers[CustomerID],tblCustomers[Region],"not found")</f>
        <v>Central</v>
      </c>
      <c r="G1321">
        <v>1035</v>
      </c>
      <c r="H1321" t="str">
        <f>_xlfn.XLOOKUP(tblOrders[[#This Row],[ProductID]],tblProducts[ProductID],tblProducts[ProductName],"not found")</f>
        <v>Sister</v>
      </c>
      <c r="I1321" t="str">
        <f>_xlfn.XLOOKUP(tblOrders[[#This Row],[ProductID]],tblProducts[ProductID],tblProducts[Category],"not found")</f>
        <v>Furniture</v>
      </c>
      <c r="J1321">
        <f>_xlfn.XLOOKUP(tblOrders[[#This Row],[ProductID]],tblProducts[ProductID],tblProducts[UnitPrice],"not found")</f>
        <v>449.01</v>
      </c>
      <c r="K1321" t="str">
        <f>_xlfn.XLOOKUP(tblOrders[[#This Row],[ProductID]],tblProducts[ProductID],tblProducts[Supplier],"not found")</f>
        <v>Hernandez-Clark</v>
      </c>
      <c r="L1321" s="1">
        <v>45508</v>
      </c>
      <c r="M13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45508</v>
      </c>
      <c r="N1321">
        <v>8</v>
      </c>
      <c r="O1321">
        <v>3592.08</v>
      </c>
      <c r="P1321">
        <f>tblOrders[[#This Row],[Quantity]]*tblOrders[[#This Row],[Unit Price]]</f>
        <v>3592.08</v>
      </c>
      <c r="Q1321">
        <f>tblOrders[[#This Row],[TotalSales]]-tblOrders[[#This Row],[Calculated Sales]]</f>
        <v>0</v>
      </c>
    </row>
    <row r="1322" spans="1:17" x14ac:dyDescent="0.25">
      <c r="A1322">
        <v>486</v>
      </c>
      <c r="B1322">
        <v>288</v>
      </c>
      <c r="C1322" t="str">
        <f>_xlfn.XLOOKUP(tblOrders[[#This Row],[CustomerID]],tblCustomers[CustomerID],tblCustomers[CustomerName],"not found")</f>
        <v>Amy Bennett</v>
      </c>
      <c r="D1322">
        <f>_xlfn.XLOOKUP(tblOrders[[#This Row],[CustomerID]],tblCustomers[CustomerID],tblCustomers[Age],"not found")</f>
        <v>23</v>
      </c>
      <c r="E1322" t="str">
        <f>_xlfn.XLOOKUP(tblOrders[[#This Row],[CustomerID]],tblCustomers[CustomerID],tblCustomers[Gender],"not found")</f>
        <v>Female</v>
      </c>
      <c r="F1322" t="str">
        <f>_xlfn.XLOOKUP(tblOrders[[#This Row],[CustomerID]],tblCustomers[CustomerID],tblCustomers[Region],"not found")</f>
        <v>North</v>
      </c>
      <c r="G1322">
        <v>1035</v>
      </c>
      <c r="H1322" t="str">
        <f>_xlfn.XLOOKUP(tblOrders[[#This Row],[ProductID]],tblProducts[ProductID],tblProducts[ProductName],"not found")</f>
        <v>Sister</v>
      </c>
      <c r="I1322" t="str">
        <f>_xlfn.XLOOKUP(tblOrders[[#This Row],[ProductID]],tblProducts[ProductID],tblProducts[Category],"not found")</f>
        <v>Furniture</v>
      </c>
      <c r="J1322">
        <f>_xlfn.XLOOKUP(tblOrders[[#This Row],[ProductID]],tblProducts[ProductID],tblProducts[UnitPrice],"not found")</f>
        <v>449.01</v>
      </c>
      <c r="K1322" t="str">
        <f>_xlfn.XLOOKUP(tblOrders[[#This Row],[ProductID]],tblProducts[ProductID],tblProducts[Supplier],"not found")</f>
        <v>Hernandez-Clark</v>
      </c>
      <c r="L1322" s="1">
        <v>45536</v>
      </c>
      <c r="M13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45536</v>
      </c>
      <c r="N1322">
        <v>9</v>
      </c>
      <c r="O1322">
        <v>4041.09</v>
      </c>
      <c r="P1322">
        <f>tblOrders[[#This Row],[Quantity]]*tblOrders[[#This Row],[Unit Price]]</f>
        <v>4041.09</v>
      </c>
      <c r="Q1322">
        <f>tblOrders[[#This Row],[TotalSales]]-tblOrders[[#This Row],[Calculated Sales]]</f>
        <v>0</v>
      </c>
    </row>
    <row r="1323" spans="1:17" x14ac:dyDescent="0.25">
      <c r="A1323">
        <v>613</v>
      </c>
      <c r="B1323">
        <v>677</v>
      </c>
      <c r="C1323" t="str">
        <f>_xlfn.XLOOKUP(tblOrders[[#This Row],[CustomerID]],tblCustomers[CustomerID],tblCustomers[CustomerName],"not found")</f>
        <v>Rachel Jones</v>
      </c>
      <c r="D1323">
        <f>_xlfn.XLOOKUP(tblOrders[[#This Row],[CustomerID]],tblCustomers[CustomerID],tblCustomers[Age],"not found")</f>
        <v>55</v>
      </c>
      <c r="E1323" t="str">
        <f>_xlfn.XLOOKUP(tblOrders[[#This Row],[CustomerID]],tblCustomers[CustomerID],tblCustomers[Gender],"not found")</f>
        <v>Female</v>
      </c>
      <c r="F1323" t="str">
        <f>_xlfn.XLOOKUP(tblOrders[[#This Row],[CustomerID]],tblCustomers[CustomerID],tblCustomers[Region],"not found")</f>
        <v>Central</v>
      </c>
      <c r="G1323">
        <v>1035</v>
      </c>
      <c r="H1323" t="str">
        <f>_xlfn.XLOOKUP(tblOrders[[#This Row],[ProductID]],tblProducts[ProductID],tblProducts[ProductName],"not found")</f>
        <v>Sister</v>
      </c>
      <c r="I1323" t="str">
        <f>_xlfn.XLOOKUP(tblOrders[[#This Row],[ProductID]],tblProducts[ProductID],tblProducts[Category],"not found")</f>
        <v>Furniture</v>
      </c>
      <c r="J1323">
        <f>_xlfn.XLOOKUP(tblOrders[[#This Row],[ProductID]],tblProducts[ProductID],tblProducts[UnitPrice],"not found")</f>
        <v>449.01</v>
      </c>
      <c r="K1323" t="str">
        <f>_xlfn.XLOOKUP(tblOrders[[#This Row],[ProductID]],tblProducts[ProductID],tblProducts[Supplier],"not found")</f>
        <v>Hernandez-Clark</v>
      </c>
      <c r="L1323" s="1">
        <v>45635</v>
      </c>
      <c r="M13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45635</v>
      </c>
      <c r="N1323">
        <v>1</v>
      </c>
      <c r="O1323">
        <v>449.01</v>
      </c>
      <c r="P1323">
        <f>tblOrders[[#This Row],[Quantity]]*tblOrders[[#This Row],[Unit Price]]</f>
        <v>449.01</v>
      </c>
      <c r="Q1323">
        <f>tblOrders[[#This Row],[TotalSales]]-tblOrders[[#This Row],[Calculated Sales]]</f>
        <v>0</v>
      </c>
    </row>
    <row r="1324" spans="1:17" x14ac:dyDescent="0.25">
      <c r="A1324">
        <v>647</v>
      </c>
      <c r="B1324">
        <v>844</v>
      </c>
      <c r="C1324" t="str">
        <f>_xlfn.XLOOKUP(tblOrders[[#This Row],[CustomerID]],tblCustomers[CustomerID],tblCustomers[CustomerName],"not found")</f>
        <v>Keith Day</v>
      </c>
      <c r="D1324">
        <f>_xlfn.XLOOKUP(tblOrders[[#This Row],[CustomerID]],tblCustomers[CustomerID],tblCustomers[Age],"not found")</f>
        <v>42</v>
      </c>
      <c r="E1324" t="str">
        <f>_xlfn.XLOOKUP(tblOrders[[#This Row],[CustomerID]],tblCustomers[CustomerID],tblCustomers[Gender],"not found")</f>
        <v>Male</v>
      </c>
      <c r="F1324" t="str">
        <f>_xlfn.XLOOKUP(tblOrders[[#This Row],[CustomerID]],tblCustomers[CustomerID],tblCustomers[Region],"not found")</f>
        <v>East</v>
      </c>
      <c r="G1324">
        <v>1035</v>
      </c>
      <c r="H1324" t="str">
        <f>_xlfn.XLOOKUP(tblOrders[[#This Row],[ProductID]],tblProducts[ProductID],tblProducts[ProductName],"not found")</f>
        <v>Sister</v>
      </c>
      <c r="I1324" t="str">
        <f>_xlfn.XLOOKUP(tblOrders[[#This Row],[ProductID]],tblProducts[ProductID],tblProducts[Category],"not found")</f>
        <v>Furniture</v>
      </c>
      <c r="J1324">
        <f>_xlfn.XLOOKUP(tblOrders[[#This Row],[ProductID]],tblProducts[ProductID],tblProducts[UnitPrice],"not found")</f>
        <v>449.01</v>
      </c>
      <c r="K1324" t="str">
        <f>_xlfn.XLOOKUP(tblOrders[[#This Row],[ProductID]],tblProducts[ProductID],tblProducts[Supplier],"not found")</f>
        <v>Hernandez-Clark</v>
      </c>
      <c r="L1324" s="1" t="s">
        <v>2382</v>
      </c>
      <c r="M13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45250</v>
      </c>
      <c r="N1324">
        <v>4</v>
      </c>
      <c r="O1324">
        <v>1796.04</v>
      </c>
      <c r="P1324">
        <f>tblOrders[[#This Row],[Quantity]]*tblOrders[[#This Row],[Unit Price]]</f>
        <v>1796.04</v>
      </c>
      <c r="Q1324">
        <f>tblOrders[[#This Row],[TotalSales]]-tblOrders[[#This Row],[Calculated Sales]]</f>
        <v>0</v>
      </c>
    </row>
    <row r="1325" spans="1:17" x14ac:dyDescent="0.25">
      <c r="A1325">
        <v>797</v>
      </c>
      <c r="B1325">
        <v>876</v>
      </c>
      <c r="C1325" t="str">
        <f>_xlfn.XLOOKUP(tblOrders[[#This Row],[CustomerID]],tblCustomers[CustomerID],tblCustomers[CustomerName],"not found")</f>
        <v>Ryan Bailey</v>
      </c>
      <c r="D1325">
        <f>_xlfn.XLOOKUP(tblOrders[[#This Row],[CustomerID]],tblCustomers[CustomerID],tblCustomers[Age],"not found")</f>
        <v>52</v>
      </c>
      <c r="E1325" t="str">
        <f>_xlfn.XLOOKUP(tblOrders[[#This Row],[CustomerID]],tblCustomers[CustomerID],tblCustomers[Gender],"not found")</f>
        <v>Male</v>
      </c>
      <c r="F1325" t="str">
        <f>_xlfn.XLOOKUP(tblOrders[[#This Row],[CustomerID]],tblCustomers[CustomerID],tblCustomers[Region],"not found")</f>
        <v>North</v>
      </c>
      <c r="G1325">
        <v>1035</v>
      </c>
      <c r="H1325" t="str">
        <f>_xlfn.XLOOKUP(tblOrders[[#This Row],[ProductID]],tblProducts[ProductID],tblProducts[ProductName],"not found")</f>
        <v>Sister</v>
      </c>
      <c r="I1325" t="str">
        <f>_xlfn.XLOOKUP(tblOrders[[#This Row],[ProductID]],tblProducts[ProductID],tblProducts[Category],"not found")</f>
        <v>Furniture</v>
      </c>
      <c r="J1325">
        <f>_xlfn.XLOOKUP(tblOrders[[#This Row],[ProductID]],tblProducts[ProductID],tblProducts[UnitPrice],"not found")</f>
        <v>449.01</v>
      </c>
      <c r="K1325" t="str">
        <f>_xlfn.XLOOKUP(tblOrders[[#This Row],[ProductID]],tblProducts[ProductID],tblProducts[Supplier],"not found")</f>
        <v>Hernandez-Clark</v>
      </c>
      <c r="L1325" s="1" t="s">
        <v>2383</v>
      </c>
      <c r="M13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45466</v>
      </c>
      <c r="N1325">
        <v>6</v>
      </c>
      <c r="O1325">
        <v>2694.06</v>
      </c>
      <c r="P1325">
        <f>tblOrders[[#This Row],[Quantity]]*tblOrders[[#This Row],[Unit Price]]</f>
        <v>2694.06</v>
      </c>
      <c r="Q1325">
        <f>tblOrders[[#This Row],[TotalSales]]-tblOrders[[#This Row],[Calculated Sales]]</f>
        <v>0</v>
      </c>
    </row>
    <row r="1326" spans="1:17" x14ac:dyDescent="0.25">
      <c r="A1326">
        <v>812</v>
      </c>
      <c r="B1326">
        <v>11</v>
      </c>
      <c r="C1326" t="str">
        <f>_xlfn.XLOOKUP(tblOrders[[#This Row],[CustomerID]],tblCustomers[CustomerID],tblCustomers[CustomerName],"not found")</f>
        <v>Carly Branch</v>
      </c>
      <c r="D1326">
        <f>_xlfn.XLOOKUP(tblOrders[[#This Row],[CustomerID]],tblCustomers[CustomerID],tblCustomers[Age],"not found")</f>
        <v>55</v>
      </c>
      <c r="E1326" t="str">
        <f>_xlfn.XLOOKUP(tblOrders[[#This Row],[CustomerID]],tblCustomers[CustomerID],tblCustomers[Gender],"not found")</f>
        <v>Female</v>
      </c>
      <c r="F1326" t="str">
        <f>_xlfn.XLOOKUP(tblOrders[[#This Row],[CustomerID]],tblCustomers[CustomerID],tblCustomers[Region],"not found")</f>
        <v>South</v>
      </c>
      <c r="G1326">
        <v>1035</v>
      </c>
      <c r="H1326" t="str">
        <f>_xlfn.XLOOKUP(tblOrders[[#This Row],[ProductID]],tblProducts[ProductID],tblProducts[ProductName],"not found")</f>
        <v>Sister</v>
      </c>
      <c r="I1326" t="str">
        <f>_xlfn.XLOOKUP(tblOrders[[#This Row],[ProductID]],tblProducts[ProductID],tblProducts[Category],"not found")</f>
        <v>Furniture</v>
      </c>
      <c r="J1326">
        <f>_xlfn.XLOOKUP(tblOrders[[#This Row],[ProductID]],tblProducts[ProductID],tblProducts[UnitPrice],"not found")</f>
        <v>449.01</v>
      </c>
      <c r="K1326" t="str">
        <f>_xlfn.XLOOKUP(tblOrders[[#This Row],[ProductID]],tblProducts[ProductID],tblProducts[Supplier],"not found")</f>
        <v>Hernandez-Clark</v>
      </c>
      <c r="L1326" s="1" t="s">
        <v>2039</v>
      </c>
      <c r="M13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45215</v>
      </c>
      <c r="N1326">
        <v>7</v>
      </c>
      <c r="O1326">
        <v>3143.07</v>
      </c>
      <c r="P1326">
        <f>tblOrders[[#This Row],[Quantity]]*tblOrders[[#This Row],[Unit Price]]</f>
        <v>3143.0699999999997</v>
      </c>
      <c r="Q1326">
        <f>tblOrders[[#This Row],[TotalSales]]-tblOrders[[#This Row],[Calculated Sales]]</f>
        <v>0</v>
      </c>
    </row>
    <row r="1327" spans="1:17" x14ac:dyDescent="0.25">
      <c r="A1327">
        <v>999</v>
      </c>
      <c r="B1327">
        <v>95</v>
      </c>
      <c r="C1327" t="str">
        <f>_xlfn.XLOOKUP(tblOrders[[#This Row],[CustomerID]],tblCustomers[CustomerID],tblCustomers[CustomerName],"not found")</f>
        <v>David Hill</v>
      </c>
      <c r="D1327">
        <f>_xlfn.XLOOKUP(tblOrders[[#This Row],[CustomerID]],tblCustomers[CustomerID],tblCustomers[Age],"not found")</f>
        <v>68</v>
      </c>
      <c r="E1327" t="str">
        <f>_xlfn.XLOOKUP(tblOrders[[#This Row],[CustomerID]],tblCustomers[CustomerID],tblCustomers[Gender],"not found")</f>
        <v>Female</v>
      </c>
      <c r="F1327" t="str">
        <f>_xlfn.XLOOKUP(tblOrders[[#This Row],[CustomerID]],tblCustomers[CustomerID],tblCustomers[Region],"not found")</f>
        <v>West</v>
      </c>
      <c r="G1327">
        <v>1035</v>
      </c>
      <c r="H1327" t="str">
        <f>_xlfn.XLOOKUP(tblOrders[[#This Row],[ProductID]],tblProducts[ProductID],tblProducts[ProductName],"not found")</f>
        <v>Sister</v>
      </c>
      <c r="I1327" t="str">
        <f>_xlfn.XLOOKUP(tblOrders[[#This Row],[ProductID]],tblProducts[ProductID],tblProducts[Category],"not found")</f>
        <v>Furniture</v>
      </c>
      <c r="J1327">
        <f>_xlfn.XLOOKUP(tblOrders[[#This Row],[ProductID]],tblProducts[ProductID],tblProducts[UnitPrice],"not found")</f>
        <v>449.01</v>
      </c>
      <c r="K1327" t="str">
        <f>_xlfn.XLOOKUP(tblOrders[[#This Row],[ProductID]],tblProducts[ProductID],tblProducts[Supplier],"not found")</f>
        <v>Hernandez-Clark</v>
      </c>
      <c r="L1327" s="1" t="s">
        <v>2384</v>
      </c>
      <c r="M13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44978</v>
      </c>
      <c r="N1327">
        <v>7</v>
      </c>
      <c r="O1327">
        <v>3143.07</v>
      </c>
      <c r="P1327">
        <f>tblOrders[[#This Row],[Quantity]]*tblOrders[[#This Row],[Unit Price]]</f>
        <v>3143.0699999999997</v>
      </c>
      <c r="Q1327">
        <f>tblOrders[[#This Row],[TotalSales]]-tblOrders[[#This Row],[Calculated Sales]]</f>
        <v>0</v>
      </c>
    </row>
    <row r="1328" spans="1:17" x14ac:dyDescent="0.25">
      <c r="A1328">
        <v>1077</v>
      </c>
      <c r="B1328">
        <v>71</v>
      </c>
      <c r="C1328" t="str">
        <f>_xlfn.XLOOKUP(tblOrders[[#This Row],[CustomerID]],tblCustomers[CustomerID],tblCustomers[CustomerName],"not found")</f>
        <v>Karen Acevedo</v>
      </c>
      <c r="D1328">
        <f>_xlfn.XLOOKUP(tblOrders[[#This Row],[CustomerID]],tblCustomers[CustomerID],tblCustomers[Age],"not found")</f>
        <v>25</v>
      </c>
      <c r="E1328" t="str">
        <f>_xlfn.XLOOKUP(tblOrders[[#This Row],[CustomerID]],tblCustomers[CustomerID],tblCustomers[Gender],"not found")</f>
        <v>Female</v>
      </c>
      <c r="F1328" t="str">
        <f>_xlfn.XLOOKUP(tblOrders[[#This Row],[CustomerID]],tblCustomers[CustomerID],tblCustomers[Region],"not found")</f>
        <v>West</v>
      </c>
      <c r="G1328">
        <v>1035</v>
      </c>
      <c r="H1328" t="str">
        <f>_xlfn.XLOOKUP(tblOrders[[#This Row],[ProductID]],tblProducts[ProductID],tblProducts[ProductName],"not found")</f>
        <v>Sister</v>
      </c>
      <c r="I1328" t="str">
        <f>_xlfn.XLOOKUP(tblOrders[[#This Row],[ProductID]],tblProducts[ProductID],tblProducts[Category],"not found")</f>
        <v>Furniture</v>
      </c>
      <c r="J1328">
        <f>_xlfn.XLOOKUP(tblOrders[[#This Row],[ProductID]],tblProducts[ProductID],tblProducts[UnitPrice],"not found")</f>
        <v>449.01</v>
      </c>
      <c r="K1328" t="str">
        <f>_xlfn.XLOOKUP(tblOrders[[#This Row],[ProductID]],tblProducts[ProductID],tblProducts[Supplier],"not found")</f>
        <v>Hernandez-Clark</v>
      </c>
      <c r="L1328" s="1">
        <v>45081</v>
      </c>
      <c r="M13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45081</v>
      </c>
      <c r="N1328">
        <v>9</v>
      </c>
      <c r="O1328">
        <v>4041.09</v>
      </c>
      <c r="P1328">
        <f>tblOrders[[#This Row],[Quantity]]*tblOrders[[#This Row],[Unit Price]]</f>
        <v>4041.09</v>
      </c>
      <c r="Q1328">
        <f>tblOrders[[#This Row],[TotalSales]]-tblOrders[[#This Row],[Calculated Sales]]</f>
        <v>0</v>
      </c>
    </row>
    <row r="1329" spans="1:17" x14ac:dyDescent="0.25">
      <c r="A1329">
        <v>1307</v>
      </c>
      <c r="B1329">
        <v>129</v>
      </c>
      <c r="C1329" t="str">
        <f>_xlfn.XLOOKUP(tblOrders[[#This Row],[CustomerID]],tblCustomers[CustomerID],tblCustomers[CustomerName],"not found")</f>
        <v>Calvin Garcia</v>
      </c>
      <c r="D1329">
        <f>_xlfn.XLOOKUP(tblOrders[[#This Row],[CustomerID]],tblCustomers[CustomerID],tblCustomers[Age],"not found")</f>
        <v>37</v>
      </c>
      <c r="E1329" t="str">
        <f>_xlfn.XLOOKUP(tblOrders[[#This Row],[CustomerID]],tblCustomers[CustomerID],tblCustomers[Gender],"not found")</f>
        <v>Female</v>
      </c>
      <c r="F1329" t="str">
        <f>_xlfn.XLOOKUP(tblOrders[[#This Row],[CustomerID]],tblCustomers[CustomerID],tblCustomers[Region],"not found")</f>
        <v>West</v>
      </c>
      <c r="G1329">
        <v>1035</v>
      </c>
      <c r="H1329" t="str">
        <f>_xlfn.XLOOKUP(tblOrders[[#This Row],[ProductID]],tblProducts[ProductID],tblProducts[ProductName],"not found")</f>
        <v>Sister</v>
      </c>
      <c r="I1329" t="str">
        <f>_xlfn.XLOOKUP(tblOrders[[#This Row],[ProductID]],tblProducts[ProductID],tblProducts[Category],"not found")</f>
        <v>Furniture</v>
      </c>
      <c r="J1329">
        <f>_xlfn.XLOOKUP(tblOrders[[#This Row],[ProductID]],tblProducts[ProductID],tblProducts[UnitPrice],"not found")</f>
        <v>449.01</v>
      </c>
      <c r="K1329" t="str">
        <f>_xlfn.XLOOKUP(tblOrders[[#This Row],[ProductID]],tblProducts[ProductID],tblProducts[Supplier],"not found")</f>
        <v>Hernandez-Clark</v>
      </c>
      <c r="L1329" s="1" t="s">
        <v>2281</v>
      </c>
      <c r="M13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45014</v>
      </c>
      <c r="N1329">
        <v>6</v>
      </c>
      <c r="O1329">
        <v>2694.06</v>
      </c>
      <c r="P1329">
        <f>tblOrders[[#This Row],[Quantity]]*tblOrders[[#This Row],[Unit Price]]</f>
        <v>2694.06</v>
      </c>
      <c r="Q1329">
        <f>tblOrders[[#This Row],[TotalSales]]-tblOrders[[#This Row],[Calculated Sales]]</f>
        <v>0</v>
      </c>
    </row>
    <row r="1330" spans="1:17" x14ac:dyDescent="0.25">
      <c r="A1330">
        <v>1318</v>
      </c>
      <c r="B1330">
        <v>366</v>
      </c>
      <c r="C1330" t="str">
        <f>_xlfn.XLOOKUP(tblOrders[[#This Row],[CustomerID]],tblCustomers[CustomerID],tblCustomers[CustomerName],"not found")</f>
        <v>Shane Clarke</v>
      </c>
      <c r="D1330">
        <f>_xlfn.XLOOKUP(tblOrders[[#This Row],[CustomerID]],tblCustomers[CustomerID],tblCustomers[Age],"not found")</f>
        <v>64</v>
      </c>
      <c r="E1330" t="str">
        <f>_xlfn.XLOOKUP(tblOrders[[#This Row],[CustomerID]],tblCustomers[CustomerID],tblCustomers[Gender],"not found")</f>
        <v>Female</v>
      </c>
      <c r="F1330" t="str">
        <f>_xlfn.XLOOKUP(tblOrders[[#This Row],[CustomerID]],tblCustomers[CustomerID],tblCustomers[Region],"not found")</f>
        <v>North</v>
      </c>
      <c r="G1330">
        <v>1035</v>
      </c>
      <c r="H1330" t="str">
        <f>_xlfn.XLOOKUP(tblOrders[[#This Row],[ProductID]],tblProducts[ProductID],tblProducts[ProductName],"not found")</f>
        <v>Sister</v>
      </c>
      <c r="I1330" t="str">
        <f>_xlfn.XLOOKUP(tblOrders[[#This Row],[ProductID]],tblProducts[ProductID],tblProducts[Category],"not found")</f>
        <v>Furniture</v>
      </c>
      <c r="J1330">
        <f>_xlfn.XLOOKUP(tblOrders[[#This Row],[ProductID]],tblProducts[ProductID],tblProducts[UnitPrice],"not found")</f>
        <v>449.01</v>
      </c>
      <c r="K1330" t="str">
        <f>_xlfn.XLOOKUP(tblOrders[[#This Row],[ProductID]],tblProducts[ProductID],tblProducts[Supplier],"not found")</f>
        <v>Hernandez-Clark</v>
      </c>
      <c r="L1330" s="1">
        <v>45569</v>
      </c>
      <c r="M13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45569</v>
      </c>
      <c r="N1330">
        <v>4</v>
      </c>
      <c r="O1330">
        <v>1796.04</v>
      </c>
      <c r="P1330">
        <f>tblOrders[[#This Row],[Quantity]]*tblOrders[[#This Row],[Unit Price]]</f>
        <v>1796.04</v>
      </c>
      <c r="Q1330">
        <f>tblOrders[[#This Row],[TotalSales]]-tblOrders[[#This Row],[Calculated Sales]]</f>
        <v>0</v>
      </c>
    </row>
    <row r="1331" spans="1:17" x14ac:dyDescent="0.25">
      <c r="A1331">
        <v>1373</v>
      </c>
      <c r="B1331">
        <v>31</v>
      </c>
      <c r="C1331" t="str">
        <f>_xlfn.XLOOKUP(tblOrders[[#This Row],[CustomerID]],tblCustomers[CustomerID],tblCustomers[CustomerName],"not found")</f>
        <v>Anthony Perez</v>
      </c>
      <c r="D1331">
        <f>_xlfn.XLOOKUP(tblOrders[[#This Row],[CustomerID]],tblCustomers[CustomerID],tblCustomers[Age],"not found")</f>
        <v>19</v>
      </c>
      <c r="E1331" t="str">
        <f>_xlfn.XLOOKUP(tblOrders[[#This Row],[CustomerID]],tblCustomers[CustomerID],tblCustomers[Gender],"not found")</f>
        <v>Male</v>
      </c>
      <c r="F1331" t="str">
        <f>_xlfn.XLOOKUP(tblOrders[[#This Row],[CustomerID]],tblCustomers[CustomerID],tblCustomers[Region],"not found")</f>
        <v>South</v>
      </c>
      <c r="G1331">
        <v>1035</v>
      </c>
      <c r="H1331" t="str">
        <f>_xlfn.XLOOKUP(tblOrders[[#This Row],[ProductID]],tblProducts[ProductID],tblProducts[ProductName],"not found")</f>
        <v>Sister</v>
      </c>
      <c r="I1331" t="str">
        <f>_xlfn.XLOOKUP(tblOrders[[#This Row],[ProductID]],tblProducts[ProductID],tblProducts[Category],"not found")</f>
        <v>Furniture</v>
      </c>
      <c r="J1331">
        <f>_xlfn.XLOOKUP(tblOrders[[#This Row],[ProductID]],tblProducts[ProductID],tblProducts[UnitPrice],"not found")</f>
        <v>449.01</v>
      </c>
      <c r="K1331" t="str">
        <f>_xlfn.XLOOKUP(tblOrders[[#This Row],[ProductID]],tblProducts[ProductID],tblProducts[Supplier],"not found")</f>
        <v>Hernandez-Clark</v>
      </c>
      <c r="L1331" s="1" t="s">
        <v>2028</v>
      </c>
      <c r="M13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45596</v>
      </c>
      <c r="N1331">
        <v>3</v>
      </c>
      <c r="O1331">
        <v>1347.03</v>
      </c>
      <c r="P1331">
        <f>tblOrders[[#This Row],[Quantity]]*tblOrders[[#This Row],[Unit Price]]</f>
        <v>1347.03</v>
      </c>
      <c r="Q1331">
        <f>tblOrders[[#This Row],[TotalSales]]-tblOrders[[#This Row],[Calculated Sales]]</f>
        <v>0</v>
      </c>
    </row>
    <row r="1332" spans="1:17" x14ac:dyDescent="0.25">
      <c r="A1332">
        <v>1464</v>
      </c>
      <c r="B1332">
        <v>935</v>
      </c>
      <c r="C1332" t="str">
        <f>_xlfn.XLOOKUP(tblOrders[[#This Row],[CustomerID]],tblCustomers[CustomerID],tblCustomers[CustomerName],"not found")</f>
        <v>Pamela Snyder</v>
      </c>
      <c r="D1332">
        <f>_xlfn.XLOOKUP(tblOrders[[#This Row],[CustomerID]],tblCustomers[CustomerID],tblCustomers[Age],"not found")</f>
        <v>39</v>
      </c>
      <c r="E1332" t="str">
        <f>_xlfn.XLOOKUP(tblOrders[[#This Row],[CustomerID]],tblCustomers[CustomerID],tblCustomers[Gender],"not found")</f>
        <v>Male</v>
      </c>
      <c r="F1332" t="str">
        <f>_xlfn.XLOOKUP(tblOrders[[#This Row],[CustomerID]],tblCustomers[CustomerID],tblCustomers[Region],"not found")</f>
        <v>Central</v>
      </c>
      <c r="G1332">
        <v>1035</v>
      </c>
      <c r="H1332" t="str">
        <f>_xlfn.XLOOKUP(tblOrders[[#This Row],[ProductID]],tblProducts[ProductID],tblProducts[ProductName],"not found")</f>
        <v>Sister</v>
      </c>
      <c r="I1332" t="str">
        <f>_xlfn.XLOOKUP(tblOrders[[#This Row],[ProductID]],tblProducts[ProductID],tblProducts[Category],"not found")</f>
        <v>Furniture</v>
      </c>
      <c r="J1332">
        <f>_xlfn.XLOOKUP(tblOrders[[#This Row],[ProductID]],tblProducts[ProductID],tblProducts[UnitPrice],"not found")</f>
        <v>449.01</v>
      </c>
      <c r="K1332" t="str">
        <f>_xlfn.XLOOKUP(tblOrders[[#This Row],[ProductID]],tblProducts[ProductID],tblProducts[Supplier],"not found")</f>
        <v>Hernandez-Clark</v>
      </c>
      <c r="L1332" s="1" t="s">
        <v>2263</v>
      </c>
      <c r="M13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45402</v>
      </c>
      <c r="N1332">
        <v>2</v>
      </c>
      <c r="O1332">
        <v>898.02</v>
      </c>
      <c r="P1332">
        <f>tblOrders[[#This Row],[Quantity]]*tblOrders[[#This Row],[Unit Price]]</f>
        <v>898.02</v>
      </c>
      <c r="Q1332">
        <f>tblOrders[[#This Row],[TotalSales]]-tblOrders[[#This Row],[Calculated Sales]]</f>
        <v>0</v>
      </c>
    </row>
    <row r="1333" spans="1:17" x14ac:dyDescent="0.25">
      <c r="A1333">
        <v>1466</v>
      </c>
      <c r="B1333">
        <v>523</v>
      </c>
      <c r="C1333" t="str">
        <f>_xlfn.XLOOKUP(tblOrders[[#This Row],[CustomerID]],tblCustomers[CustomerID],tblCustomers[CustomerName],"not found")</f>
        <v>Lauren Gardner</v>
      </c>
      <c r="D1333">
        <f>_xlfn.XLOOKUP(tblOrders[[#This Row],[CustomerID]],tblCustomers[CustomerID],tblCustomers[Age],"not found")</f>
        <v>66</v>
      </c>
      <c r="E1333" t="str">
        <f>_xlfn.XLOOKUP(tblOrders[[#This Row],[CustomerID]],tblCustomers[CustomerID],tblCustomers[Gender],"not found")</f>
        <v>Male</v>
      </c>
      <c r="F1333" t="str">
        <f>_xlfn.XLOOKUP(tblOrders[[#This Row],[CustomerID]],tblCustomers[CustomerID],tblCustomers[Region],"not found")</f>
        <v>West</v>
      </c>
      <c r="G1333">
        <v>1035</v>
      </c>
      <c r="H1333" t="str">
        <f>_xlfn.XLOOKUP(tblOrders[[#This Row],[ProductID]],tblProducts[ProductID],tblProducts[ProductName],"not found")</f>
        <v>Sister</v>
      </c>
      <c r="I1333" t="str">
        <f>_xlfn.XLOOKUP(tblOrders[[#This Row],[ProductID]],tblProducts[ProductID],tblProducts[Category],"not found")</f>
        <v>Furniture</v>
      </c>
      <c r="J1333">
        <f>_xlfn.XLOOKUP(tblOrders[[#This Row],[ProductID]],tblProducts[ProductID],tblProducts[UnitPrice],"not found")</f>
        <v>449.01</v>
      </c>
      <c r="K1333" t="str">
        <f>_xlfn.XLOOKUP(tblOrders[[#This Row],[ProductID]],tblProducts[ProductID],tblProducts[Supplier],"not found")</f>
        <v>Hernandez-Clark</v>
      </c>
      <c r="L1333" s="1" t="s">
        <v>2336</v>
      </c>
      <c r="M13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44999</v>
      </c>
      <c r="N1333">
        <v>7</v>
      </c>
      <c r="O1333">
        <v>3143.07</v>
      </c>
      <c r="P1333">
        <f>tblOrders[[#This Row],[Quantity]]*tblOrders[[#This Row],[Unit Price]]</f>
        <v>3143.0699999999997</v>
      </c>
      <c r="Q1333">
        <f>tblOrders[[#This Row],[TotalSales]]-tblOrders[[#This Row],[Calculated Sales]]</f>
        <v>0</v>
      </c>
    </row>
    <row r="1334" spans="1:17" x14ac:dyDescent="0.25">
      <c r="A1334">
        <v>1468</v>
      </c>
      <c r="B1334">
        <v>731</v>
      </c>
      <c r="C1334" t="str">
        <f>_xlfn.XLOOKUP(tblOrders[[#This Row],[CustomerID]],tblCustomers[CustomerID],tblCustomers[CustomerName],"not found")</f>
        <v>Kelly Roberts</v>
      </c>
      <c r="D1334">
        <f>_xlfn.XLOOKUP(tblOrders[[#This Row],[CustomerID]],tblCustomers[CustomerID],tblCustomers[Age],"not found")</f>
        <v>29</v>
      </c>
      <c r="E1334" t="str">
        <f>_xlfn.XLOOKUP(tblOrders[[#This Row],[CustomerID]],tblCustomers[CustomerID],tblCustomers[Gender],"not found")</f>
        <v>Female</v>
      </c>
      <c r="F1334" t="str">
        <f>_xlfn.XLOOKUP(tblOrders[[#This Row],[CustomerID]],tblCustomers[CustomerID],tblCustomers[Region],"not found")</f>
        <v>East</v>
      </c>
      <c r="G1334">
        <v>1035</v>
      </c>
      <c r="H1334" t="str">
        <f>_xlfn.XLOOKUP(tblOrders[[#This Row],[ProductID]],tblProducts[ProductID],tblProducts[ProductName],"not found")</f>
        <v>Sister</v>
      </c>
      <c r="I1334" t="str">
        <f>_xlfn.XLOOKUP(tblOrders[[#This Row],[ProductID]],tblProducts[ProductID],tblProducts[Category],"not found")</f>
        <v>Furniture</v>
      </c>
      <c r="J1334">
        <f>_xlfn.XLOOKUP(tblOrders[[#This Row],[ProductID]],tblProducts[ProductID],tblProducts[UnitPrice],"not found")</f>
        <v>449.01</v>
      </c>
      <c r="K1334" t="str">
        <f>_xlfn.XLOOKUP(tblOrders[[#This Row],[ProductID]],tblProducts[ProductID],tblProducts[Supplier],"not found")</f>
        <v>Hernandez-Clark</v>
      </c>
      <c r="L1334" s="1">
        <v>45453</v>
      </c>
      <c r="M13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45453</v>
      </c>
      <c r="N1334">
        <v>4</v>
      </c>
      <c r="O1334">
        <v>1796.04</v>
      </c>
      <c r="P1334">
        <f>tblOrders[[#This Row],[Quantity]]*tblOrders[[#This Row],[Unit Price]]</f>
        <v>1796.04</v>
      </c>
      <c r="Q1334">
        <f>tblOrders[[#This Row],[TotalSales]]-tblOrders[[#This Row],[Calculated Sales]]</f>
        <v>0</v>
      </c>
    </row>
    <row r="1335" spans="1:17" x14ac:dyDescent="0.25">
      <c r="A1335">
        <v>1591</v>
      </c>
      <c r="B1335">
        <v>674</v>
      </c>
      <c r="C1335" t="str">
        <f>_xlfn.XLOOKUP(tblOrders[[#This Row],[CustomerID]],tblCustomers[CustomerID],tblCustomers[CustomerName],"not found")</f>
        <v>Raymond Oconnor</v>
      </c>
      <c r="D1335">
        <f>_xlfn.XLOOKUP(tblOrders[[#This Row],[CustomerID]],tblCustomers[CustomerID],tblCustomers[Age],"not found")</f>
        <v>44</v>
      </c>
      <c r="E1335" t="str">
        <f>_xlfn.XLOOKUP(tblOrders[[#This Row],[CustomerID]],tblCustomers[CustomerID],tblCustomers[Gender],"not found")</f>
        <v>Female</v>
      </c>
      <c r="F1335" t="str">
        <f>_xlfn.XLOOKUP(tblOrders[[#This Row],[CustomerID]],tblCustomers[CustomerID],tblCustomers[Region],"not found")</f>
        <v>Central</v>
      </c>
      <c r="G1335">
        <v>1035</v>
      </c>
      <c r="H1335" t="str">
        <f>_xlfn.XLOOKUP(tblOrders[[#This Row],[ProductID]],tblProducts[ProductID],tblProducts[ProductName],"not found")</f>
        <v>Sister</v>
      </c>
      <c r="I1335" t="str">
        <f>_xlfn.XLOOKUP(tblOrders[[#This Row],[ProductID]],tblProducts[ProductID],tblProducts[Category],"not found")</f>
        <v>Furniture</v>
      </c>
      <c r="J1335">
        <f>_xlfn.XLOOKUP(tblOrders[[#This Row],[ProductID]],tblProducts[ProductID],tblProducts[UnitPrice],"not found")</f>
        <v>449.01</v>
      </c>
      <c r="K1335" t="str">
        <f>_xlfn.XLOOKUP(tblOrders[[#This Row],[ProductID]],tblProducts[ProductID],tblProducts[Supplier],"not found")</f>
        <v>Hernandez-Clark</v>
      </c>
      <c r="L1335" s="1">
        <v>44937</v>
      </c>
      <c r="M13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1335">
        <v>3</v>
      </c>
      <c r="O1335">
        <v>1347.03</v>
      </c>
      <c r="P1335">
        <f>tblOrders[[#This Row],[Quantity]]*tblOrders[[#This Row],[Unit Price]]</f>
        <v>1347.03</v>
      </c>
      <c r="Q1335">
        <f>tblOrders[[#This Row],[TotalSales]]-tblOrders[[#This Row],[Calculated Sales]]</f>
        <v>0</v>
      </c>
    </row>
    <row r="1336" spans="1:17" x14ac:dyDescent="0.25">
      <c r="A1336">
        <v>1680</v>
      </c>
      <c r="B1336">
        <v>538</v>
      </c>
      <c r="C1336" t="str">
        <f>_xlfn.XLOOKUP(tblOrders[[#This Row],[CustomerID]],tblCustomers[CustomerID],tblCustomers[CustomerName],"not found")</f>
        <v>Sarah Chavez</v>
      </c>
      <c r="D1336">
        <f>_xlfn.XLOOKUP(tblOrders[[#This Row],[CustomerID]],tblCustomers[CustomerID],tblCustomers[Age],"not found")</f>
        <v>57</v>
      </c>
      <c r="E1336" t="str">
        <f>_xlfn.XLOOKUP(tblOrders[[#This Row],[CustomerID]],tblCustomers[CustomerID],tblCustomers[Gender],"not found")</f>
        <v>Female</v>
      </c>
      <c r="F1336" t="str">
        <f>_xlfn.XLOOKUP(tblOrders[[#This Row],[CustomerID]],tblCustomers[CustomerID],tblCustomers[Region],"not found")</f>
        <v>South</v>
      </c>
      <c r="G1336">
        <v>1035</v>
      </c>
      <c r="H1336" t="str">
        <f>_xlfn.XLOOKUP(tblOrders[[#This Row],[ProductID]],tblProducts[ProductID],tblProducts[ProductName],"not found")</f>
        <v>Sister</v>
      </c>
      <c r="I1336" t="str">
        <f>_xlfn.XLOOKUP(tblOrders[[#This Row],[ProductID]],tblProducts[ProductID],tblProducts[Category],"not found")</f>
        <v>Furniture</v>
      </c>
      <c r="J1336">
        <f>_xlfn.XLOOKUP(tblOrders[[#This Row],[ProductID]],tblProducts[ProductID],tblProducts[UnitPrice],"not found")</f>
        <v>449.01</v>
      </c>
      <c r="K1336" t="str">
        <f>_xlfn.XLOOKUP(tblOrders[[#This Row],[ProductID]],tblProducts[ProductID],tblProducts[Supplier],"not found")</f>
        <v>Hernandez-Clark</v>
      </c>
      <c r="L1336" s="1">
        <v>45145</v>
      </c>
      <c r="M13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45145</v>
      </c>
      <c r="N1336">
        <v>8</v>
      </c>
      <c r="O1336">
        <v>3592.08</v>
      </c>
      <c r="P1336">
        <f>tblOrders[[#This Row],[Quantity]]*tblOrders[[#This Row],[Unit Price]]</f>
        <v>3592.08</v>
      </c>
      <c r="Q1336">
        <f>tblOrders[[#This Row],[TotalSales]]-tblOrders[[#This Row],[Calculated Sales]]</f>
        <v>0</v>
      </c>
    </row>
    <row r="1337" spans="1:17" x14ac:dyDescent="0.25">
      <c r="A1337">
        <v>1773</v>
      </c>
      <c r="B1337">
        <v>906</v>
      </c>
      <c r="C1337" t="str">
        <f>_xlfn.XLOOKUP(tblOrders[[#This Row],[CustomerID]],tblCustomers[CustomerID],tblCustomers[CustomerName],"not found")</f>
        <v>Peter Drake</v>
      </c>
      <c r="D1337">
        <f>_xlfn.XLOOKUP(tblOrders[[#This Row],[CustomerID]],tblCustomers[CustomerID],tblCustomers[Age],"not found")</f>
        <v>20</v>
      </c>
      <c r="E1337" t="str">
        <f>_xlfn.XLOOKUP(tblOrders[[#This Row],[CustomerID]],tblCustomers[CustomerID],tblCustomers[Gender],"not found")</f>
        <v>Female</v>
      </c>
      <c r="F1337" t="str">
        <f>_xlfn.XLOOKUP(tblOrders[[#This Row],[CustomerID]],tblCustomers[CustomerID],tblCustomers[Region],"not found")</f>
        <v>East</v>
      </c>
      <c r="G1337">
        <v>1035</v>
      </c>
      <c r="H1337" t="str">
        <f>_xlfn.XLOOKUP(tblOrders[[#This Row],[ProductID]],tblProducts[ProductID],tblProducts[ProductName],"not found")</f>
        <v>Sister</v>
      </c>
      <c r="I1337" t="str">
        <f>_xlfn.XLOOKUP(tblOrders[[#This Row],[ProductID]],tblProducts[ProductID],tblProducts[Category],"not found")</f>
        <v>Furniture</v>
      </c>
      <c r="J1337">
        <f>_xlfn.XLOOKUP(tblOrders[[#This Row],[ProductID]],tblProducts[ProductID],tblProducts[UnitPrice],"not found")</f>
        <v>449.01</v>
      </c>
      <c r="K1337" t="str">
        <f>_xlfn.XLOOKUP(tblOrders[[#This Row],[ProductID]],tblProducts[ProductID],tblProducts[Supplier],"not found")</f>
        <v>Hernandez-Clark</v>
      </c>
      <c r="L1337" s="1" t="s">
        <v>2019</v>
      </c>
      <c r="M13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45559</v>
      </c>
      <c r="N1337">
        <v>2</v>
      </c>
      <c r="O1337">
        <v>898.02</v>
      </c>
      <c r="P1337">
        <f>tblOrders[[#This Row],[Quantity]]*tblOrders[[#This Row],[Unit Price]]</f>
        <v>898.02</v>
      </c>
      <c r="Q1337">
        <f>tblOrders[[#This Row],[TotalSales]]-tblOrders[[#This Row],[Calculated Sales]]</f>
        <v>0</v>
      </c>
    </row>
    <row r="1338" spans="1:17" x14ac:dyDescent="0.25">
      <c r="A1338">
        <v>1785</v>
      </c>
      <c r="B1338">
        <v>421</v>
      </c>
      <c r="C1338" t="str">
        <f>_xlfn.XLOOKUP(tblOrders[[#This Row],[CustomerID]],tblCustomers[CustomerID],tblCustomers[CustomerName],"not found")</f>
        <v>Mary Sullivan</v>
      </c>
      <c r="D1338">
        <f>_xlfn.XLOOKUP(tblOrders[[#This Row],[CustomerID]],tblCustomers[CustomerID],tblCustomers[Age],"not found")</f>
        <v>31</v>
      </c>
      <c r="E1338" t="str">
        <f>_xlfn.XLOOKUP(tblOrders[[#This Row],[CustomerID]],tblCustomers[CustomerID],tblCustomers[Gender],"not found")</f>
        <v>Male</v>
      </c>
      <c r="F1338" t="str">
        <f>_xlfn.XLOOKUP(tblOrders[[#This Row],[CustomerID]],tblCustomers[CustomerID],tblCustomers[Region],"not found")</f>
        <v>Central</v>
      </c>
      <c r="G1338">
        <v>1035</v>
      </c>
      <c r="H1338" t="str">
        <f>_xlfn.XLOOKUP(tblOrders[[#This Row],[ProductID]],tblProducts[ProductID],tblProducts[ProductName],"not found")</f>
        <v>Sister</v>
      </c>
      <c r="I1338" t="str">
        <f>_xlfn.XLOOKUP(tblOrders[[#This Row],[ProductID]],tblProducts[ProductID],tblProducts[Category],"not found")</f>
        <v>Furniture</v>
      </c>
      <c r="J1338">
        <f>_xlfn.XLOOKUP(tblOrders[[#This Row],[ProductID]],tblProducts[ProductID],tblProducts[UnitPrice],"not found")</f>
        <v>449.01</v>
      </c>
      <c r="K1338" t="str">
        <f>_xlfn.XLOOKUP(tblOrders[[#This Row],[ProductID]],tblProducts[ProductID],tblProducts[Supplier],"not found")</f>
        <v>Hernandez-Clark</v>
      </c>
      <c r="L1338" s="1" t="s">
        <v>2385</v>
      </c>
      <c r="M13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45096</v>
      </c>
      <c r="N1338">
        <v>3</v>
      </c>
      <c r="O1338">
        <v>1347.03</v>
      </c>
      <c r="P1338">
        <f>tblOrders[[#This Row],[Quantity]]*tblOrders[[#This Row],[Unit Price]]</f>
        <v>1347.03</v>
      </c>
      <c r="Q1338">
        <f>tblOrders[[#This Row],[TotalSales]]-tblOrders[[#This Row],[Calculated Sales]]</f>
        <v>0</v>
      </c>
    </row>
    <row r="1339" spans="1:17" x14ac:dyDescent="0.25">
      <c r="A1339">
        <v>1789</v>
      </c>
      <c r="B1339">
        <v>634</v>
      </c>
      <c r="C1339" t="str">
        <f>_xlfn.XLOOKUP(tblOrders[[#This Row],[CustomerID]],tblCustomers[CustomerID],tblCustomers[CustomerName],"not found")</f>
        <v>Chris Winters</v>
      </c>
      <c r="D1339">
        <f>_xlfn.XLOOKUP(tblOrders[[#This Row],[CustomerID]],tblCustomers[CustomerID],tblCustomers[Age],"not found")</f>
        <v>26</v>
      </c>
      <c r="E1339" t="str">
        <f>_xlfn.XLOOKUP(tblOrders[[#This Row],[CustomerID]],tblCustomers[CustomerID],tblCustomers[Gender],"not found")</f>
        <v>Male</v>
      </c>
      <c r="F1339" t="str">
        <f>_xlfn.XLOOKUP(tblOrders[[#This Row],[CustomerID]],tblCustomers[CustomerID],tblCustomers[Region],"not found")</f>
        <v>South</v>
      </c>
      <c r="G1339">
        <v>1035</v>
      </c>
      <c r="H1339" t="str">
        <f>_xlfn.XLOOKUP(tblOrders[[#This Row],[ProductID]],tblProducts[ProductID],tblProducts[ProductName],"not found")</f>
        <v>Sister</v>
      </c>
      <c r="I1339" t="str">
        <f>_xlfn.XLOOKUP(tblOrders[[#This Row],[ProductID]],tblProducts[ProductID],tblProducts[Category],"not found")</f>
        <v>Furniture</v>
      </c>
      <c r="J1339">
        <f>_xlfn.XLOOKUP(tblOrders[[#This Row],[ProductID]],tblProducts[ProductID],tblProducts[UnitPrice],"not found")</f>
        <v>449.01</v>
      </c>
      <c r="K1339" t="str">
        <f>_xlfn.XLOOKUP(tblOrders[[#This Row],[ProductID]],tblProducts[ProductID],tblProducts[Supplier],"not found")</f>
        <v>Hernandez-Clark</v>
      </c>
      <c r="L1339" s="1" t="s">
        <v>2254</v>
      </c>
      <c r="M13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45579</v>
      </c>
      <c r="N1339">
        <v>9</v>
      </c>
      <c r="O1339">
        <v>4041.09</v>
      </c>
      <c r="P1339">
        <f>tblOrders[[#This Row],[Quantity]]*tblOrders[[#This Row],[Unit Price]]</f>
        <v>4041.09</v>
      </c>
      <c r="Q1339">
        <f>tblOrders[[#This Row],[TotalSales]]-tblOrders[[#This Row],[Calculated Sales]]</f>
        <v>0</v>
      </c>
    </row>
    <row r="1340" spans="1:17" x14ac:dyDescent="0.25">
      <c r="A1340">
        <v>1972</v>
      </c>
      <c r="B1340">
        <v>464</v>
      </c>
      <c r="C1340" t="str">
        <f>_xlfn.XLOOKUP(tblOrders[[#This Row],[CustomerID]],tblCustomers[CustomerID],tblCustomers[CustomerName],"not found")</f>
        <v>Benjamin Gates</v>
      </c>
      <c r="D1340">
        <f>_xlfn.XLOOKUP(tblOrders[[#This Row],[CustomerID]],tblCustomers[CustomerID],tblCustomers[Age],"not found")</f>
        <v>39</v>
      </c>
      <c r="E1340" t="str">
        <f>_xlfn.XLOOKUP(tblOrders[[#This Row],[CustomerID]],tblCustomers[CustomerID],tblCustomers[Gender],"not found")</f>
        <v>Female</v>
      </c>
      <c r="F1340" t="str">
        <f>_xlfn.XLOOKUP(tblOrders[[#This Row],[CustomerID]],tblCustomers[CustomerID],tblCustomers[Region],"not found")</f>
        <v>Central</v>
      </c>
      <c r="G1340">
        <v>1035</v>
      </c>
      <c r="H1340" t="str">
        <f>_xlfn.XLOOKUP(tblOrders[[#This Row],[ProductID]],tblProducts[ProductID],tblProducts[ProductName],"not found")</f>
        <v>Sister</v>
      </c>
      <c r="I1340" t="str">
        <f>_xlfn.XLOOKUP(tblOrders[[#This Row],[ProductID]],tblProducts[ProductID],tblProducts[Category],"not found")</f>
        <v>Furniture</v>
      </c>
      <c r="J1340">
        <f>_xlfn.XLOOKUP(tblOrders[[#This Row],[ProductID]],tblProducts[ProductID],tblProducts[UnitPrice],"not found")</f>
        <v>449.01</v>
      </c>
      <c r="K1340" t="str">
        <f>_xlfn.XLOOKUP(tblOrders[[#This Row],[ProductID]],tblProducts[ProductID],tblProducts[Supplier],"not found")</f>
        <v>Hernandez-Clark</v>
      </c>
      <c r="L1340" s="1" t="s">
        <v>2304</v>
      </c>
      <c r="M13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45223</v>
      </c>
      <c r="N1340">
        <v>5</v>
      </c>
      <c r="O1340">
        <v>2245.0500000000002</v>
      </c>
      <c r="P1340">
        <f>tblOrders[[#This Row],[Quantity]]*tblOrders[[#This Row],[Unit Price]]</f>
        <v>2245.0500000000002</v>
      </c>
      <c r="Q1340">
        <f>tblOrders[[#This Row],[TotalSales]]-tblOrders[[#This Row],[Calculated Sales]]</f>
        <v>0</v>
      </c>
    </row>
    <row r="1341" spans="1:17" x14ac:dyDescent="0.25">
      <c r="A1341">
        <v>94</v>
      </c>
      <c r="B1341">
        <v>167</v>
      </c>
      <c r="C1341" t="str">
        <f>_xlfn.XLOOKUP(tblOrders[[#This Row],[CustomerID]],tblCustomers[CustomerID],tblCustomers[CustomerName],"not found")</f>
        <v>Anna Evans</v>
      </c>
      <c r="D1341">
        <f>_xlfn.XLOOKUP(tblOrders[[#This Row],[CustomerID]],tblCustomers[CustomerID],tblCustomers[Age],"not found")</f>
        <v>23</v>
      </c>
      <c r="E1341" t="str">
        <f>_xlfn.XLOOKUP(tblOrders[[#This Row],[CustomerID]],tblCustomers[CustomerID],tblCustomers[Gender],"not found")</f>
        <v>Male</v>
      </c>
      <c r="F1341" t="str">
        <f>_xlfn.XLOOKUP(tblOrders[[#This Row],[CustomerID]],tblCustomers[CustomerID],tblCustomers[Region],"not found")</f>
        <v>Central</v>
      </c>
      <c r="G1341">
        <v>1033</v>
      </c>
      <c r="H1341" t="str">
        <f>_xlfn.XLOOKUP(tblOrders[[#This Row],[ProductID]],tblProducts[ProductID],tblProducts[ProductName],"not found")</f>
        <v>Whole</v>
      </c>
      <c r="I1341" t="str">
        <f>_xlfn.XLOOKUP(tblOrders[[#This Row],[ProductID]],tblProducts[ProductID],tblProducts[Category],"not found")</f>
        <v>Toys</v>
      </c>
      <c r="J1341">
        <f>_xlfn.XLOOKUP(tblOrders[[#This Row],[ProductID]],tblProducts[ProductID],tblProducts[UnitPrice],"not found")</f>
        <v>433.44</v>
      </c>
      <c r="K1341" t="str">
        <f>_xlfn.XLOOKUP(tblOrders[[#This Row],[ProductID]],tblProducts[ProductID],tblProducts[Supplier],"not found")</f>
        <v>Foster-Olson</v>
      </c>
      <c r="L1341" s="1">
        <v>45507</v>
      </c>
      <c r="M13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45507</v>
      </c>
      <c r="N1341">
        <v>4</v>
      </c>
      <c r="O1341">
        <v>1733.76</v>
      </c>
      <c r="P1341">
        <f>tblOrders[[#This Row],[Quantity]]*tblOrders[[#This Row],[Unit Price]]</f>
        <v>1733.76</v>
      </c>
      <c r="Q1341">
        <f>tblOrders[[#This Row],[TotalSales]]-tblOrders[[#This Row],[Calculated Sales]]</f>
        <v>0</v>
      </c>
    </row>
    <row r="1342" spans="1:17" x14ac:dyDescent="0.25">
      <c r="A1342">
        <v>197</v>
      </c>
      <c r="B1342">
        <v>895</v>
      </c>
      <c r="C1342" t="str">
        <f>_xlfn.XLOOKUP(tblOrders[[#This Row],[CustomerID]],tblCustomers[CustomerID],tblCustomers[CustomerName],"not found")</f>
        <v>Tommy Lambert</v>
      </c>
      <c r="D1342">
        <f>_xlfn.XLOOKUP(tblOrders[[#This Row],[CustomerID]],tblCustomers[CustomerID],tblCustomers[Age],"not found")</f>
        <v>56</v>
      </c>
      <c r="E1342" t="str">
        <f>_xlfn.XLOOKUP(tblOrders[[#This Row],[CustomerID]],tblCustomers[CustomerID],tblCustomers[Gender],"not found")</f>
        <v>Female</v>
      </c>
      <c r="F1342" t="str">
        <f>_xlfn.XLOOKUP(tblOrders[[#This Row],[CustomerID]],tblCustomers[CustomerID],tblCustomers[Region],"not found")</f>
        <v>West</v>
      </c>
      <c r="G1342">
        <v>1033</v>
      </c>
      <c r="H1342" t="str">
        <f>_xlfn.XLOOKUP(tblOrders[[#This Row],[ProductID]],tblProducts[ProductID],tblProducts[ProductName],"not found")</f>
        <v>Whole</v>
      </c>
      <c r="I1342" t="str">
        <f>_xlfn.XLOOKUP(tblOrders[[#This Row],[ProductID]],tblProducts[ProductID],tblProducts[Category],"not found")</f>
        <v>Toys</v>
      </c>
      <c r="J1342">
        <f>_xlfn.XLOOKUP(tblOrders[[#This Row],[ProductID]],tblProducts[ProductID],tblProducts[UnitPrice],"not found")</f>
        <v>433.44</v>
      </c>
      <c r="K1342" t="str">
        <f>_xlfn.XLOOKUP(tblOrders[[#This Row],[ProductID]],tblProducts[ProductID],tblProducts[Supplier],"not found")</f>
        <v>Foster-Olson</v>
      </c>
      <c r="L1342" s="1" t="s">
        <v>2292</v>
      </c>
      <c r="M13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45586</v>
      </c>
      <c r="N1342">
        <v>8</v>
      </c>
      <c r="O1342">
        <v>3467.52</v>
      </c>
      <c r="P1342">
        <f>tblOrders[[#This Row],[Quantity]]*tblOrders[[#This Row],[Unit Price]]</f>
        <v>3467.52</v>
      </c>
      <c r="Q1342">
        <f>tblOrders[[#This Row],[TotalSales]]-tblOrders[[#This Row],[Calculated Sales]]</f>
        <v>0</v>
      </c>
    </row>
    <row r="1343" spans="1:17" x14ac:dyDescent="0.25">
      <c r="A1343">
        <v>540</v>
      </c>
      <c r="B1343">
        <v>475</v>
      </c>
      <c r="C1343" t="str">
        <f>_xlfn.XLOOKUP(tblOrders[[#This Row],[CustomerID]],tblCustomers[CustomerID],tblCustomers[CustomerName],"not found")</f>
        <v>Sara Johnson</v>
      </c>
      <c r="D1343">
        <f>_xlfn.XLOOKUP(tblOrders[[#This Row],[CustomerID]],tblCustomers[CustomerID],tblCustomers[Age],"not found")</f>
        <v>38</v>
      </c>
      <c r="E1343" t="str">
        <f>_xlfn.XLOOKUP(tblOrders[[#This Row],[CustomerID]],tblCustomers[CustomerID],tblCustomers[Gender],"not found")</f>
        <v>Male</v>
      </c>
      <c r="F1343" t="str">
        <f>_xlfn.XLOOKUP(tblOrders[[#This Row],[CustomerID]],tblCustomers[CustomerID],tblCustomers[Region],"not found")</f>
        <v>South</v>
      </c>
      <c r="G1343">
        <v>1033</v>
      </c>
      <c r="H1343" t="str">
        <f>_xlfn.XLOOKUP(tblOrders[[#This Row],[ProductID]],tblProducts[ProductID],tblProducts[ProductName],"not found")</f>
        <v>Whole</v>
      </c>
      <c r="I1343" t="str">
        <f>_xlfn.XLOOKUP(tblOrders[[#This Row],[ProductID]],tblProducts[ProductID],tblProducts[Category],"not found")</f>
        <v>Toys</v>
      </c>
      <c r="J1343">
        <f>_xlfn.XLOOKUP(tblOrders[[#This Row],[ProductID]],tblProducts[ProductID],tblProducts[UnitPrice],"not found")</f>
        <v>433.44</v>
      </c>
      <c r="K1343" t="str">
        <f>_xlfn.XLOOKUP(tblOrders[[#This Row],[ProductID]],tblProducts[ProductID],tblProducts[Supplier],"not found")</f>
        <v>Foster-Olson</v>
      </c>
      <c r="L1343" s="1">
        <v>45327</v>
      </c>
      <c r="M13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45327</v>
      </c>
      <c r="N1343">
        <v>8</v>
      </c>
      <c r="O1343">
        <v>3467.52</v>
      </c>
      <c r="P1343">
        <f>tblOrders[[#This Row],[Quantity]]*tblOrders[[#This Row],[Unit Price]]</f>
        <v>3467.52</v>
      </c>
      <c r="Q1343">
        <f>tblOrders[[#This Row],[TotalSales]]-tblOrders[[#This Row],[Calculated Sales]]</f>
        <v>0</v>
      </c>
    </row>
    <row r="1344" spans="1:17" x14ac:dyDescent="0.25">
      <c r="A1344">
        <v>760</v>
      </c>
      <c r="B1344">
        <v>807</v>
      </c>
      <c r="C1344" t="str">
        <f>_xlfn.XLOOKUP(tblOrders[[#This Row],[CustomerID]],tblCustomers[CustomerID],tblCustomers[CustomerName],"not found")</f>
        <v>Ronald Wilson</v>
      </c>
      <c r="D1344">
        <f>_xlfn.XLOOKUP(tblOrders[[#This Row],[CustomerID]],tblCustomers[CustomerID],tblCustomers[Age],"not found")</f>
        <v>32</v>
      </c>
      <c r="E1344" t="str">
        <f>_xlfn.XLOOKUP(tblOrders[[#This Row],[CustomerID]],tblCustomers[CustomerID],tblCustomers[Gender],"not found")</f>
        <v>Male</v>
      </c>
      <c r="F1344" t="str">
        <f>_xlfn.XLOOKUP(tblOrders[[#This Row],[CustomerID]],tblCustomers[CustomerID],tblCustomers[Region],"not found")</f>
        <v>East</v>
      </c>
      <c r="G1344">
        <v>1033</v>
      </c>
      <c r="H1344" t="str">
        <f>_xlfn.XLOOKUP(tblOrders[[#This Row],[ProductID]],tblProducts[ProductID],tblProducts[ProductName],"not found")</f>
        <v>Whole</v>
      </c>
      <c r="I1344" t="str">
        <f>_xlfn.XLOOKUP(tblOrders[[#This Row],[ProductID]],tblProducts[ProductID],tblProducts[Category],"not found")</f>
        <v>Toys</v>
      </c>
      <c r="J1344">
        <f>_xlfn.XLOOKUP(tblOrders[[#This Row],[ProductID]],tblProducts[ProductID],tblProducts[UnitPrice],"not found")</f>
        <v>433.44</v>
      </c>
      <c r="K1344" t="str">
        <f>_xlfn.XLOOKUP(tblOrders[[#This Row],[ProductID]],tblProducts[ProductID],tblProducts[Supplier],"not found")</f>
        <v>Foster-Olson</v>
      </c>
      <c r="L1344" s="1" t="s">
        <v>2017</v>
      </c>
      <c r="M13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45129</v>
      </c>
      <c r="N1344">
        <v>8</v>
      </c>
      <c r="O1344">
        <v>3467.52</v>
      </c>
      <c r="P1344">
        <f>tblOrders[[#This Row],[Quantity]]*tblOrders[[#This Row],[Unit Price]]</f>
        <v>3467.52</v>
      </c>
      <c r="Q1344">
        <f>tblOrders[[#This Row],[TotalSales]]-tblOrders[[#This Row],[Calculated Sales]]</f>
        <v>0</v>
      </c>
    </row>
    <row r="1345" spans="1:17" x14ac:dyDescent="0.25">
      <c r="A1345">
        <v>816</v>
      </c>
      <c r="B1345">
        <v>326</v>
      </c>
      <c r="C1345" t="str">
        <f>_xlfn.XLOOKUP(tblOrders[[#This Row],[CustomerID]],tblCustomers[CustomerID],tblCustomers[CustomerName],"not found")</f>
        <v>Matthew Walker</v>
      </c>
      <c r="D1345">
        <f>_xlfn.XLOOKUP(tblOrders[[#This Row],[CustomerID]],tblCustomers[CustomerID],tblCustomers[Age],"not found")</f>
        <v>35</v>
      </c>
      <c r="E1345" t="str">
        <f>_xlfn.XLOOKUP(tblOrders[[#This Row],[CustomerID]],tblCustomers[CustomerID],tblCustomers[Gender],"not found")</f>
        <v>Male</v>
      </c>
      <c r="F1345" t="str">
        <f>_xlfn.XLOOKUP(tblOrders[[#This Row],[CustomerID]],tblCustomers[CustomerID],tblCustomers[Region],"not found")</f>
        <v>East</v>
      </c>
      <c r="G1345">
        <v>1033</v>
      </c>
      <c r="H1345" t="str">
        <f>_xlfn.XLOOKUP(tblOrders[[#This Row],[ProductID]],tblProducts[ProductID],tblProducts[ProductName],"not found")</f>
        <v>Whole</v>
      </c>
      <c r="I1345" t="str">
        <f>_xlfn.XLOOKUP(tblOrders[[#This Row],[ProductID]],tblProducts[ProductID],tblProducts[Category],"not found")</f>
        <v>Toys</v>
      </c>
      <c r="J1345">
        <f>_xlfn.XLOOKUP(tblOrders[[#This Row],[ProductID]],tblProducts[ProductID],tblProducts[UnitPrice],"not found")</f>
        <v>433.44</v>
      </c>
      <c r="K1345" t="str">
        <f>_xlfn.XLOOKUP(tblOrders[[#This Row],[ProductID]],tblProducts[ProductID],tblProducts[Supplier],"not found")</f>
        <v>Foster-Olson</v>
      </c>
      <c r="L1345" s="1" t="s">
        <v>2011</v>
      </c>
      <c r="M13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45227</v>
      </c>
      <c r="N1345">
        <v>8</v>
      </c>
      <c r="O1345">
        <v>3467.52</v>
      </c>
      <c r="P1345">
        <f>tblOrders[[#This Row],[Quantity]]*tblOrders[[#This Row],[Unit Price]]</f>
        <v>3467.52</v>
      </c>
      <c r="Q1345">
        <f>tblOrders[[#This Row],[TotalSales]]-tblOrders[[#This Row],[Calculated Sales]]</f>
        <v>0</v>
      </c>
    </row>
    <row r="1346" spans="1:17" x14ac:dyDescent="0.25">
      <c r="A1346">
        <v>825</v>
      </c>
      <c r="B1346">
        <v>18</v>
      </c>
      <c r="C1346" t="str">
        <f>_xlfn.XLOOKUP(tblOrders[[#This Row],[CustomerID]],tblCustomers[CustomerID],tblCustomers[CustomerName],"not found")</f>
        <v>Mr. Jeffrey Griffin PhD</v>
      </c>
      <c r="D1346">
        <f>_xlfn.XLOOKUP(tblOrders[[#This Row],[CustomerID]],tblCustomers[CustomerID],tblCustomers[Age],"not found")</f>
        <v>25</v>
      </c>
      <c r="E1346" t="str">
        <f>_xlfn.XLOOKUP(tblOrders[[#This Row],[CustomerID]],tblCustomers[CustomerID],tblCustomers[Gender],"not found")</f>
        <v>Male</v>
      </c>
      <c r="F1346" t="str">
        <f>_xlfn.XLOOKUP(tblOrders[[#This Row],[CustomerID]],tblCustomers[CustomerID],tblCustomers[Region],"not found")</f>
        <v>West</v>
      </c>
      <c r="G1346">
        <v>1033</v>
      </c>
      <c r="H1346" t="str">
        <f>_xlfn.XLOOKUP(tblOrders[[#This Row],[ProductID]],tblProducts[ProductID],tblProducts[ProductName],"not found")</f>
        <v>Whole</v>
      </c>
      <c r="I1346" t="str">
        <f>_xlfn.XLOOKUP(tblOrders[[#This Row],[ProductID]],tblProducts[ProductID],tblProducts[Category],"not found")</f>
        <v>Toys</v>
      </c>
      <c r="J1346">
        <f>_xlfn.XLOOKUP(tblOrders[[#This Row],[ProductID]],tblProducts[ProductID],tblProducts[UnitPrice],"not found")</f>
        <v>433.44</v>
      </c>
      <c r="K1346" t="str">
        <f>_xlfn.XLOOKUP(tblOrders[[#This Row],[ProductID]],tblProducts[ProductID],tblProducts[Supplier],"not found")</f>
        <v>Foster-Olson</v>
      </c>
      <c r="L1346" s="1">
        <v>44753</v>
      </c>
      <c r="M13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44753</v>
      </c>
      <c r="N1346">
        <v>1</v>
      </c>
      <c r="O1346">
        <v>433.44</v>
      </c>
      <c r="P1346">
        <f>tblOrders[[#This Row],[Quantity]]*tblOrders[[#This Row],[Unit Price]]</f>
        <v>433.44</v>
      </c>
      <c r="Q1346">
        <f>tblOrders[[#This Row],[TotalSales]]-tblOrders[[#This Row],[Calculated Sales]]</f>
        <v>0</v>
      </c>
    </row>
    <row r="1347" spans="1:17" x14ac:dyDescent="0.25">
      <c r="A1347">
        <v>855</v>
      </c>
      <c r="B1347">
        <v>193</v>
      </c>
      <c r="C1347" t="str">
        <f>_xlfn.XLOOKUP(tblOrders[[#This Row],[CustomerID]],tblCustomers[CustomerID],tblCustomers[CustomerName],"not found")</f>
        <v>Paul Conner</v>
      </c>
      <c r="D1347">
        <f>_xlfn.XLOOKUP(tblOrders[[#This Row],[CustomerID]],tblCustomers[CustomerID],tblCustomers[Age],"not found")</f>
        <v>39</v>
      </c>
      <c r="E1347" t="str">
        <f>_xlfn.XLOOKUP(tblOrders[[#This Row],[CustomerID]],tblCustomers[CustomerID],tblCustomers[Gender],"not found")</f>
        <v>Male</v>
      </c>
      <c r="F1347" t="str">
        <f>_xlfn.XLOOKUP(tblOrders[[#This Row],[CustomerID]],tblCustomers[CustomerID],tblCustomers[Region],"not found")</f>
        <v>East</v>
      </c>
      <c r="G1347">
        <v>1033</v>
      </c>
      <c r="H1347" t="str">
        <f>_xlfn.XLOOKUP(tblOrders[[#This Row],[ProductID]],tblProducts[ProductID],tblProducts[ProductName],"not found")</f>
        <v>Whole</v>
      </c>
      <c r="I1347" t="str">
        <f>_xlfn.XLOOKUP(tblOrders[[#This Row],[ProductID]],tblProducts[ProductID],tblProducts[Category],"not found")</f>
        <v>Toys</v>
      </c>
      <c r="J1347">
        <f>_xlfn.XLOOKUP(tblOrders[[#This Row],[ProductID]],tblProducts[ProductID],tblProducts[UnitPrice],"not found")</f>
        <v>433.44</v>
      </c>
      <c r="K1347" t="str">
        <f>_xlfn.XLOOKUP(tblOrders[[#This Row],[ProductID]],tblProducts[ProductID],tblProducts[Supplier],"not found")</f>
        <v>Foster-Olson</v>
      </c>
      <c r="L1347" s="1">
        <v>45270</v>
      </c>
      <c r="M13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45270</v>
      </c>
      <c r="N1347">
        <v>9</v>
      </c>
      <c r="O1347">
        <v>3900.96</v>
      </c>
      <c r="P1347">
        <f>tblOrders[[#This Row],[Quantity]]*tblOrders[[#This Row],[Unit Price]]</f>
        <v>3900.96</v>
      </c>
      <c r="Q1347">
        <f>tblOrders[[#This Row],[TotalSales]]-tblOrders[[#This Row],[Calculated Sales]]</f>
        <v>0</v>
      </c>
    </row>
    <row r="1348" spans="1:17" x14ac:dyDescent="0.25">
      <c r="A1348">
        <v>859</v>
      </c>
      <c r="B1348">
        <v>605</v>
      </c>
      <c r="C1348" t="str">
        <f>_xlfn.XLOOKUP(tblOrders[[#This Row],[CustomerID]],tblCustomers[CustomerID],tblCustomers[CustomerName],"not found")</f>
        <v>Brent Nielsen</v>
      </c>
      <c r="D1348">
        <f>_xlfn.XLOOKUP(tblOrders[[#This Row],[CustomerID]],tblCustomers[CustomerID],tblCustomers[Age],"not found")</f>
        <v>61</v>
      </c>
      <c r="E1348" t="str">
        <f>_xlfn.XLOOKUP(tblOrders[[#This Row],[CustomerID]],tblCustomers[CustomerID],tblCustomers[Gender],"not found")</f>
        <v>Male</v>
      </c>
      <c r="F1348" t="str">
        <f>_xlfn.XLOOKUP(tblOrders[[#This Row],[CustomerID]],tblCustomers[CustomerID],tblCustomers[Region],"not found")</f>
        <v>South</v>
      </c>
      <c r="G1348">
        <v>1033</v>
      </c>
      <c r="H1348" t="str">
        <f>_xlfn.XLOOKUP(tblOrders[[#This Row],[ProductID]],tblProducts[ProductID],tblProducts[ProductName],"not found")</f>
        <v>Whole</v>
      </c>
      <c r="I1348" t="str">
        <f>_xlfn.XLOOKUP(tblOrders[[#This Row],[ProductID]],tblProducts[ProductID],tblProducts[Category],"not found")</f>
        <v>Toys</v>
      </c>
      <c r="J1348">
        <f>_xlfn.XLOOKUP(tblOrders[[#This Row],[ProductID]],tblProducts[ProductID],tblProducts[UnitPrice],"not found")</f>
        <v>433.44</v>
      </c>
      <c r="K1348" t="str">
        <f>_xlfn.XLOOKUP(tblOrders[[#This Row],[ProductID]],tblProducts[ProductID],tblProducts[Supplier],"not found")</f>
        <v>Foster-Olson</v>
      </c>
      <c r="L1348" s="1">
        <v>45235</v>
      </c>
      <c r="M13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45235</v>
      </c>
      <c r="N1348">
        <v>5</v>
      </c>
      <c r="O1348">
        <v>2167.1999999999998</v>
      </c>
      <c r="P1348">
        <f>tblOrders[[#This Row],[Quantity]]*tblOrders[[#This Row],[Unit Price]]</f>
        <v>2167.1999999999998</v>
      </c>
      <c r="Q1348">
        <f>tblOrders[[#This Row],[TotalSales]]-tblOrders[[#This Row],[Calculated Sales]]</f>
        <v>0</v>
      </c>
    </row>
    <row r="1349" spans="1:17" x14ac:dyDescent="0.25">
      <c r="A1349">
        <v>885</v>
      </c>
      <c r="B1349">
        <v>979</v>
      </c>
      <c r="C1349" t="str">
        <f>_xlfn.XLOOKUP(tblOrders[[#This Row],[CustomerID]],tblCustomers[CustomerID],tblCustomers[CustomerName],"not found")</f>
        <v>Sheila Erickson</v>
      </c>
      <c r="D1349">
        <f>_xlfn.XLOOKUP(tblOrders[[#This Row],[CustomerID]],tblCustomers[CustomerID],tblCustomers[Age],"not found")</f>
        <v>38</v>
      </c>
      <c r="E1349" t="str">
        <f>_xlfn.XLOOKUP(tblOrders[[#This Row],[CustomerID]],tblCustomers[CustomerID],tblCustomers[Gender],"not found")</f>
        <v>Female</v>
      </c>
      <c r="F1349" t="str">
        <f>_xlfn.XLOOKUP(tblOrders[[#This Row],[CustomerID]],tblCustomers[CustomerID],tblCustomers[Region],"not found")</f>
        <v>South</v>
      </c>
      <c r="G1349">
        <v>1033</v>
      </c>
      <c r="H1349" t="str">
        <f>_xlfn.XLOOKUP(tblOrders[[#This Row],[ProductID]],tblProducts[ProductID],tblProducts[ProductName],"not found")</f>
        <v>Whole</v>
      </c>
      <c r="I1349" t="str">
        <f>_xlfn.XLOOKUP(tblOrders[[#This Row],[ProductID]],tblProducts[ProductID],tblProducts[Category],"not found")</f>
        <v>Toys</v>
      </c>
      <c r="J1349">
        <f>_xlfn.XLOOKUP(tblOrders[[#This Row],[ProductID]],tblProducts[ProductID],tblProducts[UnitPrice],"not found")</f>
        <v>433.44</v>
      </c>
      <c r="K1349" t="str">
        <f>_xlfn.XLOOKUP(tblOrders[[#This Row],[ProductID]],tblProducts[ProductID],tblProducts[Supplier],"not found")</f>
        <v>Foster-Olson</v>
      </c>
      <c r="L1349" s="1" t="s">
        <v>2215</v>
      </c>
      <c r="M13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45034</v>
      </c>
      <c r="N1349">
        <v>2</v>
      </c>
      <c r="O1349">
        <v>866.88</v>
      </c>
      <c r="P1349">
        <f>tblOrders[[#This Row],[Quantity]]*tblOrders[[#This Row],[Unit Price]]</f>
        <v>866.88</v>
      </c>
      <c r="Q1349">
        <f>tblOrders[[#This Row],[TotalSales]]-tblOrders[[#This Row],[Calculated Sales]]</f>
        <v>0</v>
      </c>
    </row>
    <row r="1350" spans="1:17" x14ac:dyDescent="0.25">
      <c r="A1350">
        <v>1123</v>
      </c>
      <c r="B1350">
        <v>360</v>
      </c>
      <c r="C1350" t="str">
        <f>_xlfn.XLOOKUP(tblOrders[[#This Row],[CustomerID]],tblCustomers[CustomerID],tblCustomers[CustomerName],"not found")</f>
        <v>Kara Cobb</v>
      </c>
      <c r="D1350">
        <f>_xlfn.XLOOKUP(tblOrders[[#This Row],[CustomerID]],tblCustomers[CustomerID],tblCustomers[Age],"not found")</f>
        <v>20</v>
      </c>
      <c r="E1350" t="str">
        <f>_xlfn.XLOOKUP(tblOrders[[#This Row],[CustomerID]],tblCustomers[CustomerID],tblCustomers[Gender],"not found")</f>
        <v>Male</v>
      </c>
      <c r="F1350" t="str">
        <f>_xlfn.XLOOKUP(tblOrders[[#This Row],[CustomerID]],tblCustomers[CustomerID],tblCustomers[Region],"not found")</f>
        <v>South</v>
      </c>
      <c r="G1350">
        <v>1033</v>
      </c>
      <c r="H1350" t="str">
        <f>_xlfn.XLOOKUP(tblOrders[[#This Row],[ProductID]],tblProducts[ProductID],tblProducts[ProductName],"not found")</f>
        <v>Whole</v>
      </c>
      <c r="I1350" t="str">
        <f>_xlfn.XLOOKUP(tblOrders[[#This Row],[ProductID]],tblProducts[ProductID],tblProducts[Category],"not found")</f>
        <v>Toys</v>
      </c>
      <c r="J1350">
        <f>_xlfn.XLOOKUP(tblOrders[[#This Row],[ProductID]],tblProducts[ProductID],tblProducts[UnitPrice],"not found")</f>
        <v>433.44</v>
      </c>
      <c r="K1350" t="str">
        <f>_xlfn.XLOOKUP(tblOrders[[#This Row],[ProductID]],tblProducts[ProductID],tblProducts[Supplier],"not found")</f>
        <v>Foster-Olson</v>
      </c>
      <c r="L1350" s="1" t="s">
        <v>2386</v>
      </c>
      <c r="M13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45067</v>
      </c>
      <c r="N1350">
        <v>1</v>
      </c>
      <c r="O1350">
        <v>433.44</v>
      </c>
      <c r="P1350">
        <f>tblOrders[[#This Row],[Quantity]]*tblOrders[[#This Row],[Unit Price]]</f>
        <v>433.44</v>
      </c>
      <c r="Q1350">
        <f>tblOrders[[#This Row],[TotalSales]]-tblOrders[[#This Row],[Calculated Sales]]</f>
        <v>0</v>
      </c>
    </row>
    <row r="1351" spans="1:17" x14ac:dyDescent="0.25">
      <c r="A1351">
        <v>1188</v>
      </c>
      <c r="B1351">
        <v>560</v>
      </c>
      <c r="C1351" t="str">
        <f>_xlfn.XLOOKUP(tblOrders[[#This Row],[CustomerID]],tblCustomers[CustomerID],tblCustomers[CustomerName],"not found")</f>
        <v>Rose Lopez</v>
      </c>
      <c r="D1351">
        <f>_xlfn.XLOOKUP(tblOrders[[#This Row],[CustomerID]],tblCustomers[CustomerID],tblCustomers[Age],"not found")</f>
        <v>21</v>
      </c>
      <c r="E1351" t="str">
        <f>_xlfn.XLOOKUP(tblOrders[[#This Row],[CustomerID]],tblCustomers[CustomerID],tblCustomers[Gender],"not found")</f>
        <v>Male</v>
      </c>
      <c r="F1351" t="str">
        <f>_xlfn.XLOOKUP(tblOrders[[#This Row],[CustomerID]],tblCustomers[CustomerID],tblCustomers[Region],"not found")</f>
        <v>East</v>
      </c>
      <c r="G1351">
        <v>1033</v>
      </c>
      <c r="H1351" t="str">
        <f>_xlfn.XLOOKUP(tblOrders[[#This Row],[ProductID]],tblProducts[ProductID],tblProducts[ProductName],"not found")</f>
        <v>Whole</v>
      </c>
      <c r="I1351" t="str">
        <f>_xlfn.XLOOKUP(tblOrders[[#This Row],[ProductID]],tblProducts[ProductID],tblProducts[Category],"not found")</f>
        <v>Toys</v>
      </c>
      <c r="J1351">
        <f>_xlfn.XLOOKUP(tblOrders[[#This Row],[ProductID]],tblProducts[ProductID],tblProducts[UnitPrice],"not found")</f>
        <v>433.44</v>
      </c>
      <c r="K1351" t="str">
        <f>_xlfn.XLOOKUP(tblOrders[[#This Row],[ProductID]],tblProducts[ProductID],tblProducts[Supplier],"not found")</f>
        <v>Foster-Olson</v>
      </c>
      <c r="L1351" s="1" t="s">
        <v>2234</v>
      </c>
      <c r="M13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45156</v>
      </c>
      <c r="N1351">
        <v>3</v>
      </c>
      <c r="O1351">
        <v>1300.32</v>
      </c>
      <c r="P1351">
        <f>tblOrders[[#This Row],[Quantity]]*tblOrders[[#This Row],[Unit Price]]</f>
        <v>1300.32</v>
      </c>
      <c r="Q1351">
        <f>tblOrders[[#This Row],[TotalSales]]-tblOrders[[#This Row],[Calculated Sales]]</f>
        <v>0</v>
      </c>
    </row>
    <row r="1352" spans="1:17" x14ac:dyDescent="0.25">
      <c r="A1352">
        <v>1370</v>
      </c>
      <c r="B1352">
        <v>940</v>
      </c>
      <c r="C1352" t="str">
        <f>_xlfn.XLOOKUP(tblOrders[[#This Row],[CustomerID]],tblCustomers[CustomerID],tblCustomers[CustomerName],"not found")</f>
        <v>Brad Johnson</v>
      </c>
      <c r="D1352">
        <f>_xlfn.XLOOKUP(tblOrders[[#This Row],[CustomerID]],tblCustomers[CustomerID],tblCustomers[Age],"not found")</f>
        <v>69</v>
      </c>
      <c r="E1352" t="str">
        <f>_xlfn.XLOOKUP(tblOrders[[#This Row],[CustomerID]],tblCustomers[CustomerID],tblCustomers[Gender],"not found")</f>
        <v>Male</v>
      </c>
      <c r="F1352" t="str">
        <f>_xlfn.XLOOKUP(tblOrders[[#This Row],[CustomerID]],tblCustomers[CustomerID],tblCustomers[Region],"not found")</f>
        <v>East</v>
      </c>
      <c r="G1352">
        <v>1033</v>
      </c>
      <c r="H1352" t="str">
        <f>_xlfn.XLOOKUP(tblOrders[[#This Row],[ProductID]],tblProducts[ProductID],tblProducts[ProductName],"not found")</f>
        <v>Whole</v>
      </c>
      <c r="I1352" t="str">
        <f>_xlfn.XLOOKUP(tblOrders[[#This Row],[ProductID]],tblProducts[ProductID],tblProducts[Category],"not found")</f>
        <v>Toys</v>
      </c>
      <c r="J1352">
        <f>_xlfn.XLOOKUP(tblOrders[[#This Row],[ProductID]],tblProducts[ProductID],tblProducts[UnitPrice],"not found")</f>
        <v>433.44</v>
      </c>
      <c r="K1352" t="str">
        <f>_xlfn.XLOOKUP(tblOrders[[#This Row],[ProductID]],tblProducts[ProductID],tblProducts[Supplier],"not found")</f>
        <v>Foster-Olson</v>
      </c>
      <c r="L1352" s="1" t="s">
        <v>2050</v>
      </c>
      <c r="M13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1352">
        <v>9</v>
      </c>
      <c r="O1352">
        <v>3900.96</v>
      </c>
      <c r="P1352">
        <f>tblOrders[[#This Row],[Quantity]]*tblOrders[[#This Row],[Unit Price]]</f>
        <v>3900.96</v>
      </c>
      <c r="Q1352">
        <f>tblOrders[[#This Row],[TotalSales]]-tblOrders[[#This Row],[Calculated Sales]]</f>
        <v>0</v>
      </c>
    </row>
    <row r="1353" spans="1:17" x14ac:dyDescent="0.25">
      <c r="A1353">
        <v>1520</v>
      </c>
      <c r="B1353">
        <v>332</v>
      </c>
      <c r="C1353" t="str">
        <f>_xlfn.XLOOKUP(tblOrders[[#This Row],[CustomerID]],tblCustomers[CustomerID],tblCustomers[CustomerName],"not found")</f>
        <v>Joshua Carroll</v>
      </c>
      <c r="D1353">
        <f>_xlfn.XLOOKUP(tblOrders[[#This Row],[CustomerID]],tblCustomers[CustomerID],tblCustomers[Age],"not found")</f>
        <v>26</v>
      </c>
      <c r="E1353" t="str">
        <f>_xlfn.XLOOKUP(tblOrders[[#This Row],[CustomerID]],tblCustomers[CustomerID],tblCustomers[Gender],"not found")</f>
        <v>Male</v>
      </c>
      <c r="F1353" t="str">
        <f>_xlfn.XLOOKUP(tblOrders[[#This Row],[CustomerID]],tblCustomers[CustomerID],tblCustomers[Region],"not found")</f>
        <v>East</v>
      </c>
      <c r="G1353">
        <v>1033</v>
      </c>
      <c r="H1353" t="str">
        <f>_xlfn.XLOOKUP(tblOrders[[#This Row],[ProductID]],tblProducts[ProductID],tblProducts[ProductName],"not found")</f>
        <v>Whole</v>
      </c>
      <c r="I1353" t="str">
        <f>_xlfn.XLOOKUP(tblOrders[[#This Row],[ProductID]],tblProducts[ProductID],tblProducts[Category],"not found")</f>
        <v>Toys</v>
      </c>
      <c r="J1353">
        <f>_xlfn.XLOOKUP(tblOrders[[#This Row],[ProductID]],tblProducts[ProductID],tblProducts[UnitPrice],"not found")</f>
        <v>433.44</v>
      </c>
      <c r="K1353" t="str">
        <f>_xlfn.XLOOKUP(tblOrders[[#This Row],[ProductID]],tblProducts[ProductID],tblProducts[Supplier],"not found")</f>
        <v>Foster-Olson</v>
      </c>
      <c r="L1353" s="1">
        <v>45058</v>
      </c>
      <c r="M13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45058</v>
      </c>
      <c r="N1353">
        <v>9</v>
      </c>
      <c r="O1353">
        <v>3900.96</v>
      </c>
      <c r="P1353">
        <f>tblOrders[[#This Row],[Quantity]]*tblOrders[[#This Row],[Unit Price]]</f>
        <v>3900.96</v>
      </c>
      <c r="Q1353">
        <f>tblOrders[[#This Row],[TotalSales]]-tblOrders[[#This Row],[Calculated Sales]]</f>
        <v>0</v>
      </c>
    </row>
    <row r="1354" spans="1:17" x14ac:dyDescent="0.25">
      <c r="A1354">
        <v>1575</v>
      </c>
      <c r="B1354">
        <v>732</v>
      </c>
      <c r="C1354" t="str">
        <f>_xlfn.XLOOKUP(tblOrders[[#This Row],[CustomerID]],tblCustomers[CustomerID],tblCustomers[CustomerName],"not found")</f>
        <v>Mary Thompson</v>
      </c>
      <c r="D1354">
        <f>_xlfn.XLOOKUP(tblOrders[[#This Row],[CustomerID]],tblCustomers[CustomerID],tblCustomers[Age],"not found")</f>
        <v>67</v>
      </c>
      <c r="E1354" t="str">
        <f>_xlfn.XLOOKUP(tblOrders[[#This Row],[CustomerID]],tblCustomers[CustomerID],tblCustomers[Gender],"not found")</f>
        <v>Female</v>
      </c>
      <c r="F1354" t="str">
        <f>_xlfn.XLOOKUP(tblOrders[[#This Row],[CustomerID]],tblCustomers[CustomerID],tblCustomers[Region],"not found")</f>
        <v>West</v>
      </c>
      <c r="G1354">
        <v>1033</v>
      </c>
      <c r="H1354" t="str">
        <f>_xlfn.XLOOKUP(tblOrders[[#This Row],[ProductID]],tblProducts[ProductID],tblProducts[ProductName],"not found")</f>
        <v>Whole</v>
      </c>
      <c r="I1354" t="str">
        <f>_xlfn.XLOOKUP(tblOrders[[#This Row],[ProductID]],tblProducts[ProductID],tblProducts[Category],"not found")</f>
        <v>Toys</v>
      </c>
      <c r="J1354">
        <f>_xlfn.XLOOKUP(tblOrders[[#This Row],[ProductID]],tblProducts[ProductID],tblProducts[UnitPrice],"not found")</f>
        <v>433.44</v>
      </c>
      <c r="K1354" t="str">
        <f>_xlfn.XLOOKUP(tblOrders[[#This Row],[ProductID]],tblProducts[ProductID],tblProducts[Supplier],"not found")</f>
        <v>Foster-Olson</v>
      </c>
      <c r="L1354" s="1" t="s">
        <v>2161</v>
      </c>
      <c r="M13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45499</v>
      </c>
      <c r="N1354">
        <v>9</v>
      </c>
      <c r="O1354">
        <v>3900.96</v>
      </c>
      <c r="P1354">
        <f>tblOrders[[#This Row],[Quantity]]*tblOrders[[#This Row],[Unit Price]]</f>
        <v>3900.96</v>
      </c>
      <c r="Q1354">
        <f>tblOrders[[#This Row],[TotalSales]]-tblOrders[[#This Row],[Calculated Sales]]</f>
        <v>0</v>
      </c>
    </row>
    <row r="1355" spans="1:17" x14ac:dyDescent="0.25">
      <c r="A1355">
        <v>1600</v>
      </c>
      <c r="B1355">
        <v>800</v>
      </c>
      <c r="C1355" t="str">
        <f>_xlfn.XLOOKUP(tblOrders[[#This Row],[CustomerID]],tblCustomers[CustomerID],tblCustomers[CustomerName],"not found")</f>
        <v>Brian Manning</v>
      </c>
      <c r="D1355">
        <f>_xlfn.XLOOKUP(tblOrders[[#This Row],[CustomerID]],tblCustomers[CustomerID],tblCustomers[Age],"not found")</f>
        <v>27</v>
      </c>
      <c r="E1355" t="str">
        <f>_xlfn.XLOOKUP(tblOrders[[#This Row],[CustomerID]],tblCustomers[CustomerID],tblCustomers[Gender],"not found")</f>
        <v>Male</v>
      </c>
      <c r="F1355" t="str">
        <f>_xlfn.XLOOKUP(tblOrders[[#This Row],[CustomerID]],tblCustomers[CustomerID],tblCustomers[Region],"not found")</f>
        <v>South</v>
      </c>
      <c r="G1355">
        <v>1033</v>
      </c>
      <c r="H1355" t="str">
        <f>_xlfn.XLOOKUP(tblOrders[[#This Row],[ProductID]],tblProducts[ProductID],tblProducts[ProductName],"not found")</f>
        <v>Whole</v>
      </c>
      <c r="I1355" t="str">
        <f>_xlfn.XLOOKUP(tblOrders[[#This Row],[ProductID]],tblProducts[ProductID],tblProducts[Category],"not found")</f>
        <v>Toys</v>
      </c>
      <c r="J1355">
        <f>_xlfn.XLOOKUP(tblOrders[[#This Row],[ProductID]],tblProducts[ProductID],tblProducts[UnitPrice],"not found")</f>
        <v>433.44</v>
      </c>
      <c r="K1355" t="str">
        <f>_xlfn.XLOOKUP(tblOrders[[#This Row],[ProductID]],tblProducts[ProductID],tblProducts[Supplier],"not found")</f>
        <v>Foster-Olson</v>
      </c>
      <c r="L1355" s="1" t="s">
        <v>2109</v>
      </c>
      <c r="M13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45101</v>
      </c>
      <c r="N1355">
        <v>9</v>
      </c>
      <c r="O1355">
        <v>3900.96</v>
      </c>
      <c r="P1355">
        <f>tblOrders[[#This Row],[Quantity]]*tblOrders[[#This Row],[Unit Price]]</f>
        <v>3900.96</v>
      </c>
      <c r="Q1355">
        <f>tblOrders[[#This Row],[TotalSales]]-tblOrders[[#This Row],[Calculated Sales]]</f>
        <v>0</v>
      </c>
    </row>
    <row r="1356" spans="1:17" x14ac:dyDescent="0.25">
      <c r="A1356">
        <v>1649</v>
      </c>
      <c r="B1356">
        <v>768</v>
      </c>
      <c r="C1356" t="str">
        <f>_xlfn.XLOOKUP(tblOrders[[#This Row],[CustomerID]],tblCustomers[CustomerID],tblCustomers[CustomerName],"not found")</f>
        <v>Nathan Garcia</v>
      </c>
      <c r="D1356">
        <f>_xlfn.XLOOKUP(tblOrders[[#This Row],[CustomerID]],tblCustomers[CustomerID],tblCustomers[Age],"not found")</f>
        <v>26</v>
      </c>
      <c r="E1356" t="str">
        <f>_xlfn.XLOOKUP(tblOrders[[#This Row],[CustomerID]],tblCustomers[CustomerID],tblCustomers[Gender],"not found")</f>
        <v>Male</v>
      </c>
      <c r="F1356" t="str">
        <f>_xlfn.XLOOKUP(tblOrders[[#This Row],[CustomerID]],tblCustomers[CustomerID],tblCustomers[Region],"not found")</f>
        <v>North</v>
      </c>
      <c r="G1356">
        <v>1033</v>
      </c>
      <c r="H1356" t="str">
        <f>_xlfn.XLOOKUP(tblOrders[[#This Row],[ProductID]],tblProducts[ProductID],tblProducts[ProductName],"not found")</f>
        <v>Whole</v>
      </c>
      <c r="I1356" t="str">
        <f>_xlfn.XLOOKUP(tblOrders[[#This Row],[ProductID]],tblProducts[ProductID],tblProducts[Category],"not found")</f>
        <v>Toys</v>
      </c>
      <c r="J1356">
        <f>_xlfn.XLOOKUP(tblOrders[[#This Row],[ProductID]],tblProducts[ProductID],tblProducts[UnitPrice],"not found")</f>
        <v>433.44</v>
      </c>
      <c r="K1356" t="str">
        <f>_xlfn.XLOOKUP(tblOrders[[#This Row],[ProductID]],tblProducts[ProductID],tblProducts[Supplier],"not found")</f>
        <v>Foster-Olson</v>
      </c>
      <c r="L1356" s="1" t="s">
        <v>2275</v>
      </c>
      <c r="M13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45197</v>
      </c>
      <c r="N1356">
        <v>5</v>
      </c>
      <c r="O1356">
        <v>2167.1999999999998</v>
      </c>
      <c r="P1356">
        <f>tblOrders[[#This Row],[Quantity]]*tblOrders[[#This Row],[Unit Price]]</f>
        <v>2167.1999999999998</v>
      </c>
      <c r="Q1356">
        <f>tblOrders[[#This Row],[TotalSales]]-tblOrders[[#This Row],[Calculated Sales]]</f>
        <v>0</v>
      </c>
    </row>
    <row r="1357" spans="1:17" x14ac:dyDescent="0.25">
      <c r="A1357">
        <v>1690</v>
      </c>
      <c r="B1357">
        <v>48</v>
      </c>
      <c r="C1357" t="str">
        <f>_xlfn.XLOOKUP(tblOrders[[#This Row],[CustomerID]],tblCustomers[CustomerID],tblCustomers[CustomerName],"not found")</f>
        <v>Justin Owen</v>
      </c>
      <c r="D1357">
        <f>_xlfn.XLOOKUP(tblOrders[[#This Row],[CustomerID]],tblCustomers[CustomerID],tblCustomers[Age],"not found")</f>
        <v>40</v>
      </c>
      <c r="E1357" t="str">
        <f>_xlfn.XLOOKUP(tblOrders[[#This Row],[CustomerID]],tblCustomers[CustomerID],tblCustomers[Gender],"not found")</f>
        <v>Female</v>
      </c>
      <c r="F1357" t="str">
        <f>_xlfn.XLOOKUP(tblOrders[[#This Row],[CustomerID]],tblCustomers[CustomerID],tblCustomers[Region],"not found")</f>
        <v>North</v>
      </c>
      <c r="G1357">
        <v>1033</v>
      </c>
      <c r="H1357" t="str">
        <f>_xlfn.XLOOKUP(tblOrders[[#This Row],[ProductID]],tblProducts[ProductID],tblProducts[ProductName],"not found")</f>
        <v>Whole</v>
      </c>
      <c r="I1357" t="str">
        <f>_xlfn.XLOOKUP(tblOrders[[#This Row],[ProductID]],tblProducts[ProductID],tblProducts[Category],"not found")</f>
        <v>Toys</v>
      </c>
      <c r="J1357">
        <f>_xlfn.XLOOKUP(tblOrders[[#This Row],[ProductID]],tblProducts[ProductID],tblProducts[UnitPrice],"not found")</f>
        <v>433.44</v>
      </c>
      <c r="K1357" t="str">
        <f>_xlfn.XLOOKUP(tblOrders[[#This Row],[ProductID]],tblProducts[ProductID],tblProducts[Supplier],"not found")</f>
        <v>Foster-Olson</v>
      </c>
      <c r="L1357" s="1" t="s">
        <v>2103</v>
      </c>
      <c r="M13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45532</v>
      </c>
      <c r="N1357">
        <v>5</v>
      </c>
      <c r="O1357">
        <v>2167.1999999999998</v>
      </c>
      <c r="P1357">
        <f>tblOrders[[#This Row],[Quantity]]*tblOrders[[#This Row],[Unit Price]]</f>
        <v>2167.1999999999998</v>
      </c>
      <c r="Q1357">
        <f>tblOrders[[#This Row],[TotalSales]]-tblOrders[[#This Row],[Calculated Sales]]</f>
        <v>0</v>
      </c>
    </row>
    <row r="1358" spans="1:17" x14ac:dyDescent="0.25">
      <c r="A1358">
        <v>1764</v>
      </c>
      <c r="B1358">
        <v>891</v>
      </c>
      <c r="C1358" t="str">
        <f>_xlfn.XLOOKUP(tblOrders[[#This Row],[CustomerID]],tblCustomers[CustomerID],tblCustomers[CustomerName],"not found")</f>
        <v>Kimberly Gillespie</v>
      </c>
      <c r="D1358">
        <f>_xlfn.XLOOKUP(tblOrders[[#This Row],[CustomerID]],tblCustomers[CustomerID],tblCustomers[Age],"not found")</f>
        <v>19</v>
      </c>
      <c r="E1358" t="str">
        <f>_xlfn.XLOOKUP(tblOrders[[#This Row],[CustomerID]],tblCustomers[CustomerID],tblCustomers[Gender],"not found")</f>
        <v>Female</v>
      </c>
      <c r="F1358" t="str">
        <f>_xlfn.XLOOKUP(tblOrders[[#This Row],[CustomerID]],tblCustomers[CustomerID],tblCustomers[Region],"not found")</f>
        <v>North</v>
      </c>
      <c r="G1358">
        <v>1033</v>
      </c>
      <c r="H1358" t="str">
        <f>_xlfn.XLOOKUP(tblOrders[[#This Row],[ProductID]],tblProducts[ProductID],tblProducts[ProductName],"not found")</f>
        <v>Whole</v>
      </c>
      <c r="I1358" t="str">
        <f>_xlfn.XLOOKUP(tblOrders[[#This Row],[ProductID]],tblProducts[ProductID],tblProducts[Category],"not found")</f>
        <v>Toys</v>
      </c>
      <c r="J1358">
        <f>_xlfn.XLOOKUP(tblOrders[[#This Row],[ProductID]],tblProducts[ProductID],tblProducts[UnitPrice],"not found")</f>
        <v>433.44</v>
      </c>
      <c r="K1358" t="str">
        <f>_xlfn.XLOOKUP(tblOrders[[#This Row],[ProductID]],tblProducts[ProductID],tblProducts[Supplier],"not found")</f>
        <v>Foster-Olson</v>
      </c>
      <c r="L1358" s="1" t="s">
        <v>2275</v>
      </c>
      <c r="M13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45197</v>
      </c>
      <c r="N1358">
        <v>9</v>
      </c>
      <c r="O1358">
        <v>3900.96</v>
      </c>
      <c r="P1358">
        <f>tblOrders[[#This Row],[Quantity]]*tblOrders[[#This Row],[Unit Price]]</f>
        <v>3900.96</v>
      </c>
      <c r="Q1358">
        <f>tblOrders[[#This Row],[TotalSales]]-tblOrders[[#This Row],[Calculated Sales]]</f>
        <v>0</v>
      </c>
    </row>
    <row r="1359" spans="1:17" x14ac:dyDescent="0.25">
      <c r="A1359">
        <v>1894</v>
      </c>
      <c r="B1359">
        <v>528</v>
      </c>
      <c r="C1359" t="str">
        <f>_xlfn.XLOOKUP(tblOrders[[#This Row],[CustomerID]],tblCustomers[CustomerID],tblCustomers[CustomerName],"not found")</f>
        <v>Julie Harris</v>
      </c>
      <c r="D1359">
        <f>_xlfn.XLOOKUP(tblOrders[[#This Row],[CustomerID]],tblCustomers[CustomerID],tblCustomers[Age],"not found")</f>
        <v>66</v>
      </c>
      <c r="E1359" t="str">
        <f>_xlfn.XLOOKUP(tblOrders[[#This Row],[CustomerID]],tblCustomers[CustomerID],tblCustomers[Gender],"not found")</f>
        <v>Female</v>
      </c>
      <c r="F1359" t="str">
        <f>_xlfn.XLOOKUP(tblOrders[[#This Row],[CustomerID]],tblCustomers[CustomerID],tblCustomers[Region],"not found")</f>
        <v>North</v>
      </c>
      <c r="G1359">
        <v>1033</v>
      </c>
      <c r="H1359" t="str">
        <f>_xlfn.XLOOKUP(tblOrders[[#This Row],[ProductID]],tblProducts[ProductID],tblProducts[ProductName],"not found")</f>
        <v>Whole</v>
      </c>
      <c r="I1359" t="str">
        <f>_xlfn.XLOOKUP(tblOrders[[#This Row],[ProductID]],tblProducts[ProductID],tblProducts[Category],"not found")</f>
        <v>Toys</v>
      </c>
      <c r="J1359">
        <f>_xlfn.XLOOKUP(tblOrders[[#This Row],[ProductID]],tblProducts[ProductID],tblProducts[UnitPrice],"not found")</f>
        <v>433.44</v>
      </c>
      <c r="K1359" t="str">
        <f>_xlfn.XLOOKUP(tblOrders[[#This Row],[ProductID]],tblProducts[ProductID],tblProducts[Supplier],"not found")</f>
        <v>Foster-Olson</v>
      </c>
      <c r="L1359" s="1">
        <v>45421</v>
      </c>
      <c r="M13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45421</v>
      </c>
      <c r="N1359">
        <v>7</v>
      </c>
      <c r="O1359">
        <v>3034.08</v>
      </c>
      <c r="P1359">
        <f>tblOrders[[#This Row],[Quantity]]*tblOrders[[#This Row],[Unit Price]]</f>
        <v>3034.08</v>
      </c>
      <c r="Q1359">
        <f>tblOrders[[#This Row],[TotalSales]]-tblOrders[[#This Row],[Calculated Sales]]</f>
        <v>0</v>
      </c>
    </row>
    <row r="1360" spans="1:17" x14ac:dyDescent="0.25">
      <c r="A1360">
        <v>1930</v>
      </c>
      <c r="B1360">
        <v>343</v>
      </c>
      <c r="C1360" t="str">
        <f>_xlfn.XLOOKUP(tblOrders[[#This Row],[CustomerID]],tblCustomers[CustomerID],tblCustomers[CustomerName],"not found")</f>
        <v>Tammy Obrien</v>
      </c>
      <c r="D1360">
        <f>_xlfn.XLOOKUP(tblOrders[[#This Row],[CustomerID]],tblCustomers[CustomerID],tblCustomers[Age],"not found")</f>
        <v>64</v>
      </c>
      <c r="E1360" t="str">
        <f>_xlfn.XLOOKUP(tblOrders[[#This Row],[CustomerID]],tblCustomers[CustomerID],tblCustomers[Gender],"not found")</f>
        <v>Male</v>
      </c>
      <c r="F1360" t="str">
        <f>_xlfn.XLOOKUP(tblOrders[[#This Row],[CustomerID]],tblCustomers[CustomerID],tblCustomers[Region],"not found")</f>
        <v>South</v>
      </c>
      <c r="G1360">
        <v>1033</v>
      </c>
      <c r="H1360" t="str">
        <f>_xlfn.XLOOKUP(tblOrders[[#This Row],[ProductID]],tblProducts[ProductID],tblProducts[ProductName],"not found")</f>
        <v>Whole</v>
      </c>
      <c r="I1360" t="str">
        <f>_xlfn.XLOOKUP(tblOrders[[#This Row],[ProductID]],tblProducts[ProductID],tblProducts[Category],"not found")</f>
        <v>Toys</v>
      </c>
      <c r="J1360">
        <f>_xlfn.XLOOKUP(tblOrders[[#This Row],[ProductID]],tblProducts[ProductID],tblProducts[UnitPrice],"not found")</f>
        <v>433.44</v>
      </c>
      <c r="K1360" t="str">
        <f>_xlfn.XLOOKUP(tblOrders[[#This Row],[ProductID]],tblProducts[ProductID],tblProducts[Supplier],"not found")</f>
        <v>Foster-Olson</v>
      </c>
      <c r="L1360" s="1">
        <v>45354</v>
      </c>
      <c r="M13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45354</v>
      </c>
      <c r="N1360">
        <v>2</v>
      </c>
      <c r="O1360">
        <v>866.88</v>
      </c>
      <c r="P1360">
        <f>tblOrders[[#This Row],[Quantity]]*tblOrders[[#This Row],[Unit Price]]</f>
        <v>866.88</v>
      </c>
      <c r="Q1360">
        <f>tblOrders[[#This Row],[TotalSales]]-tblOrders[[#This Row],[Calculated Sales]]</f>
        <v>0</v>
      </c>
    </row>
    <row r="1361" spans="1:17" x14ac:dyDescent="0.25">
      <c r="A1361">
        <v>97</v>
      </c>
      <c r="B1361">
        <v>296</v>
      </c>
      <c r="C1361" t="str">
        <f>_xlfn.XLOOKUP(tblOrders[[#This Row],[CustomerID]],tblCustomers[CustomerID],tblCustomers[CustomerName],"not found")</f>
        <v>Kelly Williams</v>
      </c>
      <c r="D1361">
        <f>_xlfn.XLOOKUP(tblOrders[[#This Row],[CustomerID]],tblCustomers[CustomerID],tblCustomers[Age],"not found")</f>
        <v>30</v>
      </c>
      <c r="E1361" t="str">
        <f>_xlfn.XLOOKUP(tblOrders[[#This Row],[CustomerID]],tblCustomers[CustomerID],tblCustomers[Gender],"not found")</f>
        <v>Male</v>
      </c>
      <c r="F1361" t="str">
        <f>_xlfn.XLOOKUP(tblOrders[[#This Row],[CustomerID]],tblCustomers[CustomerID],tblCustomers[Region],"not found")</f>
        <v>North</v>
      </c>
      <c r="G1361">
        <v>1054</v>
      </c>
      <c r="H1361" t="str">
        <f>_xlfn.XLOOKUP(tblOrders[[#This Row],[ProductID]],tblProducts[ProductID],tblProducts[ProductName],"not found")</f>
        <v>Of</v>
      </c>
      <c r="I1361" t="str">
        <f>_xlfn.XLOOKUP(tblOrders[[#This Row],[ProductID]],tblProducts[ProductID],tblProducts[Category],"not found")</f>
        <v>Electronics</v>
      </c>
      <c r="J1361">
        <f>_xlfn.XLOOKUP(tblOrders[[#This Row],[ProductID]],tblProducts[ProductID],tblProducts[UnitPrice],"not found")</f>
        <v>27.44</v>
      </c>
      <c r="K1361" t="str">
        <f>_xlfn.XLOOKUP(tblOrders[[#This Row],[ProductID]],tblProducts[ProductID],tblProducts[Supplier],"not found")</f>
        <v>Campbell Ltd</v>
      </c>
      <c r="L1361" s="1" t="s">
        <v>2126</v>
      </c>
      <c r="M13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45077</v>
      </c>
      <c r="N1361">
        <v>1</v>
      </c>
      <c r="O1361">
        <v>27.44</v>
      </c>
      <c r="P1361">
        <f>tblOrders[[#This Row],[Quantity]]*tblOrders[[#This Row],[Unit Price]]</f>
        <v>27.44</v>
      </c>
      <c r="Q1361">
        <f>tblOrders[[#This Row],[TotalSales]]-tblOrders[[#This Row],[Calculated Sales]]</f>
        <v>0</v>
      </c>
    </row>
    <row r="1362" spans="1:17" x14ac:dyDescent="0.25">
      <c r="A1362">
        <v>283</v>
      </c>
      <c r="B1362">
        <v>928</v>
      </c>
      <c r="C1362" t="str">
        <f>_xlfn.XLOOKUP(tblOrders[[#This Row],[CustomerID]],tblCustomers[CustomerID],tblCustomers[CustomerName],"not found")</f>
        <v>Roger Garcia</v>
      </c>
      <c r="D1362">
        <f>_xlfn.XLOOKUP(tblOrders[[#This Row],[CustomerID]],tblCustomers[CustomerID],tblCustomers[Age],"not found")</f>
        <v>63</v>
      </c>
      <c r="E1362" t="str">
        <f>_xlfn.XLOOKUP(tblOrders[[#This Row],[CustomerID]],tblCustomers[CustomerID],tblCustomers[Gender],"not found")</f>
        <v>Female</v>
      </c>
      <c r="F1362" t="str">
        <f>_xlfn.XLOOKUP(tblOrders[[#This Row],[CustomerID]],tblCustomers[CustomerID],tblCustomers[Region],"not found")</f>
        <v>South</v>
      </c>
      <c r="G1362">
        <v>1054</v>
      </c>
      <c r="H1362" t="str">
        <f>_xlfn.XLOOKUP(tblOrders[[#This Row],[ProductID]],tblProducts[ProductID],tblProducts[ProductName],"not found")</f>
        <v>Of</v>
      </c>
      <c r="I1362" t="str">
        <f>_xlfn.XLOOKUP(tblOrders[[#This Row],[ProductID]],tblProducts[ProductID],tblProducts[Category],"not found")</f>
        <v>Electronics</v>
      </c>
      <c r="J1362">
        <f>_xlfn.XLOOKUP(tblOrders[[#This Row],[ProductID]],tblProducts[ProductID],tblProducts[UnitPrice],"not found")</f>
        <v>27.44</v>
      </c>
      <c r="K1362" t="str">
        <f>_xlfn.XLOOKUP(tblOrders[[#This Row],[ProductID]],tblProducts[ProductID],tblProducts[Supplier],"not found")</f>
        <v>Campbell Ltd</v>
      </c>
      <c r="L1362" s="1">
        <v>44723</v>
      </c>
      <c r="M13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1362">
        <v>9</v>
      </c>
      <c r="O1362">
        <v>246.96</v>
      </c>
      <c r="P1362">
        <f>tblOrders[[#This Row],[Quantity]]*tblOrders[[#This Row],[Unit Price]]</f>
        <v>246.96</v>
      </c>
      <c r="Q1362">
        <f>tblOrders[[#This Row],[TotalSales]]-tblOrders[[#This Row],[Calculated Sales]]</f>
        <v>0</v>
      </c>
    </row>
    <row r="1363" spans="1:17" x14ac:dyDescent="0.25">
      <c r="A1363">
        <v>303</v>
      </c>
      <c r="B1363">
        <v>267</v>
      </c>
      <c r="C1363" t="str">
        <f>_xlfn.XLOOKUP(tblOrders[[#This Row],[CustomerID]],tblCustomers[CustomerID],tblCustomers[CustomerName],"not found")</f>
        <v>Tina Miller</v>
      </c>
      <c r="D1363">
        <f>_xlfn.XLOOKUP(tblOrders[[#This Row],[CustomerID]],tblCustomers[CustomerID],tblCustomers[Age],"not found")</f>
        <v>57</v>
      </c>
      <c r="E1363" t="str">
        <f>_xlfn.XLOOKUP(tblOrders[[#This Row],[CustomerID]],tblCustomers[CustomerID],tblCustomers[Gender],"not found")</f>
        <v>Female</v>
      </c>
      <c r="F1363" t="str">
        <f>_xlfn.XLOOKUP(tblOrders[[#This Row],[CustomerID]],tblCustomers[CustomerID],tblCustomers[Region],"not found")</f>
        <v>East</v>
      </c>
      <c r="G1363">
        <v>1054</v>
      </c>
      <c r="H1363" t="str">
        <f>_xlfn.XLOOKUP(tblOrders[[#This Row],[ProductID]],tblProducts[ProductID],tblProducts[ProductName],"not found")</f>
        <v>Of</v>
      </c>
      <c r="I1363" t="str">
        <f>_xlfn.XLOOKUP(tblOrders[[#This Row],[ProductID]],tblProducts[ProductID],tblProducts[Category],"not found")</f>
        <v>Electronics</v>
      </c>
      <c r="J1363">
        <f>_xlfn.XLOOKUP(tblOrders[[#This Row],[ProductID]],tblProducts[ProductID],tblProducts[UnitPrice],"not found")</f>
        <v>27.44</v>
      </c>
      <c r="K1363" t="str">
        <f>_xlfn.XLOOKUP(tblOrders[[#This Row],[ProductID]],tblProducts[ProductID],tblProducts[Supplier],"not found")</f>
        <v>Campbell Ltd</v>
      </c>
      <c r="L1363" s="1" t="s">
        <v>2357</v>
      </c>
      <c r="M13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45375</v>
      </c>
      <c r="N1363">
        <v>2</v>
      </c>
      <c r="O1363">
        <v>54.88</v>
      </c>
      <c r="P1363">
        <f>tblOrders[[#This Row],[Quantity]]*tblOrders[[#This Row],[Unit Price]]</f>
        <v>54.88</v>
      </c>
      <c r="Q1363">
        <f>tblOrders[[#This Row],[TotalSales]]-tblOrders[[#This Row],[Calculated Sales]]</f>
        <v>0</v>
      </c>
    </row>
    <row r="1364" spans="1:17" x14ac:dyDescent="0.25">
      <c r="A1364">
        <v>399</v>
      </c>
      <c r="B1364">
        <v>470</v>
      </c>
      <c r="C1364" t="str">
        <f>_xlfn.XLOOKUP(tblOrders[[#This Row],[CustomerID]],tblCustomers[CustomerID],tblCustomers[CustomerName],"not found")</f>
        <v>Robert Allen</v>
      </c>
      <c r="D1364">
        <f>_xlfn.XLOOKUP(tblOrders[[#This Row],[CustomerID]],tblCustomers[CustomerID],tblCustomers[Age],"not found")</f>
        <v>48</v>
      </c>
      <c r="E1364" t="str">
        <f>_xlfn.XLOOKUP(tblOrders[[#This Row],[CustomerID]],tblCustomers[CustomerID],tblCustomers[Gender],"not found")</f>
        <v>Female</v>
      </c>
      <c r="F1364" t="str">
        <f>_xlfn.XLOOKUP(tblOrders[[#This Row],[CustomerID]],tblCustomers[CustomerID],tblCustomers[Region],"not found")</f>
        <v>Central</v>
      </c>
      <c r="G1364">
        <v>1054</v>
      </c>
      <c r="H1364" t="str">
        <f>_xlfn.XLOOKUP(tblOrders[[#This Row],[ProductID]],tblProducts[ProductID],tblProducts[ProductName],"not found")</f>
        <v>Of</v>
      </c>
      <c r="I1364" t="str">
        <f>_xlfn.XLOOKUP(tblOrders[[#This Row],[ProductID]],tblProducts[ProductID],tblProducts[Category],"not found")</f>
        <v>Electronics</v>
      </c>
      <c r="J1364">
        <f>_xlfn.XLOOKUP(tblOrders[[#This Row],[ProductID]],tblProducts[ProductID],tblProducts[UnitPrice],"not found")</f>
        <v>27.44</v>
      </c>
      <c r="K1364" t="str">
        <f>_xlfn.XLOOKUP(tblOrders[[#This Row],[ProductID]],tblProducts[ProductID],tblProducts[Supplier],"not found")</f>
        <v>Campbell Ltd</v>
      </c>
      <c r="L1364" s="1" t="s">
        <v>2336</v>
      </c>
      <c r="M13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44999</v>
      </c>
      <c r="N1364">
        <v>3</v>
      </c>
      <c r="O1364">
        <v>82.32</v>
      </c>
      <c r="P1364">
        <f>tblOrders[[#This Row],[Quantity]]*tblOrders[[#This Row],[Unit Price]]</f>
        <v>82.320000000000007</v>
      </c>
      <c r="Q1364">
        <f>tblOrders[[#This Row],[TotalSales]]-tblOrders[[#This Row],[Calculated Sales]]</f>
        <v>0</v>
      </c>
    </row>
    <row r="1365" spans="1:17" x14ac:dyDescent="0.25">
      <c r="A1365">
        <v>571</v>
      </c>
      <c r="B1365">
        <v>674</v>
      </c>
      <c r="C1365" t="str">
        <f>_xlfn.XLOOKUP(tblOrders[[#This Row],[CustomerID]],tblCustomers[CustomerID],tblCustomers[CustomerName],"not found")</f>
        <v>Raymond Oconnor</v>
      </c>
      <c r="D1365">
        <f>_xlfn.XLOOKUP(tblOrders[[#This Row],[CustomerID]],tblCustomers[CustomerID],tblCustomers[Age],"not found")</f>
        <v>44</v>
      </c>
      <c r="E1365" t="str">
        <f>_xlfn.XLOOKUP(tblOrders[[#This Row],[CustomerID]],tblCustomers[CustomerID],tblCustomers[Gender],"not found")</f>
        <v>Female</v>
      </c>
      <c r="F1365" t="str">
        <f>_xlfn.XLOOKUP(tblOrders[[#This Row],[CustomerID]],tblCustomers[CustomerID],tblCustomers[Region],"not found")</f>
        <v>Central</v>
      </c>
      <c r="G1365">
        <v>1054</v>
      </c>
      <c r="H1365" t="str">
        <f>_xlfn.XLOOKUP(tblOrders[[#This Row],[ProductID]],tblProducts[ProductID],tblProducts[ProductName],"not found")</f>
        <v>Of</v>
      </c>
      <c r="I1365" t="str">
        <f>_xlfn.XLOOKUP(tblOrders[[#This Row],[ProductID]],tblProducts[ProductID],tblProducts[Category],"not found")</f>
        <v>Electronics</v>
      </c>
      <c r="J1365">
        <f>_xlfn.XLOOKUP(tblOrders[[#This Row],[ProductID]],tblProducts[ProductID],tblProducts[UnitPrice],"not found")</f>
        <v>27.44</v>
      </c>
      <c r="K1365" t="str">
        <f>_xlfn.XLOOKUP(tblOrders[[#This Row],[ProductID]],tblProducts[ProductID],tblProducts[Supplier],"not found")</f>
        <v>Campbell Ltd</v>
      </c>
      <c r="L1365" s="1">
        <v>44927</v>
      </c>
      <c r="M13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44927</v>
      </c>
      <c r="N1365">
        <v>8</v>
      </c>
      <c r="O1365">
        <v>219.52</v>
      </c>
      <c r="P1365">
        <f>tblOrders[[#This Row],[Quantity]]*tblOrders[[#This Row],[Unit Price]]</f>
        <v>219.52</v>
      </c>
      <c r="Q1365">
        <f>tblOrders[[#This Row],[TotalSales]]-tblOrders[[#This Row],[Calculated Sales]]</f>
        <v>0</v>
      </c>
    </row>
    <row r="1366" spans="1:17" x14ac:dyDescent="0.25">
      <c r="A1366">
        <v>744</v>
      </c>
      <c r="B1366">
        <v>194</v>
      </c>
      <c r="C1366" t="str">
        <f>_xlfn.XLOOKUP(tblOrders[[#This Row],[CustomerID]],tblCustomers[CustomerID],tblCustomers[CustomerName],"not found")</f>
        <v>Troy Peterson</v>
      </c>
      <c r="D1366">
        <f>_xlfn.XLOOKUP(tblOrders[[#This Row],[CustomerID]],tblCustomers[CustomerID],tblCustomers[Age],"not found")</f>
        <v>28</v>
      </c>
      <c r="E1366" t="str">
        <f>_xlfn.XLOOKUP(tblOrders[[#This Row],[CustomerID]],tblCustomers[CustomerID],tblCustomers[Gender],"not found")</f>
        <v>Female</v>
      </c>
      <c r="F1366" t="str">
        <f>_xlfn.XLOOKUP(tblOrders[[#This Row],[CustomerID]],tblCustomers[CustomerID],tblCustomers[Region],"not found")</f>
        <v>West</v>
      </c>
      <c r="G1366">
        <v>1054</v>
      </c>
      <c r="H1366" t="str">
        <f>_xlfn.XLOOKUP(tblOrders[[#This Row],[ProductID]],tblProducts[ProductID],tblProducts[ProductName],"not found")</f>
        <v>Of</v>
      </c>
      <c r="I1366" t="str">
        <f>_xlfn.XLOOKUP(tblOrders[[#This Row],[ProductID]],tblProducts[ProductID],tblProducts[Category],"not found")</f>
        <v>Electronics</v>
      </c>
      <c r="J1366">
        <f>_xlfn.XLOOKUP(tblOrders[[#This Row],[ProductID]],tblProducts[ProductID],tblProducts[UnitPrice],"not found")</f>
        <v>27.44</v>
      </c>
      <c r="K1366" t="str">
        <f>_xlfn.XLOOKUP(tblOrders[[#This Row],[ProductID]],tblProducts[ProductID],tblProducts[Supplier],"not found")</f>
        <v>Campbell Ltd</v>
      </c>
      <c r="L1366" s="1" t="s">
        <v>2369</v>
      </c>
      <c r="M13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45286</v>
      </c>
      <c r="N1366">
        <v>6</v>
      </c>
      <c r="O1366">
        <v>164.64</v>
      </c>
      <c r="P1366">
        <f>tblOrders[[#This Row],[Quantity]]*tblOrders[[#This Row],[Unit Price]]</f>
        <v>164.64000000000001</v>
      </c>
      <c r="Q1366">
        <f>tblOrders[[#This Row],[TotalSales]]-tblOrders[[#This Row],[Calculated Sales]]</f>
        <v>0</v>
      </c>
    </row>
    <row r="1367" spans="1:17" x14ac:dyDescent="0.25">
      <c r="A1367">
        <v>754</v>
      </c>
      <c r="B1367">
        <v>745</v>
      </c>
      <c r="C1367" t="str">
        <f>_xlfn.XLOOKUP(tblOrders[[#This Row],[CustomerID]],tblCustomers[CustomerID],tblCustomers[CustomerName],"not found")</f>
        <v>Nathaniel Willis</v>
      </c>
      <c r="D1367">
        <f>_xlfn.XLOOKUP(tblOrders[[#This Row],[CustomerID]],tblCustomers[CustomerID],tblCustomers[Age],"not found")</f>
        <v>51</v>
      </c>
      <c r="E1367" t="str">
        <f>_xlfn.XLOOKUP(tblOrders[[#This Row],[CustomerID]],tblCustomers[CustomerID],tblCustomers[Gender],"not found")</f>
        <v>Male</v>
      </c>
      <c r="F1367" t="str">
        <f>_xlfn.XLOOKUP(tblOrders[[#This Row],[CustomerID]],tblCustomers[CustomerID],tblCustomers[Region],"not found")</f>
        <v>North</v>
      </c>
      <c r="G1367">
        <v>1054</v>
      </c>
      <c r="H1367" t="str">
        <f>_xlfn.XLOOKUP(tblOrders[[#This Row],[ProductID]],tblProducts[ProductID],tblProducts[ProductName],"not found")</f>
        <v>Of</v>
      </c>
      <c r="I1367" t="str">
        <f>_xlfn.XLOOKUP(tblOrders[[#This Row],[ProductID]],tblProducts[ProductID],tblProducts[Category],"not found")</f>
        <v>Electronics</v>
      </c>
      <c r="J1367">
        <f>_xlfn.XLOOKUP(tblOrders[[#This Row],[ProductID]],tblProducts[ProductID],tblProducts[UnitPrice],"not found")</f>
        <v>27.44</v>
      </c>
      <c r="K1367" t="str">
        <f>_xlfn.XLOOKUP(tblOrders[[#This Row],[ProductID]],tblProducts[ProductID],tblProducts[Supplier],"not found")</f>
        <v>Campbell Ltd</v>
      </c>
      <c r="L1367" s="1" t="s">
        <v>2273</v>
      </c>
      <c r="M13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45278</v>
      </c>
      <c r="N1367">
        <v>9</v>
      </c>
      <c r="O1367">
        <v>246.96</v>
      </c>
      <c r="P1367">
        <f>tblOrders[[#This Row],[Quantity]]*tblOrders[[#This Row],[Unit Price]]</f>
        <v>246.96</v>
      </c>
      <c r="Q1367">
        <f>tblOrders[[#This Row],[TotalSales]]-tblOrders[[#This Row],[Calculated Sales]]</f>
        <v>0</v>
      </c>
    </row>
    <row r="1368" spans="1:17" x14ac:dyDescent="0.25">
      <c r="A1368">
        <v>1043</v>
      </c>
      <c r="B1368">
        <v>312</v>
      </c>
      <c r="C1368" t="str">
        <f>_xlfn.XLOOKUP(tblOrders[[#This Row],[CustomerID]],tblCustomers[CustomerID],tblCustomers[CustomerName],"not found")</f>
        <v>Brandon Smith</v>
      </c>
      <c r="D1368">
        <f>_xlfn.XLOOKUP(tblOrders[[#This Row],[CustomerID]],tblCustomers[CustomerID],tblCustomers[Age],"not found")</f>
        <v>44</v>
      </c>
      <c r="E1368" t="str">
        <f>_xlfn.XLOOKUP(tblOrders[[#This Row],[CustomerID]],tblCustomers[CustomerID],tblCustomers[Gender],"not found")</f>
        <v>Female</v>
      </c>
      <c r="F1368" t="str">
        <f>_xlfn.XLOOKUP(tblOrders[[#This Row],[CustomerID]],tblCustomers[CustomerID],tblCustomers[Region],"not found")</f>
        <v>Central</v>
      </c>
      <c r="G1368">
        <v>1054</v>
      </c>
      <c r="H1368" t="str">
        <f>_xlfn.XLOOKUP(tblOrders[[#This Row],[ProductID]],tblProducts[ProductID],tblProducts[ProductName],"not found")</f>
        <v>Of</v>
      </c>
      <c r="I1368" t="str">
        <f>_xlfn.XLOOKUP(tblOrders[[#This Row],[ProductID]],tblProducts[ProductID],tblProducts[Category],"not found")</f>
        <v>Electronics</v>
      </c>
      <c r="J1368">
        <f>_xlfn.XLOOKUP(tblOrders[[#This Row],[ProductID]],tblProducts[ProductID],tblProducts[UnitPrice],"not found")</f>
        <v>27.44</v>
      </c>
      <c r="K1368" t="str">
        <f>_xlfn.XLOOKUP(tblOrders[[#This Row],[ProductID]],tblProducts[ProductID],tblProducts[Supplier],"not found")</f>
        <v>Campbell Ltd</v>
      </c>
      <c r="L1368" s="1" t="s">
        <v>2376</v>
      </c>
      <c r="M13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45340</v>
      </c>
      <c r="N1368">
        <v>4</v>
      </c>
      <c r="O1368">
        <v>109.76</v>
      </c>
      <c r="P1368">
        <f>tblOrders[[#This Row],[Quantity]]*tblOrders[[#This Row],[Unit Price]]</f>
        <v>109.76</v>
      </c>
      <c r="Q1368">
        <f>tblOrders[[#This Row],[TotalSales]]-tblOrders[[#This Row],[Calculated Sales]]</f>
        <v>0</v>
      </c>
    </row>
    <row r="1369" spans="1:17" x14ac:dyDescent="0.25">
      <c r="A1369">
        <v>1110</v>
      </c>
      <c r="B1369">
        <v>388</v>
      </c>
      <c r="C1369" t="str">
        <f>_xlfn.XLOOKUP(tblOrders[[#This Row],[CustomerID]],tblCustomers[CustomerID],tblCustomers[CustomerName],"not found")</f>
        <v>Todd Garcia</v>
      </c>
      <c r="D1369">
        <f>_xlfn.XLOOKUP(tblOrders[[#This Row],[CustomerID]],tblCustomers[CustomerID],tblCustomers[Age],"not found")</f>
        <v>29</v>
      </c>
      <c r="E1369" t="str">
        <f>_xlfn.XLOOKUP(tblOrders[[#This Row],[CustomerID]],tblCustomers[CustomerID],tblCustomers[Gender],"not found")</f>
        <v>Male</v>
      </c>
      <c r="F1369" t="str">
        <f>_xlfn.XLOOKUP(tblOrders[[#This Row],[CustomerID]],tblCustomers[CustomerID],tblCustomers[Region],"not found")</f>
        <v>South</v>
      </c>
      <c r="G1369">
        <v>1054</v>
      </c>
      <c r="H1369" t="str">
        <f>_xlfn.XLOOKUP(tblOrders[[#This Row],[ProductID]],tblProducts[ProductID],tblProducts[ProductName],"not found")</f>
        <v>Of</v>
      </c>
      <c r="I1369" t="str">
        <f>_xlfn.XLOOKUP(tblOrders[[#This Row],[ProductID]],tblProducts[ProductID],tblProducts[Category],"not found")</f>
        <v>Electronics</v>
      </c>
      <c r="J1369">
        <f>_xlfn.XLOOKUP(tblOrders[[#This Row],[ProductID]],tblProducts[ProductID],tblProducts[UnitPrice],"not found")</f>
        <v>27.44</v>
      </c>
      <c r="K1369" t="str">
        <f>_xlfn.XLOOKUP(tblOrders[[#This Row],[ProductID]],tblProducts[ProductID],tblProducts[Supplier],"not found")</f>
        <v>Campbell Ltd</v>
      </c>
      <c r="L1369" s="1">
        <v>45020</v>
      </c>
      <c r="M13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45020</v>
      </c>
      <c r="N1369">
        <v>8</v>
      </c>
      <c r="O1369">
        <v>219.52</v>
      </c>
      <c r="P1369">
        <f>tblOrders[[#This Row],[Quantity]]*tblOrders[[#This Row],[Unit Price]]</f>
        <v>219.52</v>
      </c>
      <c r="Q1369">
        <f>tblOrders[[#This Row],[TotalSales]]-tblOrders[[#This Row],[Calculated Sales]]</f>
        <v>0</v>
      </c>
    </row>
    <row r="1370" spans="1:17" x14ac:dyDescent="0.25">
      <c r="A1370">
        <v>1164</v>
      </c>
      <c r="B1370">
        <v>759</v>
      </c>
      <c r="C1370" t="str">
        <f>_xlfn.XLOOKUP(tblOrders[[#This Row],[CustomerID]],tblCustomers[CustomerID],tblCustomers[CustomerName],"not found")</f>
        <v>Heather Horne</v>
      </c>
      <c r="D1370">
        <f>_xlfn.XLOOKUP(tblOrders[[#This Row],[CustomerID]],tblCustomers[CustomerID],tblCustomers[Age],"not found")</f>
        <v>41</v>
      </c>
      <c r="E1370" t="str">
        <f>_xlfn.XLOOKUP(tblOrders[[#This Row],[CustomerID]],tblCustomers[CustomerID],tblCustomers[Gender],"not found")</f>
        <v>Female</v>
      </c>
      <c r="F1370" t="str">
        <f>_xlfn.XLOOKUP(tblOrders[[#This Row],[CustomerID]],tblCustomers[CustomerID],tblCustomers[Region],"not found")</f>
        <v>Central</v>
      </c>
      <c r="G1370">
        <v>1054</v>
      </c>
      <c r="H1370" t="str">
        <f>_xlfn.XLOOKUP(tblOrders[[#This Row],[ProductID]],tblProducts[ProductID],tblProducts[ProductName],"not found")</f>
        <v>Of</v>
      </c>
      <c r="I1370" t="str">
        <f>_xlfn.XLOOKUP(tblOrders[[#This Row],[ProductID]],tblProducts[ProductID],tblProducts[Category],"not found")</f>
        <v>Electronics</v>
      </c>
      <c r="J1370">
        <f>_xlfn.XLOOKUP(tblOrders[[#This Row],[ProductID]],tblProducts[ProductID],tblProducts[UnitPrice],"not found")</f>
        <v>27.44</v>
      </c>
      <c r="K1370" t="str">
        <f>_xlfn.XLOOKUP(tblOrders[[#This Row],[ProductID]],tblProducts[ProductID],tblProducts[Supplier],"not found")</f>
        <v>Campbell Ltd</v>
      </c>
      <c r="L1370" s="1" t="s">
        <v>2360</v>
      </c>
      <c r="M13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45534</v>
      </c>
      <c r="N1370">
        <v>9</v>
      </c>
      <c r="O1370">
        <v>246.96</v>
      </c>
      <c r="P1370">
        <f>tblOrders[[#This Row],[Quantity]]*tblOrders[[#This Row],[Unit Price]]</f>
        <v>246.96</v>
      </c>
      <c r="Q1370">
        <f>tblOrders[[#This Row],[TotalSales]]-tblOrders[[#This Row],[Calculated Sales]]</f>
        <v>0</v>
      </c>
    </row>
    <row r="1371" spans="1:17" x14ac:dyDescent="0.25">
      <c r="A1371">
        <v>1255</v>
      </c>
      <c r="B1371">
        <v>874</v>
      </c>
      <c r="C1371" t="str">
        <f>_xlfn.XLOOKUP(tblOrders[[#This Row],[CustomerID]],tblCustomers[CustomerID],tblCustomers[CustomerName],"not found")</f>
        <v>Michael Smith</v>
      </c>
      <c r="D1371">
        <f>_xlfn.XLOOKUP(tblOrders[[#This Row],[CustomerID]],tblCustomers[CustomerID],tblCustomers[Age],"not found")</f>
        <v>20</v>
      </c>
      <c r="E1371" t="str">
        <f>_xlfn.XLOOKUP(tblOrders[[#This Row],[CustomerID]],tblCustomers[CustomerID],tblCustomers[Gender],"not found")</f>
        <v>Female</v>
      </c>
      <c r="F1371" t="str">
        <f>_xlfn.XLOOKUP(tblOrders[[#This Row],[CustomerID]],tblCustomers[CustomerID],tblCustomers[Region],"not found")</f>
        <v>West</v>
      </c>
      <c r="G1371">
        <v>1054</v>
      </c>
      <c r="H1371" t="str">
        <f>_xlfn.XLOOKUP(tblOrders[[#This Row],[ProductID]],tblProducts[ProductID],tblProducts[ProductName],"not found")</f>
        <v>Of</v>
      </c>
      <c r="I1371" t="str">
        <f>_xlfn.XLOOKUP(tblOrders[[#This Row],[ProductID]],tblProducts[ProductID],tblProducts[Category],"not found")</f>
        <v>Electronics</v>
      </c>
      <c r="J1371">
        <f>_xlfn.XLOOKUP(tblOrders[[#This Row],[ProductID]],tblProducts[ProductID],tblProducts[UnitPrice],"not found")</f>
        <v>27.44</v>
      </c>
      <c r="K1371" t="str">
        <f>_xlfn.XLOOKUP(tblOrders[[#This Row],[ProductID]],tblProducts[ProductID],tblProducts[Supplier],"not found")</f>
        <v>Campbell Ltd</v>
      </c>
      <c r="L1371" s="1" t="s">
        <v>2309</v>
      </c>
      <c r="M13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45443</v>
      </c>
      <c r="N1371">
        <v>5</v>
      </c>
      <c r="O1371">
        <v>137.19999999999999</v>
      </c>
      <c r="P1371">
        <f>tblOrders[[#This Row],[Quantity]]*tblOrders[[#This Row],[Unit Price]]</f>
        <v>137.20000000000002</v>
      </c>
      <c r="Q1371">
        <f>tblOrders[[#This Row],[TotalSales]]-tblOrders[[#This Row],[Calculated Sales]]</f>
        <v>0</v>
      </c>
    </row>
    <row r="1372" spans="1:17" x14ac:dyDescent="0.25">
      <c r="A1372">
        <v>1312</v>
      </c>
      <c r="B1372">
        <v>364</v>
      </c>
      <c r="C1372" t="str">
        <f>_xlfn.XLOOKUP(tblOrders[[#This Row],[CustomerID]],tblCustomers[CustomerID],tblCustomers[CustomerName],"not found")</f>
        <v>Joseph Johnson</v>
      </c>
      <c r="D1372">
        <f>_xlfn.XLOOKUP(tblOrders[[#This Row],[CustomerID]],tblCustomers[CustomerID],tblCustomers[Age],"not found")</f>
        <v>67</v>
      </c>
      <c r="E1372" t="str">
        <f>_xlfn.XLOOKUP(tblOrders[[#This Row],[CustomerID]],tblCustomers[CustomerID],tblCustomers[Gender],"not found")</f>
        <v>Male</v>
      </c>
      <c r="F1372" t="str">
        <f>_xlfn.XLOOKUP(tblOrders[[#This Row],[CustomerID]],tblCustomers[CustomerID],tblCustomers[Region],"not found")</f>
        <v>South</v>
      </c>
      <c r="G1372">
        <v>1054</v>
      </c>
      <c r="H1372" t="str">
        <f>_xlfn.XLOOKUP(tblOrders[[#This Row],[ProductID]],tblProducts[ProductID],tblProducts[ProductName],"not found")</f>
        <v>Of</v>
      </c>
      <c r="I1372" t="str">
        <f>_xlfn.XLOOKUP(tblOrders[[#This Row],[ProductID]],tblProducts[ProductID],tblProducts[Category],"not found")</f>
        <v>Electronics</v>
      </c>
      <c r="J1372">
        <f>_xlfn.XLOOKUP(tblOrders[[#This Row],[ProductID]],tblProducts[ProductID],tblProducts[UnitPrice],"not found")</f>
        <v>27.44</v>
      </c>
      <c r="K1372" t="str">
        <f>_xlfn.XLOOKUP(tblOrders[[#This Row],[ProductID]],tblProducts[ProductID],tblProducts[Supplier],"not found")</f>
        <v>Campbell Ltd</v>
      </c>
      <c r="L1372" s="1">
        <v>45300</v>
      </c>
      <c r="M13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45300</v>
      </c>
      <c r="N1372">
        <v>8</v>
      </c>
      <c r="O1372">
        <v>219.52</v>
      </c>
      <c r="P1372">
        <f>tblOrders[[#This Row],[Quantity]]*tblOrders[[#This Row],[Unit Price]]</f>
        <v>219.52</v>
      </c>
      <c r="Q1372">
        <f>tblOrders[[#This Row],[TotalSales]]-tblOrders[[#This Row],[Calculated Sales]]</f>
        <v>0</v>
      </c>
    </row>
    <row r="1373" spans="1:17" x14ac:dyDescent="0.25">
      <c r="A1373">
        <v>1426</v>
      </c>
      <c r="B1373">
        <v>678</v>
      </c>
      <c r="C1373" t="str">
        <f>_xlfn.XLOOKUP(tblOrders[[#This Row],[CustomerID]],tblCustomers[CustomerID],tblCustomers[CustomerName],"not found")</f>
        <v>Jeffrey Campbell</v>
      </c>
      <c r="D1373">
        <f>_xlfn.XLOOKUP(tblOrders[[#This Row],[CustomerID]],tblCustomers[CustomerID],tblCustomers[Age],"not found")</f>
        <v>63</v>
      </c>
      <c r="E1373" t="str">
        <f>_xlfn.XLOOKUP(tblOrders[[#This Row],[CustomerID]],tblCustomers[CustomerID],tblCustomers[Gender],"not found")</f>
        <v>Male</v>
      </c>
      <c r="F1373" t="str">
        <f>_xlfn.XLOOKUP(tblOrders[[#This Row],[CustomerID]],tblCustomers[CustomerID],tblCustomers[Region],"not found")</f>
        <v>North</v>
      </c>
      <c r="G1373">
        <v>1054</v>
      </c>
      <c r="H1373" t="str">
        <f>_xlfn.XLOOKUP(tblOrders[[#This Row],[ProductID]],tblProducts[ProductID],tblProducts[ProductName],"not found")</f>
        <v>Of</v>
      </c>
      <c r="I1373" t="str">
        <f>_xlfn.XLOOKUP(tblOrders[[#This Row],[ProductID]],tblProducts[ProductID],tblProducts[Category],"not found")</f>
        <v>Electronics</v>
      </c>
      <c r="J1373">
        <f>_xlfn.XLOOKUP(tblOrders[[#This Row],[ProductID]],tblProducts[ProductID],tblProducts[UnitPrice],"not found")</f>
        <v>27.44</v>
      </c>
      <c r="K1373" t="str">
        <f>_xlfn.XLOOKUP(tblOrders[[#This Row],[ProductID]],tblProducts[ProductID],tblProducts[Supplier],"not found")</f>
        <v>Campbell Ltd</v>
      </c>
      <c r="L1373" s="1">
        <v>44930</v>
      </c>
      <c r="M13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44930</v>
      </c>
      <c r="N1373">
        <v>9</v>
      </c>
      <c r="O1373">
        <v>246.96</v>
      </c>
      <c r="P1373">
        <f>tblOrders[[#This Row],[Quantity]]*tblOrders[[#This Row],[Unit Price]]</f>
        <v>246.96</v>
      </c>
      <c r="Q1373">
        <f>tblOrders[[#This Row],[TotalSales]]-tblOrders[[#This Row],[Calculated Sales]]</f>
        <v>0</v>
      </c>
    </row>
    <row r="1374" spans="1:17" x14ac:dyDescent="0.25">
      <c r="A1374">
        <v>1562</v>
      </c>
      <c r="B1374">
        <v>905</v>
      </c>
      <c r="C1374" t="str">
        <f>_xlfn.XLOOKUP(tblOrders[[#This Row],[CustomerID]],tblCustomers[CustomerID],tblCustomers[CustomerName],"not found")</f>
        <v>Antonio Brown</v>
      </c>
      <c r="D1374">
        <f>_xlfn.XLOOKUP(tblOrders[[#This Row],[CustomerID]],tblCustomers[CustomerID],tblCustomers[Age],"not found")</f>
        <v>18</v>
      </c>
      <c r="E1374" t="str">
        <f>_xlfn.XLOOKUP(tblOrders[[#This Row],[CustomerID]],tblCustomers[CustomerID],tblCustomers[Gender],"not found")</f>
        <v>Male</v>
      </c>
      <c r="F1374" t="str">
        <f>_xlfn.XLOOKUP(tblOrders[[#This Row],[CustomerID]],tblCustomers[CustomerID],tblCustomers[Region],"not found")</f>
        <v>North</v>
      </c>
      <c r="G1374">
        <v>1054</v>
      </c>
      <c r="H1374" t="str">
        <f>_xlfn.XLOOKUP(tblOrders[[#This Row],[ProductID]],tblProducts[ProductID],tblProducts[ProductName],"not found")</f>
        <v>Of</v>
      </c>
      <c r="I1374" t="str">
        <f>_xlfn.XLOOKUP(tblOrders[[#This Row],[ProductID]],tblProducts[ProductID],tblProducts[Category],"not found")</f>
        <v>Electronics</v>
      </c>
      <c r="J1374">
        <f>_xlfn.XLOOKUP(tblOrders[[#This Row],[ProductID]],tblProducts[ProductID],tblProducts[UnitPrice],"not found")</f>
        <v>27.44</v>
      </c>
      <c r="K1374" t="str">
        <f>_xlfn.XLOOKUP(tblOrders[[#This Row],[ProductID]],tblProducts[ProductID],tblProducts[Supplier],"not found")</f>
        <v>Campbell Ltd</v>
      </c>
      <c r="L1374" s="1">
        <v>45514</v>
      </c>
      <c r="M13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45514</v>
      </c>
      <c r="N1374">
        <v>4</v>
      </c>
      <c r="O1374">
        <v>109.76</v>
      </c>
      <c r="P1374">
        <f>tblOrders[[#This Row],[Quantity]]*tblOrders[[#This Row],[Unit Price]]</f>
        <v>109.76</v>
      </c>
      <c r="Q1374">
        <f>tblOrders[[#This Row],[TotalSales]]-tblOrders[[#This Row],[Calculated Sales]]</f>
        <v>0</v>
      </c>
    </row>
    <row r="1375" spans="1:17" x14ac:dyDescent="0.25">
      <c r="A1375">
        <v>1616</v>
      </c>
      <c r="B1375">
        <v>939</v>
      </c>
      <c r="C1375" t="str">
        <f>_xlfn.XLOOKUP(tblOrders[[#This Row],[CustomerID]],tblCustomers[CustomerID],tblCustomers[CustomerName],"not found")</f>
        <v>Krista Moore</v>
      </c>
      <c r="D1375">
        <f>_xlfn.XLOOKUP(tblOrders[[#This Row],[CustomerID]],tblCustomers[CustomerID],tblCustomers[Age],"not found")</f>
        <v>60</v>
      </c>
      <c r="E1375" t="str">
        <f>_xlfn.XLOOKUP(tblOrders[[#This Row],[CustomerID]],tblCustomers[CustomerID],tblCustomers[Gender],"not found")</f>
        <v>Female</v>
      </c>
      <c r="F1375" t="str">
        <f>_xlfn.XLOOKUP(tblOrders[[#This Row],[CustomerID]],tblCustomers[CustomerID],tblCustomers[Region],"not found")</f>
        <v>West</v>
      </c>
      <c r="G1375">
        <v>1054</v>
      </c>
      <c r="H1375" t="str">
        <f>_xlfn.XLOOKUP(tblOrders[[#This Row],[ProductID]],tblProducts[ProductID],tblProducts[ProductName],"not found")</f>
        <v>Of</v>
      </c>
      <c r="I1375" t="str">
        <f>_xlfn.XLOOKUP(tblOrders[[#This Row],[ProductID]],tblProducts[ProductID],tblProducts[Category],"not found")</f>
        <v>Electronics</v>
      </c>
      <c r="J1375">
        <f>_xlfn.XLOOKUP(tblOrders[[#This Row],[ProductID]],tblProducts[ProductID],tblProducts[UnitPrice],"not found")</f>
        <v>27.44</v>
      </c>
      <c r="K1375" t="str">
        <f>_xlfn.XLOOKUP(tblOrders[[#This Row],[ProductID]],tblProducts[ProductID],tblProducts[Supplier],"not found")</f>
        <v>Campbell Ltd</v>
      </c>
      <c r="L1375" s="1">
        <v>44989</v>
      </c>
      <c r="M13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44989</v>
      </c>
      <c r="N1375">
        <v>2</v>
      </c>
      <c r="O1375">
        <v>54.88</v>
      </c>
      <c r="P1375">
        <f>tblOrders[[#This Row],[Quantity]]*tblOrders[[#This Row],[Unit Price]]</f>
        <v>54.88</v>
      </c>
      <c r="Q1375">
        <f>tblOrders[[#This Row],[TotalSales]]-tblOrders[[#This Row],[Calculated Sales]]</f>
        <v>0</v>
      </c>
    </row>
    <row r="1376" spans="1:17" x14ac:dyDescent="0.25">
      <c r="A1376">
        <v>1635</v>
      </c>
      <c r="B1376">
        <v>66</v>
      </c>
      <c r="C1376" t="str">
        <f>_xlfn.XLOOKUP(tblOrders[[#This Row],[CustomerID]],tblCustomers[CustomerID],tblCustomers[CustomerName],"not found")</f>
        <v>Juan Lopez</v>
      </c>
      <c r="D1376">
        <f>_xlfn.XLOOKUP(tblOrders[[#This Row],[CustomerID]],tblCustomers[CustomerID],tblCustomers[Age],"not found")</f>
        <v>56</v>
      </c>
      <c r="E1376" t="str">
        <f>_xlfn.XLOOKUP(tblOrders[[#This Row],[CustomerID]],tblCustomers[CustomerID],tblCustomers[Gender],"not found")</f>
        <v>Male</v>
      </c>
      <c r="F1376" t="str">
        <f>_xlfn.XLOOKUP(tblOrders[[#This Row],[CustomerID]],tblCustomers[CustomerID],tblCustomers[Region],"not found")</f>
        <v>Central</v>
      </c>
      <c r="G1376">
        <v>1054</v>
      </c>
      <c r="H1376" t="str">
        <f>_xlfn.XLOOKUP(tblOrders[[#This Row],[ProductID]],tblProducts[ProductID],tblProducts[ProductName],"not found")</f>
        <v>Of</v>
      </c>
      <c r="I1376" t="str">
        <f>_xlfn.XLOOKUP(tblOrders[[#This Row],[ProductID]],tblProducts[ProductID],tblProducts[Category],"not found")</f>
        <v>Electronics</v>
      </c>
      <c r="J1376">
        <f>_xlfn.XLOOKUP(tblOrders[[#This Row],[ProductID]],tblProducts[ProductID],tblProducts[UnitPrice],"not found")</f>
        <v>27.44</v>
      </c>
      <c r="K1376" t="str">
        <f>_xlfn.XLOOKUP(tblOrders[[#This Row],[ProductID]],tblProducts[ProductID],tblProducts[Supplier],"not found")</f>
        <v>Campbell Ltd</v>
      </c>
      <c r="L1376" s="1" t="s">
        <v>2239</v>
      </c>
      <c r="M13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45155</v>
      </c>
      <c r="N1376">
        <v>4</v>
      </c>
      <c r="O1376">
        <v>109.76</v>
      </c>
      <c r="P1376">
        <f>tblOrders[[#This Row],[Quantity]]*tblOrders[[#This Row],[Unit Price]]</f>
        <v>109.76</v>
      </c>
      <c r="Q1376">
        <f>tblOrders[[#This Row],[TotalSales]]-tblOrders[[#This Row],[Calculated Sales]]</f>
        <v>0</v>
      </c>
    </row>
    <row r="1377" spans="1:17" x14ac:dyDescent="0.25">
      <c r="A1377">
        <v>1698</v>
      </c>
      <c r="B1377">
        <v>914</v>
      </c>
      <c r="C1377" t="str">
        <f>_xlfn.XLOOKUP(tblOrders[[#This Row],[CustomerID]],tblCustomers[CustomerID],tblCustomers[CustomerName],"not found")</f>
        <v>Sara Jackson</v>
      </c>
      <c r="D1377">
        <f>_xlfn.XLOOKUP(tblOrders[[#This Row],[CustomerID]],tblCustomers[CustomerID],tblCustomers[Age],"not found")</f>
        <v>35</v>
      </c>
      <c r="E1377" t="str">
        <f>_xlfn.XLOOKUP(tblOrders[[#This Row],[CustomerID]],tblCustomers[CustomerID],tblCustomers[Gender],"not found")</f>
        <v>Female</v>
      </c>
      <c r="F1377" t="str">
        <f>_xlfn.XLOOKUP(tblOrders[[#This Row],[CustomerID]],tblCustomers[CustomerID],tblCustomers[Region],"not found")</f>
        <v>East</v>
      </c>
      <c r="G1377">
        <v>1054</v>
      </c>
      <c r="H1377" t="str">
        <f>_xlfn.XLOOKUP(tblOrders[[#This Row],[ProductID]],tblProducts[ProductID],tblProducts[ProductName],"not found")</f>
        <v>Of</v>
      </c>
      <c r="I1377" t="str">
        <f>_xlfn.XLOOKUP(tblOrders[[#This Row],[ProductID]],tblProducts[ProductID],tblProducts[Category],"not found")</f>
        <v>Electronics</v>
      </c>
      <c r="J1377">
        <f>_xlfn.XLOOKUP(tblOrders[[#This Row],[ProductID]],tblProducts[ProductID],tblProducts[UnitPrice],"not found")</f>
        <v>27.44</v>
      </c>
      <c r="K1377" t="str">
        <f>_xlfn.XLOOKUP(tblOrders[[#This Row],[ProductID]],tblProducts[ProductID],tblProducts[Supplier],"not found")</f>
        <v>Campbell Ltd</v>
      </c>
      <c r="L1377" s="1">
        <v>45333</v>
      </c>
      <c r="M13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45333</v>
      </c>
      <c r="N1377">
        <v>6</v>
      </c>
      <c r="O1377">
        <v>164.64</v>
      </c>
      <c r="P1377">
        <f>tblOrders[[#This Row],[Quantity]]*tblOrders[[#This Row],[Unit Price]]</f>
        <v>164.64000000000001</v>
      </c>
      <c r="Q1377">
        <f>tblOrders[[#This Row],[TotalSales]]-tblOrders[[#This Row],[Calculated Sales]]</f>
        <v>0</v>
      </c>
    </row>
    <row r="1378" spans="1:17" x14ac:dyDescent="0.25">
      <c r="A1378">
        <v>1909</v>
      </c>
      <c r="B1378">
        <v>566</v>
      </c>
      <c r="C1378" t="str">
        <f>_xlfn.XLOOKUP(tblOrders[[#This Row],[CustomerID]],tblCustomers[CustomerID],tblCustomers[CustomerName],"not found")</f>
        <v>Angel Hicks</v>
      </c>
      <c r="D1378">
        <f>_xlfn.XLOOKUP(tblOrders[[#This Row],[CustomerID]],tblCustomers[CustomerID],tblCustomers[Age],"not found")</f>
        <v>20</v>
      </c>
      <c r="E1378" t="str">
        <f>_xlfn.XLOOKUP(tblOrders[[#This Row],[CustomerID]],tblCustomers[CustomerID],tblCustomers[Gender],"not found")</f>
        <v>Male</v>
      </c>
      <c r="F1378" t="str">
        <f>_xlfn.XLOOKUP(tblOrders[[#This Row],[CustomerID]],tblCustomers[CustomerID],tblCustomers[Region],"not found")</f>
        <v>Central</v>
      </c>
      <c r="G1378">
        <v>1054</v>
      </c>
      <c r="H1378" t="str">
        <f>_xlfn.XLOOKUP(tblOrders[[#This Row],[ProductID]],tblProducts[ProductID],tblProducts[ProductName],"not found")</f>
        <v>Of</v>
      </c>
      <c r="I1378" t="str">
        <f>_xlfn.XLOOKUP(tblOrders[[#This Row],[ProductID]],tblProducts[ProductID],tblProducts[Category],"not found")</f>
        <v>Electronics</v>
      </c>
      <c r="J1378">
        <f>_xlfn.XLOOKUP(tblOrders[[#This Row],[ProductID]],tblProducts[ProductID],tblProducts[UnitPrice],"not found")</f>
        <v>27.44</v>
      </c>
      <c r="K1378" t="str">
        <f>_xlfn.XLOOKUP(tblOrders[[#This Row],[ProductID]],tblProducts[ProductID],tblProducts[Supplier],"not found")</f>
        <v>Campbell Ltd</v>
      </c>
      <c r="L1378" s="1">
        <v>44990</v>
      </c>
      <c r="M13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44990</v>
      </c>
      <c r="N1378">
        <v>4</v>
      </c>
      <c r="O1378">
        <v>109.76</v>
      </c>
      <c r="P1378">
        <f>tblOrders[[#This Row],[Quantity]]*tblOrders[[#This Row],[Unit Price]]</f>
        <v>109.76</v>
      </c>
      <c r="Q1378">
        <f>tblOrders[[#This Row],[TotalSales]]-tblOrders[[#This Row],[Calculated Sales]]</f>
        <v>0</v>
      </c>
    </row>
    <row r="1379" spans="1:17" x14ac:dyDescent="0.25">
      <c r="A1379">
        <v>1971</v>
      </c>
      <c r="B1379">
        <v>513</v>
      </c>
      <c r="C1379" t="str">
        <f>_xlfn.XLOOKUP(tblOrders[[#This Row],[CustomerID]],tblCustomers[CustomerID],tblCustomers[CustomerName],"not found")</f>
        <v>Crystal Williams DDS</v>
      </c>
      <c r="D1379">
        <f>_xlfn.XLOOKUP(tblOrders[[#This Row],[CustomerID]],tblCustomers[CustomerID],tblCustomers[Age],"not found")</f>
        <v>31</v>
      </c>
      <c r="E1379" t="str">
        <f>_xlfn.XLOOKUP(tblOrders[[#This Row],[CustomerID]],tblCustomers[CustomerID],tblCustomers[Gender],"not found")</f>
        <v>Male</v>
      </c>
      <c r="F1379" t="str">
        <f>_xlfn.XLOOKUP(tblOrders[[#This Row],[CustomerID]],tblCustomers[CustomerID],tblCustomers[Region],"not found")</f>
        <v>North</v>
      </c>
      <c r="G1379">
        <v>1054</v>
      </c>
      <c r="H1379" t="str">
        <f>_xlfn.XLOOKUP(tblOrders[[#This Row],[ProductID]],tblProducts[ProductID],tblProducts[ProductName],"not found")</f>
        <v>Of</v>
      </c>
      <c r="I1379" t="str">
        <f>_xlfn.XLOOKUP(tblOrders[[#This Row],[ProductID]],tblProducts[ProductID],tblProducts[Category],"not found")</f>
        <v>Electronics</v>
      </c>
      <c r="J1379">
        <f>_xlfn.XLOOKUP(tblOrders[[#This Row],[ProductID]],tblProducts[ProductID],tblProducts[UnitPrice],"not found")</f>
        <v>27.44</v>
      </c>
      <c r="K1379" t="str">
        <f>_xlfn.XLOOKUP(tblOrders[[#This Row],[ProductID]],tblProducts[ProductID],tblProducts[Supplier],"not found")</f>
        <v>Campbell Ltd</v>
      </c>
      <c r="L1379" s="1" t="s">
        <v>2387</v>
      </c>
      <c r="M13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45496</v>
      </c>
      <c r="N1379">
        <v>1</v>
      </c>
      <c r="O1379">
        <v>27.44</v>
      </c>
      <c r="P1379">
        <f>tblOrders[[#This Row],[Quantity]]*tblOrders[[#This Row],[Unit Price]]</f>
        <v>27.44</v>
      </c>
      <c r="Q1379">
        <f>tblOrders[[#This Row],[TotalSales]]-tblOrders[[#This Row],[Calculated Sales]]</f>
        <v>0</v>
      </c>
    </row>
    <row r="1380" spans="1:17" x14ac:dyDescent="0.25">
      <c r="A1380">
        <v>99</v>
      </c>
      <c r="B1380">
        <v>749</v>
      </c>
      <c r="C1380" t="str">
        <f>_xlfn.XLOOKUP(tblOrders[[#This Row],[CustomerID]],tblCustomers[CustomerID],tblCustomers[CustomerName],"not found")</f>
        <v>Larry Pratt</v>
      </c>
      <c r="D1380">
        <f>_xlfn.XLOOKUP(tblOrders[[#This Row],[CustomerID]],tblCustomers[CustomerID],tblCustomers[Age],"not found")</f>
        <v>45</v>
      </c>
      <c r="E1380" t="str">
        <f>_xlfn.XLOOKUP(tblOrders[[#This Row],[CustomerID]],tblCustomers[CustomerID],tblCustomers[Gender],"not found")</f>
        <v>Female</v>
      </c>
      <c r="F1380" t="str">
        <f>_xlfn.XLOOKUP(tblOrders[[#This Row],[CustomerID]],tblCustomers[CustomerID],tblCustomers[Region],"not found")</f>
        <v>Central</v>
      </c>
      <c r="G1380">
        <v>1063</v>
      </c>
      <c r="H1380" t="str">
        <f>_xlfn.XLOOKUP(tblOrders[[#This Row],[ProductID]],tblProducts[ProductID],tblProducts[ProductName],"not found")</f>
        <v>Purpose</v>
      </c>
      <c r="I1380" t="str">
        <f>_xlfn.XLOOKUP(tblOrders[[#This Row],[ProductID]],tblProducts[ProductID],tblProducts[Category],"not found")</f>
        <v>Beauty</v>
      </c>
      <c r="J1380">
        <f>_xlfn.XLOOKUP(tblOrders[[#This Row],[ProductID]],tblProducts[ProductID],tblProducts[UnitPrice],"not found")</f>
        <v>313.13</v>
      </c>
      <c r="K1380" t="str">
        <f>_xlfn.XLOOKUP(tblOrders[[#This Row],[ProductID]],tblProducts[ProductID],tblProducts[Supplier],"not found")</f>
        <v>Dixon-Murphy</v>
      </c>
      <c r="L1380" s="1" t="s">
        <v>2209</v>
      </c>
      <c r="M13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45039</v>
      </c>
      <c r="N1380">
        <v>3</v>
      </c>
      <c r="O1380">
        <v>939.39</v>
      </c>
      <c r="P1380">
        <f>tblOrders[[#This Row],[Quantity]]*tblOrders[[#This Row],[Unit Price]]</f>
        <v>939.39</v>
      </c>
      <c r="Q1380">
        <f>tblOrders[[#This Row],[TotalSales]]-tblOrders[[#This Row],[Calculated Sales]]</f>
        <v>0</v>
      </c>
    </row>
    <row r="1381" spans="1:17" x14ac:dyDescent="0.25">
      <c r="A1381">
        <v>271</v>
      </c>
      <c r="B1381">
        <v>966</v>
      </c>
      <c r="C1381" t="str">
        <f>_xlfn.XLOOKUP(tblOrders[[#This Row],[CustomerID]],tblCustomers[CustomerID],tblCustomers[CustomerName],"not found")</f>
        <v>Alexa Erickson</v>
      </c>
      <c r="D1381">
        <f>_xlfn.XLOOKUP(tblOrders[[#This Row],[CustomerID]],tblCustomers[CustomerID],tblCustomers[Age],"not found")</f>
        <v>51</v>
      </c>
      <c r="E1381" t="str">
        <f>_xlfn.XLOOKUP(tblOrders[[#This Row],[CustomerID]],tblCustomers[CustomerID],tblCustomers[Gender],"not found")</f>
        <v>Female</v>
      </c>
      <c r="F1381" t="str">
        <f>_xlfn.XLOOKUP(tblOrders[[#This Row],[CustomerID]],tblCustomers[CustomerID],tblCustomers[Region],"not found")</f>
        <v>North</v>
      </c>
      <c r="G1381">
        <v>1063</v>
      </c>
      <c r="H1381" t="str">
        <f>_xlfn.XLOOKUP(tblOrders[[#This Row],[ProductID]],tblProducts[ProductID],tblProducts[ProductName],"not found")</f>
        <v>Purpose</v>
      </c>
      <c r="I1381" t="str">
        <f>_xlfn.XLOOKUP(tblOrders[[#This Row],[ProductID]],tblProducts[ProductID],tblProducts[Category],"not found")</f>
        <v>Beauty</v>
      </c>
      <c r="J1381">
        <f>_xlfn.XLOOKUP(tblOrders[[#This Row],[ProductID]],tblProducts[ProductID],tblProducts[UnitPrice],"not found")</f>
        <v>313.13</v>
      </c>
      <c r="K1381" t="str">
        <f>_xlfn.XLOOKUP(tblOrders[[#This Row],[ProductID]],tblProducts[ProductID],tblProducts[Supplier],"not found")</f>
        <v>Dixon-Murphy</v>
      </c>
      <c r="L1381" s="1">
        <v>44969</v>
      </c>
      <c r="M13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44969</v>
      </c>
      <c r="N1381">
        <v>3</v>
      </c>
      <c r="O1381">
        <v>939.39</v>
      </c>
      <c r="P1381">
        <f>tblOrders[[#This Row],[Quantity]]*tblOrders[[#This Row],[Unit Price]]</f>
        <v>939.39</v>
      </c>
      <c r="Q1381">
        <f>tblOrders[[#This Row],[TotalSales]]-tblOrders[[#This Row],[Calculated Sales]]</f>
        <v>0</v>
      </c>
    </row>
    <row r="1382" spans="1:17" x14ac:dyDescent="0.25">
      <c r="A1382">
        <v>292</v>
      </c>
      <c r="B1382">
        <v>173</v>
      </c>
      <c r="C1382" t="str">
        <f>_xlfn.XLOOKUP(tblOrders[[#This Row],[CustomerID]],tblCustomers[CustomerID],tblCustomers[CustomerName],"not found")</f>
        <v>Jennifer Park</v>
      </c>
      <c r="D1382">
        <f>_xlfn.XLOOKUP(tblOrders[[#This Row],[CustomerID]],tblCustomers[CustomerID],tblCustomers[Age],"not found")</f>
        <v>49</v>
      </c>
      <c r="E1382" t="str">
        <f>_xlfn.XLOOKUP(tblOrders[[#This Row],[CustomerID]],tblCustomers[CustomerID],tblCustomers[Gender],"not found")</f>
        <v>Male</v>
      </c>
      <c r="F1382" t="str">
        <f>_xlfn.XLOOKUP(tblOrders[[#This Row],[CustomerID]],tblCustomers[CustomerID],tblCustomers[Region],"not found")</f>
        <v>South</v>
      </c>
      <c r="G1382">
        <v>1063</v>
      </c>
      <c r="H1382" t="str">
        <f>_xlfn.XLOOKUP(tblOrders[[#This Row],[ProductID]],tblProducts[ProductID],tblProducts[ProductName],"not found")</f>
        <v>Purpose</v>
      </c>
      <c r="I1382" t="str">
        <f>_xlfn.XLOOKUP(tblOrders[[#This Row],[ProductID]],tblProducts[ProductID],tblProducts[Category],"not found")</f>
        <v>Beauty</v>
      </c>
      <c r="J1382">
        <f>_xlfn.XLOOKUP(tblOrders[[#This Row],[ProductID]],tblProducts[ProductID],tblProducts[UnitPrice],"not found")</f>
        <v>313.13</v>
      </c>
      <c r="K1382" t="str">
        <f>_xlfn.XLOOKUP(tblOrders[[#This Row],[ProductID]],tblProducts[ProductID],tblProducts[Supplier],"not found")</f>
        <v>Dixon-Murphy</v>
      </c>
      <c r="L1382" s="1" t="s">
        <v>2351</v>
      </c>
      <c r="M13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44916</v>
      </c>
      <c r="N1382">
        <v>2</v>
      </c>
      <c r="O1382">
        <v>626.26</v>
      </c>
      <c r="P1382">
        <f>tblOrders[[#This Row],[Quantity]]*tblOrders[[#This Row],[Unit Price]]</f>
        <v>626.26</v>
      </c>
      <c r="Q1382">
        <f>tblOrders[[#This Row],[TotalSales]]-tblOrders[[#This Row],[Calculated Sales]]</f>
        <v>0</v>
      </c>
    </row>
    <row r="1383" spans="1:17" x14ac:dyDescent="0.25">
      <c r="A1383">
        <v>308</v>
      </c>
      <c r="B1383">
        <v>855</v>
      </c>
      <c r="C1383" t="str">
        <f>_xlfn.XLOOKUP(tblOrders[[#This Row],[CustomerID]],tblCustomers[CustomerID],tblCustomers[CustomerName],"not found")</f>
        <v>Cameron Sherman</v>
      </c>
      <c r="D1383">
        <f>_xlfn.XLOOKUP(tblOrders[[#This Row],[CustomerID]],tblCustomers[CustomerID],tblCustomers[Age],"not found")</f>
        <v>66</v>
      </c>
      <c r="E1383" t="str">
        <f>_xlfn.XLOOKUP(tblOrders[[#This Row],[CustomerID]],tblCustomers[CustomerID],tblCustomers[Gender],"not found")</f>
        <v>Female</v>
      </c>
      <c r="F1383" t="str">
        <f>_xlfn.XLOOKUP(tblOrders[[#This Row],[CustomerID]],tblCustomers[CustomerID],tblCustomers[Region],"not found")</f>
        <v>South</v>
      </c>
      <c r="G1383">
        <v>1063</v>
      </c>
      <c r="H1383" t="str">
        <f>_xlfn.XLOOKUP(tblOrders[[#This Row],[ProductID]],tblProducts[ProductID],tblProducts[ProductName],"not found")</f>
        <v>Purpose</v>
      </c>
      <c r="I1383" t="str">
        <f>_xlfn.XLOOKUP(tblOrders[[#This Row],[ProductID]],tblProducts[ProductID],tblProducts[Category],"not found")</f>
        <v>Beauty</v>
      </c>
      <c r="J1383">
        <f>_xlfn.XLOOKUP(tblOrders[[#This Row],[ProductID]],tblProducts[ProductID],tblProducts[UnitPrice],"not found")</f>
        <v>313.13</v>
      </c>
      <c r="K1383" t="str">
        <f>_xlfn.XLOOKUP(tblOrders[[#This Row],[ProductID]],tblProducts[ProductID],tblProducts[Supplier],"not found")</f>
        <v>Dixon-Murphy</v>
      </c>
      <c r="L1383" s="1">
        <v>45055</v>
      </c>
      <c r="M13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45055</v>
      </c>
      <c r="N1383">
        <v>9</v>
      </c>
      <c r="O1383">
        <v>2818.17</v>
      </c>
      <c r="P1383">
        <f>tblOrders[[#This Row],[Quantity]]*tblOrders[[#This Row],[Unit Price]]</f>
        <v>2818.17</v>
      </c>
      <c r="Q1383">
        <f>tblOrders[[#This Row],[TotalSales]]-tblOrders[[#This Row],[Calculated Sales]]</f>
        <v>0</v>
      </c>
    </row>
    <row r="1384" spans="1:17" x14ac:dyDescent="0.25">
      <c r="A1384">
        <v>322</v>
      </c>
      <c r="B1384">
        <v>260</v>
      </c>
      <c r="C1384" t="str">
        <f>_xlfn.XLOOKUP(tblOrders[[#This Row],[CustomerID]],tblCustomers[CustomerID],tblCustomers[CustomerName],"not found")</f>
        <v>Robert Ward</v>
      </c>
      <c r="D1384">
        <f>_xlfn.XLOOKUP(tblOrders[[#This Row],[CustomerID]],tblCustomers[CustomerID],tblCustomers[Age],"not found")</f>
        <v>39</v>
      </c>
      <c r="E1384" t="str">
        <f>_xlfn.XLOOKUP(tblOrders[[#This Row],[CustomerID]],tblCustomers[CustomerID],tblCustomers[Gender],"not found")</f>
        <v>Male</v>
      </c>
      <c r="F1384" t="str">
        <f>_xlfn.XLOOKUP(tblOrders[[#This Row],[CustomerID]],tblCustomers[CustomerID],tblCustomers[Region],"not found")</f>
        <v>West</v>
      </c>
      <c r="G1384">
        <v>1063</v>
      </c>
      <c r="H1384" t="str">
        <f>_xlfn.XLOOKUP(tblOrders[[#This Row],[ProductID]],tblProducts[ProductID],tblProducts[ProductName],"not found")</f>
        <v>Purpose</v>
      </c>
      <c r="I1384" t="str">
        <f>_xlfn.XLOOKUP(tblOrders[[#This Row],[ProductID]],tblProducts[ProductID],tblProducts[Category],"not found")</f>
        <v>Beauty</v>
      </c>
      <c r="J1384">
        <f>_xlfn.XLOOKUP(tblOrders[[#This Row],[ProductID]],tblProducts[ProductID],tblProducts[UnitPrice],"not found")</f>
        <v>313.13</v>
      </c>
      <c r="K1384" t="str">
        <f>_xlfn.XLOOKUP(tblOrders[[#This Row],[ProductID]],tblProducts[ProductID],tblProducts[Supplier],"not found")</f>
        <v>Dixon-Murphy</v>
      </c>
      <c r="L1384" s="1" t="s">
        <v>2114</v>
      </c>
      <c r="M13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45282</v>
      </c>
      <c r="N1384">
        <v>6</v>
      </c>
      <c r="O1384">
        <v>1878.78</v>
      </c>
      <c r="P1384">
        <f>tblOrders[[#This Row],[Quantity]]*tblOrders[[#This Row],[Unit Price]]</f>
        <v>1878.78</v>
      </c>
      <c r="Q1384">
        <f>tblOrders[[#This Row],[TotalSales]]-tblOrders[[#This Row],[Calculated Sales]]</f>
        <v>0</v>
      </c>
    </row>
    <row r="1385" spans="1:17" x14ac:dyDescent="0.25">
      <c r="A1385">
        <v>346</v>
      </c>
      <c r="B1385">
        <v>415</v>
      </c>
      <c r="C1385" t="str">
        <f>_xlfn.XLOOKUP(tblOrders[[#This Row],[CustomerID]],tblCustomers[CustomerID],tblCustomers[CustomerName],"not found")</f>
        <v>Amber Tran</v>
      </c>
      <c r="D1385">
        <f>_xlfn.XLOOKUP(tblOrders[[#This Row],[CustomerID]],tblCustomers[CustomerID],tblCustomers[Age],"not found")</f>
        <v>55</v>
      </c>
      <c r="E1385" t="str">
        <f>_xlfn.XLOOKUP(tblOrders[[#This Row],[CustomerID]],tblCustomers[CustomerID],tblCustomers[Gender],"not found")</f>
        <v>Female</v>
      </c>
      <c r="F1385" t="str">
        <f>_xlfn.XLOOKUP(tblOrders[[#This Row],[CustomerID]],tblCustomers[CustomerID],tblCustomers[Region],"not found")</f>
        <v>South</v>
      </c>
      <c r="G1385">
        <v>1063</v>
      </c>
      <c r="H1385" t="str">
        <f>_xlfn.XLOOKUP(tblOrders[[#This Row],[ProductID]],tblProducts[ProductID],tblProducts[ProductName],"not found")</f>
        <v>Purpose</v>
      </c>
      <c r="I1385" t="str">
        <f>_xlfn.XLOOKUP(tblOrders[[#This Row],[ProductID]],tblProducts[ProductID],tblProducts[Category],"not found")</f>
        <v>Beauty</v>
      </c>
      <c r="J1385">
        <f>_xlfn.XLOOKUP(tblOrders[[#This Row],[ProductID]],tblProducts[ProductID],tblProducts[UnitPrice],"not found")</f>
        <v>313.13</v>
      </c>
      <c r="K1385" t="str">
        <f>_xlfn.XLOOKUP(tblOrders[[#This Row],[ProductID]],tblProducts[ProductID],tblProducts[Supplier],"not found")</f>
        <v>Dixon-Murphy</v>
      </c>
      <c r="L1385" s="1" t="s">
        <v>2360</v>
      </c>
      <c r="M13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45534</v>
      </c>
      <c r="N1385">
        <v>9</v>
      </c>
      <c r="O1385">
        <v>2818.17</v>
      </c>
      <c r="P1385">
        <f>tblOrders[[#This Row],[Quantity]]*tblOrders[[#This Row],[Unit Price]]</f>
        <v>2818.17</v>
      </c>
      <c r="Q1385">
        <f>tblOrders[[#This Row],[TotalSales]]-tblOrders[[#This Row],[Calculated Sales]]</f>
        <v>0</v>
      </c>
    </row>
    <row r="1386" spans="1:17" x14ac:dyDescent="0.25">
      <c r="A1386">
        <v>371</v>
      </c>
      <c r="B1386">
        <v>100</v>
      </c>
      <c r="C1386" t="str">
        <f>_xlfn.XLOOKUP(tblOrders[[#This Row],[CustomerID]],tblCustomers[CustomerID],tblCustomers[CustomerName],"not found")</f>
        <v>Melanie Hill</v>
      </c>
      <c r="D1386">
        <f>_xlfn.XLOOKUP(tblOrders[[#This Row],[CustomerID]],tblCustomers[CustomerID],tblCustomers[Age],"not found")</f>
        <v>26</v>
      </c>
      <c r="E1386" t="str">
        <f>_xlfn.XLOOKUP(tblOrders[[#This Row],[CustomerID]],tblCustomers[CustomerID],tblCustomers[Gender],"not found")</f>
        <v>Male</v>
      </c>
      <c r="F1386" t="str">
        <f>_xlfn.XLOOKUP(tblOrders[[#This Row],[CustomerID]],tblCustomers[CustomerID],tblCustomers[Region],"not found")</f>
        <v>North</v>
      </c>
      <c r="G1386">
        <v>1063</v>
      </c>
      <c r="H1386" t="str">
        <f>_xlfn.XLOOKUP(tblOrders[[#This Row],[ProductID]],tblProducts[ProductID],tblProducts[ProductName],"not found")</f>
        <v>Purpose</v>
      </c>
      <c r="I1386" t="str">
        <f>_xlfn.XLOOKUP(tblOrders[[#This Row],[ProductID]],tblProducts[ProductID],tblProducts[Category],"not found")</f>
        <v>Beauty</v>
      </c>
      <c r="J1386">
        <f>_xlfn.XLOOKUP(tblOrders[[#This Row],[ProductID]],tblProducts[ProductID],tblProducts[UnitPrice],"not found")</f>
        <v>313.13</v>
      </c>
      <c r="K1386" t="str">
        <f>_xlfn.XLOOKUP(tblOrders[[#This Row],[ProductID]],tblProducts[ProductID],tblProducts[Supplier],"not found")</f>
        <v>Dixon-Murphy</v>
      </c>
      <c r="L1386" s="1">
        <v>45019</v>
      </c>
      <c r="M13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45019</v>
      </c>
      <c r="N1386">
        <v>7</v>
      </c>
      <c r="O1386">
        <v>2191.91</v>
      </c>
      <c r="P1386">
        <f>tblOrders[[#This Row],[Quantity]]*tblOrders[[#This Row],[Unit Price]]</f>
        <v>2191.91</v>
      </c>
      <c r="Q1386">
        <f>tblOrders[[#This Row],[TotalSales]]-tblOrders[[#This Row],[Calculated Sales]]</f>
        <v>0</v>
      </c>
    </row>
    <row r="1387" spans="1:17" x14ac:dyDescent="0.25">
      <c r="A1387">
        <v>386</v>
      </c>
      <c r="B1387">
        <v>148</v>
      </c>
      <c r="C1387" t="str">
        <f>_xlfn.XLOOKUP(tblOrders[[#This Row],[CustomerID]],tblCustomers[CustomerID],tblCustomers[CustomerName],"not found")</f>
        <v>Dana Young</v>
      </c>
      <c r="D1387">
        <f>_xlfn.XLOOKUP(tblOrders[[#This Row],[CustomerID]],tblCustomers[CustomerID],tblCustomers[Age],"not found")</f>
        <v>33</v>
      </c>
      <c r="E1387" t="str">
        <f>_xlfn.XLOOKUP(tblOrders[[#This Row],[CustomerID]],tblCustomers[CustomerID],tblCustomers[Gender],"not found")</f>
        <v>Male</v>
      </c>
      <c r="F1387" t="str">
        <f>_xlfn.XLOOKUP(tblOrders[[#This Row],[CustomerID]],tblCustomers[CustomerID],tblCustomers[Region],"not found")</f>
        <v>South</v>
      </c>
      <c r="G1387">
        <v>1063</v>
      </c>
      <c r="H1387" t="str">
        <f>_xlfn.XLOOKUP(tblOrders[[#This Row],[ProductID]],tblProducts[ProductID],tblProducts[ProductName],"not found")</f>
        <v>Purpose</v>
      </c>
      <c r="I1387" t="str">
        <f>_xlfn.XLOOKUP(tblOrders[[#This Row],[ProductID]],tblProducts[ProductID],tblProducts[Category],"not found")</f>
        <v>Beauty</v>
      </c>
      <c r="J1387">
        <f>_xlfn.XLOOKUP(tblOrders[[#This Row],[ProductID]],tblProducts[ProductID],tblProducts[UnitPrice],"not found")</f>
        <v>313.13</v>
      </c>
      <c r="K1387" t="str">
        <f>_xlfn.XLOOKUP(tblOrders[[#This Row],[ProductID]],tblProducts[ProductID],tblProducts[Supplier],"not found")</f>
        <v>Dixon-Murphy</v>
      </c>
      <c r="L1387" s="1">
        <v>45606</v>
      </c>
      <c r="M13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45606</v>
      </c>
      <c r="N1387">
        <v>6</v>
      </c>
      <c r="O1387">
        <v>1878.78</v>
      </c>
      <c r="P1387">
        <f>tblOrders[[#This Row],[Quantity]]*tblOrders[[#This Row],[Unit Price]]</f>
        <v>1878.78</v>
      </c>
      <c r="Q1387">
        <f>tblOrders[[#This Row],[TotalSales]]-tblOrders[[#This Row],[Calculated Sales]]</f>
        <v>0</v>
      </c>
    </row>
    <row r="1388" spans="1:17" x14ac:dyDescent="0.25">
      <c r="A1388">
        <v>401</v>
      </c>
      <c r="B1388">
        <v>829</v>
      </c>
      <c r="C1388" t="str">
        <f>_xlfn.XLOOKUP(tblOrders[[#This Row],[CustomerID]],tblCustomers[CustomerID],tblCustomers[CustomerName],"not found")</f>
        <v>Jessica Anderson</v>
      </c>
      <c r="D1388">
        <f>_xlfn.XLOOKUP(tblOrders[[#This Row],[CustomerID]],tblCustomers[CustomerID],tblCustomers[Age],"not found")</f>
        <v>43</v>
      </c>
      <c r="E1388" t="str">
        <f>_xlfn.XLOOKUP(tblOrders[[#This Row],[CustomerID]],tblCustomers[CustomerID],tblCustomers[Gender],"not found")</f>
        <v>Male</v>
      </c>
      <c r="F1388" t="str">
        <f>_xlfn.XLOOKUP(tblOrders[[#This Row],[CustomerID]],tblCustomers[CustomerID],tblCustomers[Region],"not found")</f>
        <v>North</v>
      </c>
      <c r="G1388">
        <v>1063</v>
      </c>
      <c r="H1388" t="str">
        <f>_xlfn.XLOOKUP(tblOrders[[#This Row],[ProductID]],tblProducts[ProductID],tblProducts[ProductName],"not found")</f>
        <v>Purpose</v>
      </c>
      <c r="I1388" t="str">
        <f>_xlfn.XLOOKUP(tblOrders[[#This Row],[ProductID]],tblProducts[ProductID],tblProducts[Category],"not found")</f>
        <v>Beauty</v>
      </c>
      <c r="J1388">
        <f>_xlfn.XLOOKUP(tblOrders[[#This Row],[ProductID]],tblProducts[ProductID],tblProducts[UnitPrice],"not found")</f>
        <v>313.13</v>
      </c>
      <c r="K1388" t="str">
        <f>_xlfn.XLOOKUP(tblOrders[[#This Row],[ProductID]],tblProducts[ProductID],tblProducts[Supplier],"not found")</f>
        <v>Dixon-Murphy</v>
      </c>
      <c r="L1388" s="1">
        <v>45479</v>
      </c>
      <c r="M13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45479</v>
      </c>
      <c r="N1388">
        <v>9</v>
      </c>
      <c r="O1388">
        <v>2818.17</v>
      </c>
      <c r="P1388">
        <f>tblOrders[[#This Row],[Quantity]]*tblOrders[[#This Row],[Unit Price]]</f>
        <v>2818.17</v>
      </c>
      <c r="Q1388">
        <f>tblOrders[[#This Row],[TotalSales]]-tblOrders[[#This Row],[Calculated Sales]]</f>
        <v>0</v>
      </c>
    </row>
    <row r="1389" spans="1:17" x14ac:dyDescent="0.25">
      <c r="A1389">
        <v>633</v>
      </c>
      <c r="B1389">
        <v>747</v>
      </c>
      <c r="C1389" t="str">
        <f>_xlfn.XLOOKUP(tblOrders[[#This Row],[CustomerID]],tblCustomers[CustomerID],tblCustomers[CustomerName],"not found")</f>
        <v>Joshua Hall</v>
      </c>
      <c r="D1389">
        <f>_xlfn.XLOOKUP(tblOrders[[#This Row],[CustomerID]],tblCustomers[CustomerID],tblCustomers[Age],"not found")</f>
        <v>67</v>
      </c>
      <c r="E1389" t="str">
        <f>_xlfn.XLOOKUP(tblOrders[[#This Row],[CustomerID]],tblCustomers[CustomerID],tblCustomers[Gender],"not found")</f>
        <v>Male</v>
      </c>
      <c r="F1389" t="str">
        <f>_xlfn.XLOOKUP(tblOrders[[#This Row],[CustomerID]],tblCustomers[CustomerID],tblCustomers[Region],"not found")</f>
        <v>North</v>
      </c>
      <c r="G1389">
        <v>1063</v>
      </c>
      <c r="H1389" t="str">
        <f>_xlfn.XLOOKUP(tblOrders[[#This Row],[ProductID]],tblProducts[ProductID],tblProducts[ProductName],"not found")</f>
        <v>Purpose</v>
      </c>
      <c r="I1389" t="str">
        <f>_xlfn.XLOOKUP(tblOrders[[#This Row],[ProductID]],tblProducts[ProductID],tblProducts[Category],"not found")</f>
        <v>Beauty</v>
      </c>
      <c r="J1389">
        <f>_xlfn.XLOOKUP(tblOrders[[#This Row],[ProductID]],tblProducts[ProductID],tblProducts[UnitPrice],"not found")</f>
        <v>313.13</v>
      </c>
      <c r="K1389" t="str">
        <f>_xlfn.XLOOKUP(tblOrders[[#This Row],[ProductID]],tblProducts[ProductID],tblProducts[Supplier],"not found")</f>
        <v>Dixon-Murphy</v>
      </c>
      <c r="L1389" s="1">
        <v>45632</v>
      </c>
      <c r="M13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1389">
        <v>5</v>
      </c>
      <c r="O1389">
        <v>1565.65</v>
      </c>
      <c r="P1389">
        <f>tblOrders[[#This Row],[Quantity]]*tblOrders[[#This Row],[Unit Price]]</f>
        <v>1565.65</v>
      </c>
      <c r="Q1389">
        <f>tblOrders[[#This Row],[TotalSales]]-tblOrders[[#This Row],[Calculated Sales]]</f>
        <v>0</v>
      </c>
    </row>
    <row r="1390" spans="1:17" x14ac:dyDescent="0.25">
      <c r="A1390">
        <v>742</v>
      </c>
      <c r="B1390">
        <v>334</v>
      </c>
      <c r="C1390" t="str">
        <f>_xlfn.XLOOKUP(tblOrders[[#This Row],[CustomerID]],tblCustomers[CustomerID],tblCustomers[CustomerName],"not found")</f>
        <v>Erin Shepherd</v>
      </c>
      <c r="D1390">
        <f>_xlfn.XLOOKUP(tblOrders[[#This Row],[CustomerID]],tblCustomers[CustomerID],tblCustomers[Age],"not found")</f>
        <v>64</v>
      </c>
      <c r="E1390" t="str">
        <f>_xlfn.XLOOKUP(tblOrders[[#This Row],[CustomerID]],tblCustomers[CustomerID],tblCustomers[Gender],"not found")</f>
        <v>Male</v>
      </c>
      <c r="F1390" t="str">
        <f>_xlfn.XLOOKUP(tblOrders[[#This Row],[CustomerID]],tblCustomers[CustomerID],tblCustomers[Region],"not found")</f>
        <v>South</v>
      </c>
      <c r="G1390">
        <v>1063</v>
      </c>
      <c r="H1390" t="str">
        <f>_xlfn.XLOOKUP(tblOrders[[#This Row],[ProductID]],tblProducts[ProductID],tblProducts[ProductName],"not found")</f>
        <v>Purpose</v>
      </c>
      <c r="I1390" t="str">
        <f>_xlfn.XLOOKUP(tblOrders[[#This Row],[ProductID]],tblProducts[ProductID],tblProducts[Category],"not found")</f>
        <v>Beauty</v>
      </c>
      <c r="J1390">
        <f>_xlfn.XLOOKUP(tblOrders[[#This Row],[ProductID]],tblProducts[ProductID],tblProducts[UnitPrice],"not found")</f>
        <v>313.13</v>
      </c>
      <c r="K1390" t="str">
        <f>_xlfn.XLOOKUP(tblOrders[[#This Row],[ProductID]],tblProducts[ProductID],tblProducts[Supplier],"not found")</f>
        <v>Dixon-Murphy</v>
      </c>
      <c r="L1390" s="1" t="s">
        <v>2028</v>
      </c>
      <c r="M13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45596</v>
      </c>
      <c r="N1390">
        <v>1</v>
      </c>
      <c r="O1390">
        <v>313.13</v>
      </c>
      <c r="P1390">
        <f>tblOrders[[#This Row],[Quantity]]*tblOrders[[#This Row],[Unit Price]]</f>
        <v>313.13</v>
      </c>
      <c r="Q1390">
        <f>tblOrders[[#This Row],[TotalSales]]-tblOrders[[#This Row],[Calculated Sales]]</f>
        <v>0</v>
      </c>
    </row>
    <row r="1391" spans="1:17" x14ac:dyDescent="0.25">
      <c r="A1391">
        <v>841</v>
      </c>
      <c r="B1391">
        <v>722</v>
      </c>
      <c r="C1391" t="str">
        <f>_xlfn.XLOOKUP(tblOrders[[#This Row],[CustomerID]],tblCustomers[CustomerID],tblCustomers[CustomerName],"not found")</f>
        <v>Kimberly Martinez</v>
      </c>
      <c r="D1391">
        <f>_xlfn.XLOOKUP(tblOrders[[#This Row],[CustomerID]],tblCustomers[CustomerID],tblCustomers[Age],"not found")</f>
        <v>35</v>
      </c>
      <c r="E1391" t="str">
        <f>_xlfn.XLOOKUP(tblOrders[[#This Row],[CustomerID]],tblCustomers[CustomerID],tblCustomers[Gender],"not found")</f>
        <v>Male</v>
      </c>
      <c r="F1391" t="str">
        <f>_xlfn.XLOOKUP(tblOrders[[#This Row],[CustomerID]],tblCustomers[CustomerID],tblCustomers[Region],"not found")</f>
        <v>Central</v>
      </c>
      <c r="G1391">
        <v>1063</v>
      </c>
      <c r="H1391" t="str">
        <f>_xlfn.XLOOKUP(tblOrders[[#This Row],[ProductID]],tblProducts[ProductID],tblProducts[ProductName],"not found")</f>
        <v>Purpose</v>
      </c>
      <c r="I1391" t="str">
        <f>_xlfn.XLOOKUP(tblOrders[[#This Row],[ProductID]],tblProducts[ProductID],tblProducts[Category],"not found")</f>
        <v>Beauty</v>
      </c>
      <c r="J1391">
        <f>_xlfn.XLOOKUP(tblOrders[[#This Row],[ProductID]],tblProducts[ProductID],tblProducts[UnitPrice],"not found")</f>
        <v>313.13</v>
      </c>
      <c r="K1391" t="str">
        <f>_xlfn.XLOOKUP(tblOrders[[#This Row],[ProductID]],tblProducts[ProductID],tblProducts[Supplier],"not found")</f>
        <v>Dixon-Murphy</v>
      </c>
      <c r="L1391" s="1" t="s">
        <v>2367</v>
      </c>
      <c r="M13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45406</v>
      </c>
      <c r="N1391">
        <v>9</v>
      </c>
      <c r="O1391">
        <v>2818.17</v>
      </c>
      <c r="P1391">
        <f>tblOrders[[#This Row],[Quantity]]*tblOrders[[#This Row],[Unit Price]]</f>
        <v>2818.17</v>
      </c>
      <c r="Q1391">
        <f>tblOrders[[#This Row],[TotalSales]]-tblOrders[[#This Row],[Calculated Sales]]</f>
        <v>0</v>
      </c>
    </row>
    <row r="1392" spans="1:17" x14ac:dyDescent="0.25">
      <c r="A1392">
        <v>897</v>
      </c>
      <c r="B1392">
        <v>209</v>
      </c>
      <c r="C1392" t="str">
        <f>_xlfn.XLOOKUP(tblOrders[[#This Row],[CustomerID]],tblCustomers[CustomerID],tblCustomers[CustomerName],"not found")</f>
        <v>Charles Schneider</v>
      </c>
      <c r="D1392">
        <f>_xlfn.XLOOKUP(tblOrders[[#This Row],[CustomerID]],tblCustomers[CustomerID],tblCustomers[Age],"not found")</f>
        <v>48</v>
      </c>
      <c r="E1392" t="str">
        <f>_xlfn.XLOOKUP(tblOrders[[#This Row],[CustomerID]],tblCustomers[CustomerID],tblCustomers[Gender],"not found")</f>
        <v>Male</v>
      </c>
      <c r="F1392" t="str">
        <f>_xlfn.XLOOKUP(tblOrders[[#This Row],[CustomerID]],tblCustomers[CustomerID],tblCustomers[Region],"not found")</f>
        <v>West</v>
      </c>
      <c r="G1392">
        <v>1063</v>
      </c>
      <c r="H1392" t="str">
        <f>_xlfn.XLOOKUP(tblOrders[[#This Row],[ProductID]],tblProducts[ProductID],tblProducts[ProductName],"not found")</f>
        <v>Purpose</v>
      </c>
      <c r="I1392" t="str">
        <f>_xlfn.XLOOKUP(tblOrders[[#This Row],[ProductID]],tblProducts[ProductID],tblProducts[Category],"not found")</f>
        <v>Beauty</v>
      </c>
      <c r="J1392">
        <f>_xlfn.XLOOKUP(tblOrders[[#This Row],[ProductID]],tblProducts[ProductID],tblProducts[UnitPrice],"not found")</f>
        <v>313.13</v>
      </c>
      <c r="K1392" t="str">
        <f>_xlfn.XLOOKUP(tblOrders[[#This Row],[ProductID]],tblProducts[ProductID],tblProducts[Supplier],"not found")</f>
        <v>Dixon-Murphy</v>
      </c>
      <c r="L1392" s="1">
        <v>44991</v>
      </c>
      <c r="M13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44991</v>
      </c>
      <c r="N1392">
        <v>8</v>
      </c>
      <c r="O1392">
        <v>2505.04</v>
      </c>
      <c r="P1392">
        <f>tblOrders[[#This Row],[Quantity]]*tblOrders[[#This Row],[Unit Price]]</f>
        <v>2505.04</v>
      </c>
      <c r="Q1392">
        <f>tblOrders[[#This Row],[TotalSales]]-tblOrders[[#This Row],[Calculated Sales]]</f>
        <v>0</v>
      </c>
    </row>
    <row r="1393" spans="1:17" x14ac:dyDescent="0.25">
      <c r="A1393">
        <v>921</v>
      </c>
      <c r="B1393">
        <v>108</v>
      </c>
      <c r="C1393" t="str">
        <f>_xlfn.XLOOKUP(tblOrders[[#This Row],[CustomerID]],tblCustomers[CustomerID],tblCustomers[CustomerName],"not found")</f>
        <v>Sharon Underwood</v>
      </c>
      <c r="D1393">
        <f>_xlfn.XLOOKUP(tblOrders[[#This Row],[CustomerID]],tblCustomers[CustomerID],tblCustomers[Age],"not found")</f>
        <v>62</v>
      </c>
      <c r="E1393" t="str">
        <f>_xlfn.XLOOKUP(tblOrders[[#This Row],[CustomerID]],tblCustomers[CustomerID],tblCustomers[Gender],"not found")</f>
        <v>Female</v>
      </c>
      <c r="F1393" t="str">
        <f>_xlfn.XLOOKUP(tblOrders[[#This Row],[CustomerID]],tblCustomers[CustomerID],tblCustomers[Region],"not found")</f>
        <v>East</v>
      </c>
      <c r="G1393">
        <v>1063</v>
      </c>
      <c r="H1393" t="str">
        <f>_xlfn.XLOOKUP(tblOrders[[#This Row],[ProductID]],tblProducts[ProductID],tblProducts[ProductName],"not found")</f>
        <v>Purpose</v>
      </c>
      <c r="I1393" t="str">
        <f>_xlfn.XLOOKUP(tblOrders[[#This Row],[ProductID]],tblProducts[ProductID],tblProducts[Category],"not found")</f>
        <v>Beauty</v>
      </c>
      <c r="J1393">
        <f>_xlfn.XLOOKUP(tblOrders[[#This Row],[ProductID]],tblProducts[ProductID],tblProducts[UnitPrice],"not found")</f>
        <v>313.13</v>
      </c>
      <c r="K1393" t="str">
        <f>_xlfn.XLOOKUP(tblOrders[[#This Row],[ProductID]],tblProducts[ProductID],tblProducts[Supplier],"not found")</f>
        <v>Dixon-Murphy</v>
      </c>
      <c r="L1393" s="1" t="s">
        <v>2388</v>
      </c>
      <c r="M13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45071</v>
      </c>
      <c r="N1393">
        <v>6</v>
      </c>
      <c r="O1393">
        <v>1878.78</v>
      </c>
      <c r="P1393">
        <f>tblOrders[[#This Row],[Quantity]]*tblOrders[[#This Row],[Unit Price]]</f>
        <v>1878.78</v>
      </c>
      <c r="Q1393">
        <f>tblOrders[[#This Row],[TotalSales]]-tblOrders[[#This Row],[Calculated Sales]]</f>
        <v>0</v>
      </c>
    </row>
    <row r="1394" spans="1:17" x14ac:dyDescent="0.25">
      <c r="A1394">
        <v>1018</v>
      </c>
      <c r="B1394">
        <v>666</v>
      </c>
      <c r="C1394" t="str">
        <f>_xlfn.XLOOKUP(tblOrders[[#This Row],[CustomerID]],tblCustomers[CustomerID],tblCustomers[CustomerName],"not found")</f>
        <v>Haley Hudson</v>
      </c>
      <c r="D1394">
        <f>_xlfn.XLOOKUP(tblOrders[[#This Row],[CustomerID]],tblCustomers[CustomerID],tblCustomers[Age],"not found")</f>
        <v>54</v>
      </c>
      <c r="E1394" t="str">
        <f>_xlfn.XLOOKUP(tblOrders[[#This Row],[CustomerID]],tblCustomers[CustomerID],tblCustomers[Gender],"not found")</f>
        <v>Female</v>
      </c>
      <c r="F1394" t="str">
        <f>_xlfn.XLOOKUP(tblOrders[[#This Row],[CustomerID]],tblCustomers[CustomerID],tblCustomers[Region],"not found")</f>
        <v>North</v>
      </c>
      <c r="G1394">
        <v>1063</v>
      </c>
      <c r="H1394" t="str">
        <f>_xlfn.XLOOKUP(tblOrders[[#This Row],[ProductID]],tblProducts[ProductID],tblProducts[ProductName],"not found")</f>
        <v>Purpose</v>
      </c>
      <c r="I1394" t="str">
        <f>_xlfn.XLOOKUP(tblOrders[[#This Row],[ProductID]],tblProducts[ProductID],tblProducts[Category],"not found")</f>
        <v>Beauty</v>
      </c>
      <c r="J1394">
        <f>_xlfn.XLOOKUP(tblOrders[[#This Row],[ProductID]],tblProducts[ProductID],tblProducts[UnitPrice],"not found")</f>
        <v>313.13</v>
      </c>
      <c r="K1394" t="str">
        <f>_xlfn.XLOOKUP(tblOrders[[#This Row],[ProductID]],tblProducts[ProductID],tblProducts[Supplier],"not found")</f>
        <v>Dixon-Murphy</v>
      </c>
      <c r="L1394" s="1" t="s">
        <v>2290</v>
      </c>
      <c r="M13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45189</v>
      </c>
      <c r="N1394">
        <v>7</v>
      </c>
      <c r="O1394">
        <v>2191.91</v>
      </c>
      <c r="P1394">
        <f>tblOrders[[#This Row],[Quantity]]*tblOrders[[#This Row],[Unit Price]]</f>
        <v>2191.91</v>
      </c>
      <c r="Q1394">
        <f>tblOrders[[#This Row],[TotalSales]]-tblOrders[[#This Row],[Calculated Sales]]</f>
        <v>0</v>
      </c>
    </row>
    <row r="1395" spans="1:17" x14ac:dyDescent="0.25">
      <c r="A1395">
        <v>1333</v>
      </c>
      <c r="B1395">
        <v>982</v>
      </c>
      <c r="C1395" t="str">
        <f>_xlfn.XLOOKUP(tblOrders[[#This Row],[CustomerID]],tblCustomers[CustomerID],tblCustomers[CustomerName],"not found")</f>
        <v>George Hutchinson</v>
      </c>
      <c r="D1395">
        <f>_xlfn.XLOOKUP(tblOrders[[#This Row],[CustomerID]],tblCustomers[CustomerID],tblCustomers[Age],"not found")</f>
        <v>19</v>
      </c>
      <c r="E1395" t="str">
        <f>_xlfn.XLOOKUP(tblOrders[[#This Row],[CustomerID]],tblCustomers[CustomerID],tblCustomers[Gender],"not found")</f>
        <v>Female</v>
      </c>
      <c r="F1395" t="str">
        <f>_xlfn.XLOOKUP(tblOrders[[#This Row],[CustomerID]],tblCustomers[CustomerID],tblCustomers[Region],"not found")</f>
        <v>North</v>
      </c>
      <c r="G1395">
        <v>1063</v>
      </c>
      <c r="H1395" t="str">
        <f>_xlfn.XLOOKUP(tblOrders[[#This Row],[ProductID]],tblProducts[ProductID],tblProducts[ProductName],"not found")</f>
        <v>Purpose</v>
      </c>
      <c r="I1395" t="str">
        <f>_xlfn.XLOOKUP(tblOrders[[#This Row],[ProductID]],tblProducts[ProductID],tblProducts[Category],"not found")</f>
        <v>Beauty</v>
      </c>
      <c r="J1395">
        <f>_xlfn.XLOOKUP(tblOrders[[#This Row],[ProductID]],tblProducts[ProductID],tblProducts[UnitPrice],"not found")</f>
        <v>313.13</v>
      </c>
      <c r="K1395" t="str">
        <f>_xlfn.XLOOKUP(tblOrders[[#This Row],[ProductID]],tblProducts[ProductID],tblProducts[Supplier],"not found")</f>
        <v>Dixon-Murphy</v>
      </c>
      <c r="L1395" s="1" t="s">
        <v>2185</v>
      </c>
      <c r="M13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44890</v>
      </c>
      <c r="N1395">
        <v>8</v>
      </c>
      <c r="O1395">
        <v>2505.04</v>
      </c>
      <c r="P1395">
        <f>tblOrders[[#This Row],[Quantity]]*tblOrders[[#This Row],[Unit Price]]</f>
        <v>2505.04</v>
      </c>
      <c r="Q1395">
        <f>tblOrders[[#This Row],[TotalSales]]-tblOrders[[#This Row],[Calculated Sales]]</f>
        <v>0</v>
      </c>
    </row>
    <row r="1396" spans="1:17" x14ac:dyDescent="0.25">
      <c r="A1396">
        <v>1892</v>
      </c>
      <c r="B1396">
        <v>961</v>
      </c>
      <c r="C1396" t="str">
        <f>_xlfn.XLOOKUP(tblOrders[[#This Row],[CustomerID]],tblCustomers[CustomerID],tblCustomers[CustomerName],"not found")</f>
        <v>Justin Howard</v>
      </c>
      <c r="D1396">
        <f>_xlfn.XLOOKUP(tblOrders[[#This Row],[CustomerID]],tblCustomers[CustomerID],tblCustomers[Age],"not found")</f>
        <v>45</v>
      </c>
      <c r="E1396" t="str">
        <f>_xlfn.XLOOKUP(tblOrders[[#This Row],[CustomerID]],tblCustomers[CustomerID],tblCustomers[Gender],"not found")</f>
        <v>Female</v>
      </c>
      <c r="F1396" t="str">
        <f>_xlfn.XLOOKUP(tblOrders[[#This Row],[CustomerID]],tblCustomers[CustomerID],tblCustomers[Region],"not found")</f>
        <v>West</v>
      </c>
      <c r="G1396">
        <v>1063</v>
      </c>
      <c r="H1396" t="str">
        <f>_xlfn.XLOOKUP(tblOrders[[#This Row],[ProductID]],tblProducts[ProductID],tblProducts[ProductName],"not found")</f>
        <v>Purpose</v>
      </c>
      <c r="I1396" t="str">
        <f>_xlfn.XLOOKUP(tblOrders[[#This Row],[ProductID]],tblProducts[ProductID],tblProducts[Category],"not found")</f>
        <v>Beauty</v>
      </c>
      <c r="J1396">
        <f>_xlfn.XLOOKUP(tblOrders[[#This Row],[ProductID]],tblProducts[ProductID],tblProducts[UnitPrice],"not found")</f>
        <v>313.13</v>
      </c>
      <c r="K1396" t="str">
        <f>_xlfn.XLOOKUP(tblOrders[[#This Row],[ProductID]],tblProducts[ProductID],tblProducts[Supplier],"not found")</f>
        <v>Dixon-Murphy</v>
      </c>
      <c r="L1396" s="1">
        <v>44723</v>
      </c>
      <c r="M13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1396">
        <v>7</v>
      </c>
      <c r="O1396">
        <v>2191.91</v>
      </c>
      <c r="P1396">
        <f>tblOrders[[#This Row],[Quantity]]*tblOrders[[#This Row],[Unit Price]]</f>
        <v>2191.91</v>
      </c>
      <c r="Q1396">
        <f>tblOrders[[#This Row],[TotalSales]]-tblOrders[[#This Row],[Calculated Sales]]</f>
        <v>0</v>
      </c>
    </row>
    <row r="1397" spans="1:17" x14ac:dyDescent="0.25">
      <c r="A1397">
        <v>1963</v>
      </c>
      <c r="B1397">
        <v>999</v>
      </c>
      <c r="C1397" t="str">
        <f>_xlfn.XLOOKUP(tblOrders[[#This Row],[CustomerID]],tblCustomers[CustomerID],tblCustomers[CustomerName],"not found")</f>
        <v>Amy Jackson</v>
      </c>
      <c r="D1397">
        <f>_xlfn.XLOOKUP(tblOrders[[#This Row],[CustomerID]],tblCustomers[CustomerID],tblCustomers[Age],"not found")</f>
        <v>65</v>
      </c>
      <c r="E1397" t="str">
        <f>_xlfn.XLOOKUP(tblOrders[[#This Row],[CustomerID]],tblCustomers[CustomerID],tblCustomers[Gender],"not found")</f>
        <v>Male</v>
      </c>
      <c r="F1397" t="str">
        <f>_xlfn.XLOOKUP(tblOrders[[#This Row],[CustomerID]],tblCustomers[CustomerID],tblCustomers[Region],"not found")</f>
        <v>Central</v>
      </c>
      <c r="G1397">
        <v>1063</v>
      </c>
      <c r="H1397" t="str">
        <f>_xlfn.XLOOKUP(tblOrders[[#This Row],[ProductID]],tblProducts[ProductID],tblProducts[ProductName],"not found")</f>
        <v>Purpose</v>
      </c>
      <c r="I1397" t="str">
        <f>_xlfn.XLOOKUP(tblOrders[[#This Row],[ProductID]],tblProducts[ProductID],tblProducts[Category],"not found")</f>
        <v>Beauty</v>
      </c>
      <c r="J1397">
        <f>_xlfn.XLOOKUP(tblOrders[[#This Row],[ProductID]],tblProducts[ProductID],tblProducts[UnitPrice],"not found")</f>
        <v>313.13</v>
      </c>
      <c r="K1397" t="str">
        <f>_xlfn.XLOOKUP(tblOrders[[#This Row],[ProductID]],tblProducts[ProductID],tblProducts[Supplier],"not found")</f>
        <v>Dixon-Murphy</v>
      </c>
      <c r="L1397" s="1" t="s">
        <v>2329</v>
      </c>
      <c r="M13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44885</v>
      </c>
      <c r="N1397">
        <v>5</v>
      </c>
      <c r="O1397">
        <v>1565.65</v>
      </c>
      <c r="P1397">
        <f>tblOrders[[#This Row],[Quantity]]*tblOrders[[#This Row],[Unit Price]]</f>
        <v>1565.65</v>
      </c>
      <c r="Q1397">
        <f>tblOrders[[#This Row],[TotalSales]]-tblOrders[[#This Row],[Calculated Sales]]</f>
        <v>0</v>
      </c>
    </row>
    <row r="1398" spans="1:17" x14ac:dyDescent="0.25">
      <c r="A1398">
        <v>102</v>
      </c>
      <c r="B1398">
        <v>161</v>
      </c>
      <c r="C1398" t="str">
        <f>_xlfn.XLOOKUP(tblOrders[[#This Row],[CustomerID]],tblCustomers[CustomerID],tblCustomers[CustomerName],"not found")</f>
        <v>Alex Martin</v>
      </c>
      <c r="D1398">
        <f>_xlfn.XLOOKUP(tblOrders[[#This Row],[CustomerID]],tblCustomers[CustomerID],tblCustomers[Age],"not found")</f>
        <v>56</v>
      </c>
      <c r="E1398" t="str">
        <f>_xlfn.XLOOKUP(tblOrders[[#This Row],[CustomerID]],tblCustomers[CustomerID],tblCustomers[Gender],"not found")</f>
        <v>Male</v>
      </c>
      <c r="F1398" t="str">
        <f>_xlfn.XLOOKUP(tblOrders[[#This Row],[CustomerID]],tblCustomers[CustomerID],tblCustomers[Region],"not found")</f>
        <v>West</v>
      </c>
      <c r="G1398">
        <v>1089</v>
      </c>
      <c r="H1398" t="str">
        <f>_xlfn.XLOOKUP(tblOrders[[#This Row],[ProductID]],tblProducts[ProductID],tblProducts[ProductName],"not found")</f>
        <v>Degree</v>
      </c>
      <c r="I1398" t="str">
        <f>_xlfn.XLOOKUP(tblOrders[[#This Row],[ProductID]],tblProducts[ProductID],tblProducts[Category],"not found")</f>
        <v>Beauty</v>
      </c>
      <c r="J1398">
        <f>_xlfn.XLOOKUP(tblOrders[[#This Row],[ProductID]],tblProducts[ProductID],tblProducts[UnitPrice],"not found")</f>
        <v>78.08</v>
      </c>
      <c r="K1398" t="str">
        <f>_xlfn.XLOOKUP(tblOrders[[#This Row],[ProductID]],tblProducts[ProductID],tblProducts[Supplier],"not found")</f>
        <v>Wells, Fisher and Clark</v>
      </c>
      <c r="L1398" s="1">
        <v>45298</v>
      </c>
      <c r="M13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45298</v>
      </c>
      <c r="N1398">
        <v>6</v>
      </c>
      <c r="O1398">
        <v>468.48</v>
      </c>
      <c r="P1398">
        <f>tblOrders[[#This Row],[Quantity]]*tblOrders[[#This Row],[Unit Price]]</f>
        <v>468.48</v>
      </c>
      <c r="Q1398">
        <f>tblOrders[[#This Row],[TotalSales]]-tblOrders[[#This Row],[Calculated Sales]]</f>
        <v>0</v>
      </c>
    </row>
    <row r="1399" spans="1:17" x14ac:dyDescent="0.25">
      <c r="A1399">
        <v>117</v>
      </c>
      <c r="B1399">
        <v>524</v>
      </c>
      <c r="C1399" t="str">
        <f>_xlfn.XLOOKUP(tblOrders[[#This Row],[CustomerID]],tblCustomers[CustomerID],tblCustomers[CustomerName],"not found")</f>
        <v>Tracey Tyler</v>
      </c>
      <c r="D1399">
        <f>_xlfn.XLOOKUP(tblOrders[[#This Row],[CustomerID]],tblCustomers[CustomerID],tblCustomers[Age],"not found")</f>
        <v>42</v>
      </c>
      <c r="E1399" t="str">
        <f>_xlfn.XLOOKUP(tblOrders[[#This Row],[CustomerID]],tblCustomers[CustomerID],tblCustomers[Gender],"not found")</f>
        <v>Female</v>
      </c>
      <c r="F1399" t="str">
        <f>_xlfn.XLOOKUP(tblOrders[[#This Row],[CustomerID]],tblCustomers[CustomerID],tblCustomers[Region],"not found")</f>
        <v>Central</v>
      </c>
      <c r="G1399">
        <v>1089</v>
      </c>
      <c r="H1399" t="str">
        <f>_xlfn.XLOOKUP(tblOrders[[#This Row],[ProductID]],tblProducts[ProductID],tblProducts[ProductName],"not found")</f>
        <v>Degree</v>
      </c>
      <c r="I1399" t="str">
        <f>_xlfn.XLOOKUP(tblOrders[[#This Row],[ProductID]],tblProducts[ProductID],tblProducts[Category],"not found")</f>
        <v>Beauty</v>
      </c>
      <c r="J1399">
        <f>_xlfn.XLOOKUP(tblOrders[[#This Row],[ProductID]],tblProducts[ProductID],tblProducts[UnitPrice],"not found")</f>
        <v>78.08</v>
      </c>
      <c r="K1399" t="str">
        <f>_xlfn.XLOOKUP(tblOrders[[#This Row],[ProductID]],tblProducts[ProductID],tblProducts[Supplier],"not found")</f>
        <v>Wells, Fisher and Clark</v>
      </c>
      <c r="L1399" s="1" t="s">
        <v>2211</v>
      </c>
      <c r="M13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45557</v>
      </c>
      <c r="N1399">
        <v>3</v>
      </c>
      <c r="O1399">
        <v>234.24</v>
      </c>
      <c r="P1399">
        <f>tblOrders[[#This Row],[Quantity]]*tblOrders[[#This Row],[Unit Price]]</f>
        <v>234.24</v>
      </c>
      <c r="Q1399">
        <f>tblOrders[[#This Row],[TotalSales]]-tblOrders[[#This Row],[Calculated Sales]]</f>
        <v>0</v>
      </c>
    </row>
    <row r="1400" spans="1:17" x14ac:dyDescent="0.25">
      <c r="A1400">
        <v>345</v>
      </c>
      <c r="B1400">
        <v>321</v>
      </c>
      <c r="C1400" t="str">
        <f>_xlfn.XLOOKUP(tblOrders[[#This Row],[CustomerID]],tblCustomers[CustomerID],tblCustomers[CustomerName],"not found")</f>
        <v>Sarah Douglas</v>
      </c>
      <c r="D1400">
        <f>_xlfn.XLOOKUP(tblOrders[[#This Row],[CustomerID]],tblCustomers[CustomerID],tblCustomers[Age],"not found")</f>
        <v>45</v>
      </c>
      <c r="E1400" t="str">
        <f>_xlfn.XLOOKUP(tblOrders[[#This Row],[CustomerID]],tblCustomers[CustomerID],tblCustomers[Gender],"not found")</f>
        <v>Male</v>
      </c>
      <c r="F1400" t="str">
        <f>_xlfn.XLOOKUP(tblOrders[[#This Row],[CustomerID]],tblCustomers[CustomerID],tblCustomers[Region],"not found")</f>
        <v>West</v>
      </c>
      <c r="G1400">
        <v>1089</v>
      </c>
      <c r="H1400" t="str">
        <f>_xlfn.XLOOKUP(tblOrders[[#This Row],[ProductID]],tblProducts[ProductID],tblProducts[ProductName],"not found")</f>
        <v>Degree</v>
      </c>
      <c r="I1400" t="str">
        <f>_xlfn.XLOOKUP(tblOrders[[#This Row],[ProductID]],tblProducts[ProductID],tblProducts[Category],"not found")</f>
        <v>Beauty</v>
      </c>
      <c r="J1400">
        <f>_xlfn.XLOOKUP(tblOrders[[#This Row],[ProductID]],tblProducts[ProductID],tblProducts[UnitPrice],"not found")</f>
        <v>78.08</v>
      </c>
      <c r="K1400" t="str">
        <f>_xlfn.XLOOKUP(tblOrders[[#This Row],[ProductID]],tblProducts[ProductID],tblProducts[Supplier],"not found")</f>
        <v>Wells, Fisher and Clark</v>
      </c>
      <c r="L1400" s="1" t="s">
        <v>2349</v>
      </c>
      <c r="M14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45287</v>
      </c>
      <c r="N1400">
        <v>9</v>
      </c>
      <c r="O1400">
        <v>702.72</v>
      </c>
      <c r="P1400">
        <f>tblOrders[[#This Row],[Quantity]]*tblOrders[[#This Row],[Unit Price]]</f>
        <v>702.72</v>
      </c>
      <c r="Q1400">
        <f>tblOrders[[#This Row],[TotalSales]]-tblOrders[[#This Row],[Calculated Sales]]</f>
        <v>0</v>
      </c>
    </row>
    <row r="1401" spans="1:17" x14ac:dyDescent="0.25">
      <c r="A1401">
        <v>471</v>
      </c>
      <c r="B1401">
        <v>792</v>
      </c>
      <c r="C1401" t="str">
        <f>_xlfn.XLOOKUP(tblOrders[[#This Row],[CustomerID]],tblCustomers[CustomerID],tblCustomers[CustomerName],"not found")</f>
        <v>Stephanie Garcia</v>
      </c>
      <c r="D1401">
        <f>_xlfn.XLOOKUP(tblOrders[[#This Row],[CustomerID]],tblCustomers[CustomerID],tblCustomers[Age],"not found")</f>
        <v>29</v>
      </c>
      <c r="E1401" t="str">
        <f>_xlfn.XLOOKUP(tblOrders[[#This Row],[CustomerID]],tblCustomers[CustomerID],tblCustomers[Gender],"not found")</f>
        <v>Male</v>
      </c>
      <c r="F1401" t="str">
        <f>_xlfn.XLOOKUP(tblOrders[[#This Row],[CustomerID]],tblCustomers[CustomerID],tblCustomers[Region],"not found")</f>
        <v>East</v>
      </c>
      <c r="G1401">
        <v>1089</v>
      </c>
      <c r="H1401" t="str">
        <f>_xlfn.XLOOKUP(tblOrders[[#This Row],[ProductID]],tblProducts[ProductID],tblProducts[ProductName],"not found")</f>
        <v>Degree</v>
      </c>
      <c r="I1401" t="str">
        <f>_xlfn.XLOOKUP(tblOrders[[#This Row],[ProductID]],tblProducts[ProductID],tblProducts[Category],"not found")</f>
        <v>Beauty</v>
      </c>
      <c r="J1401">
        <f>_xlfn.XLOOKUP(tblOrders[[#This Row],[ProductID]],tblProducts[ProductID],tblProducts[UnitPrice],"not found")</f>
        <v>78.08</v>
      </c>
      <c r="K1401" t="str">
        <f>_xlfn.XLOOKUP(tblOrders[[#This Row],[ProductID]],tblProducts[ProductID],tblProducts[Supplier],"not found")</f>
        <v>Wells, Fisher and Clark</v>
      </c>
      <c r="L1401" s="1" t="s">
        <v>2070</v>
      </c>
      <c r="M14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44954</v>
      </c>
      <c r="N1401">
        <v>2</v>
      </c>
      <c r="O1401">
        <v>156.16</v>
      </c>
      <c r="P1401">
        <f>tblOrders[[#This Row],[Quantity]]*tblOrders[[#This Row],[Unit Price]]</f>
        <v>156.16</v>
      </c>
      <c r="Q1401">
        <f>tblOrders[[#This Row],[TotalSales]]-tblOrders[[#This Row],[Calculated Sales]]</f>
        <v>0</v>
      </c>
    </row>
    <row r="1402" spans="1:17" x14ac:dyDescent="0.25">
      <c r="A1402">
        <v>617</v>
      </c>
      <c r="B1402">
        <v>384</v>
      </c>
      <c r="C1402" t="str">
        <f>_xlfn.XLOOKUP(tblOrders[[#This Row],[CustomerID]],tblCustomers[CustomerID],tblCustomers[CustomerName],"not found")</f>
        <v>Veronica Moreno</v>
      </c>
      <c r="D1402">
        <f>_xlfn.XLOOKUP(tblOrders[[#This Row],[CustomerID]],tblCustomers[CustomerID],tblCustomers[Age],"not found")</f>
        <v>39</v>
      </c>
      <c r="E1402" t="str">
        <f>_xlfn.XLOOKUP(tblOrders[[#This Row],[CustomerID]],tblCustomers[CustomerID],tblCustomers[Gender],"not found")</f>
        <v>Male</v>
      </c>
      <c r="F1402" t="str">
        <f>_xlfn.XLOOKUP(tblOrders[[#This Row],[CustomerID]],tblCustomers[CustomerID],tblCustomers[Region],"not found")</f>
        <v>West</v>
      </c>
      <c r="G1402">
        <v>1089</v>
      </c>
      <c r="H1402" t="str">
        <f>_xlfn.XLOOKUP(tblOrders[[#This Row],[ProductID]],tblProducts[ProductID],tblProducts[ProductName],"not found")</f>
        <v>Degree</v>
      </c>
      <c r="I1402" t="str">
        <f>_xlfn.XLOOKUP(tblOrders[[#This Row],[ProductID]],tblProducts[ProductID],tblProducts[Category],"not found")</f>
        <v>Beauty</v>
      </c>
      <c r="J1402">
        <f>_xlfn.XLOOKUP(tblOrders[[#This Row],[ProductID]],tblProducts[ProductID],tblProducts[UnitPrice],"not found")</f>
        <v>78.08</v>
      </c>
      <c r="K1402" t="str">
        <f>_xlfn.XLOOKUP(tblOrders[[#This Row],[ProductID]],tblProducts[ProductID],tblProducts[Supplier],"not found")</f>
        <v>Wells, Fisher and Clark</v>
      </c>
      <c r="L1402" s="1" t="s">
        <v>2135</v>
      </c>
      <c r="M14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45562</v>
      </c>
      <c r="N1402">
        <v>2</v>
      </c>
      <c r="O1402">
        <v>156.16</v>
      </c>
      <c r="P1402">
        <f>tblOrders[[#This Row],[Quantity]]*tblOrders[[#This Row],[Unit Price]]</f>
        <v>156.16</v>
      </c>
      <c r="Q1402">
        <f>tblOrders[[#This Row],[TotalSales]]-tblOrders[[#This Row],[Calculated Sales]]</f>
        <v>0</v>
      </c>
    </row>
    <row r="1403" spans="1:17" x14ac:dyDescent="0.25">
      <c r="A1403">
        <v>645</v>
      </c>
      <c r="B1403">
        <v>541</v>
      </c>
      <c r="C1403" t="str">
        <f>_xlfn.XLOOKUP(tblOrders[[#This Row],[CustomerID]],tblCustomers[CustomerID],tblCustomers[CustomerName],"not found")</f>
        <v>Ashley Ho</v>
      </c>
      <c r="D1403">
        <f>_xlfn.XLOOKUP(tblOrders[[#This Row],[CustomerID]],tblCustomers[CustomerID],tblCustomers[Age],"not found")</f>
        <v>28</v>
      </c>
      <c r="E1403" t="str">
        <f>_xlfn.XLOOKUP(tblOrders[[#This Row],[CustomerID]],tblCustomers[CustomerID],tblCustomers[Gender],"not found")</f>
        <v>Female</v>
      </c>
      <c r="F1403" t="str">
        <f>_xlfn.XLOOKUP(tblOrders[[#This Row],[CustomerID]],tblCustomers[CustomerID],tblCustomers[Region],"not found")</f>
        <v>East</v>
      </c>
      <c r="G1403">
        <v>1089</v>
      </c>
      <c r="H1403" t="str">
        <f>_xlfn.XLOOKUP(tblOrders[[#This Row],[ProductID]],tblProducts[ProductID],tblProducts[ProductName],"not found")</f>
        <v>Degree</v>
      </c>
      <c r="I1403" t="str">
        <f>_xlfn.XLOOKUP(tblOrders[[#This Row],[ProductID]],tblProducts[ProductID],tblProducts[Category],"not found")</f>
        <v>Beauty</v>
      </c>
      <c r="J1403">
        <f>_xlfn.XLOOKUP(tblOrders[[#This Row],[ProductID]],tblProducts[ProductID],tblProducts[UnitPrice],"not found")</f>
        <v>78.08</v>
      </c>
      <c r="K1403" t="str">
        <f>_xlfn.XLOOKUP(tblOrders[[#This Row],[ProductID]],tblProducts[ProductID],tblProducts[Supplier],"not found")</f>
        <v>Wells, Fisher and Clark</v>
      </c>
      <c r="L1403" s="1" t="s">
        <v>2243</v>
      </c>
      <c r="M14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45524</v>
      </c>
      <c r="N1403">
        <v>6</v>
      </c>
      <c r="O1403">
        <v>468.48</v>
      </c>
      <c r="P1403">
        <f>tblOrders[[#This Row],[Quantity]]*tblOrders[[#This Row],[Unit Price]]</f>
        <v>468.48</v>
      </c>
      <c r="Q1403">
        <f>tblOrders[[#This Row],[TotalSales]]-tblOrders[[#This Row],[Calculated Sales]]</f>
        <v>0</v>
      </c>
    </row>
    <row r="1404" spans="1:17" x14ac:dyDescent="0.25">
      <c r="A1404">
        <v>1145</v>
      </c>
      <c r="B1404">
        <v>240</v>
      </c>
      <c r="C1404" t="str">
        <f>_xlfn.XLOOKUP(tblOrders[[#This Row],[CustomerID]],tblCustomers[CustomerID],tblCustomers[CustomerName],"not found")</f>
        <v>Jordan Nelson</v>
      </c>
      <c r="D1404">
        <f>_xlfn.XLOOKUP(tblOrders[[#This Row],[CustomerID]],tblCustomers[CustomerID],tblCustomers[Age],"not found")</f>
        <v>55</v>
      </c>
      <c r="E1404" t="str">
        <f>_xlfn.XLOOKUP(tblOrders[[#This Row],[CustomerID]],tblCustomers[CustomerID],tblCustomers[Gender],"not found")</f>
        <v>Female</v>
      </c>
      <c r="F1404" t="str">
        <f>_xlfn.XLOOKUP(tblOrders[[#This Row],[CustomerID]],tblCustomers[CustomerID],tblCustomers[Region],"not found")</f>
        <v>South</v>
      </c>
      <c r="G1404">
        <v>1089</v>
      </c>
      <c r="H1404" t="str">
        <f>_xlfn.XLOOKUP(tblOrders[[#This Row],[ProductID]],tblProducts[ProductID],tblProducts[ProductName],"not found")</f>
        <v>Degree</v>
      </c>
      <c r="I1404" t="str">
        <f>_xlfn.XLOOKUP(tblOrders[[#This Row],[ProductID]],tblProducts[ProductID],tblProducts[Category],"not found")</f>
        <v>Beauty</v>
      </c>
      <c r="J1404">
        <f>_xlfn.XLOOKUP(tblOrders[[#This Row],[ProductID]],tblProducts[ProductID],tblProducts[UnitPrice],"not found")</f>
        <v>78.08</v>
      </c>
      <c r="K1404" t="str">
        <f>_xlfn.XLOOKUP(tblOrders[[#This Row],[ProductID]],tblProducts[ProductID],tblProducts[Supplier],"not found")</f>
        <v>Wells, Fisher and Clark</v>
      </c>
      <c r="L1404" s="1" t="s">
        <v>2375</v>
      </c>
      <c r="M14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44998</v>
      </c>
      <c r="N1404">
        <v>1</v>
      </c>
      <c r="O1404">
        <v>78.08</v>
      </c>
      <c r="P1404">
        <f>tblOrders[[#This Row],[Quantity]]*tblOrders[[#This Row],[Unit Price]]</f>
        <v>78.08</v>
      </c>
      <c r="Q1404">
        <f>tblOrders[[#This Row],[TotalSales]]-tblOrders[[#This Row],[Calculated Sales]]</f>
        <v>0</v>
      </c>
    </row>
    <row r="1405" spans="1:17" x14ac:dyDescent="0.25">
      <c r="A1405">
        <v>1197</v>
      </c>
      <c r="B1405">
        <v>314</v>
      </c>
      <c r="C1405" t="str">
        <f>_xlfn.XLOOKUP(tblOrders[[#This Row],[CustomerID]],tblCustomers[CustomerID],tblCustomers[CustomerName],"not found")</f>
        <v>Douglas Kelly</v>
      </c>
      <c r="D1405">
        <f>_xlfn.XLOOKUP(tblOrders[[#This Row],[CustomerID]],tblCustomers[CustomerID],tblCustomers[Age],"not found")</f>
        <v>23</v>
      </c>
      <c r="E1405" t="str">
        <f>_xlfn.XLOOKUP(tblOrders[[#This Row],[CustomerID]],tblCustomers[CustomerID],tblCustomers[Gender],"not found")</f>
        <v>Male</v>
      </c>
      <c r="F1405" t="str">
        <f>_xlfn.XLOOKUP(tblOrders[[#This Row],[CustomerID]],tblCustomers[CustomerID],tblCustomers[Region],"not found")</f>
        <v>West</v>
      </c>
      <c r="G1405">
        <v>1089</v>
      </c>
      <c r="H1405" t="str">
        <f>_xlfn.XLOOKUP(tblOrders[[#This Row],[ProductID]],tblProducts[ProductID],tblProducts[ProductName],"not found")</f>
        <v>Degree</v>
      </c>
      <c r="I1405" t="str">
        <f>_xlfn.XLOOKUP(tblOrders[[#This Row],[ProductID]],tblProducts[ProductID],tblProducts[Category],"not found")</f>
        <v>Beauty</v>
      </c>
      <c r="J1405">
        <f>_xlfn.XLOOKUP(tblOrders[[#This Row],[ProductID]],tblProducts[ProductID],tblProducts[UnitPrice],"not found")</f>
        <v>78.08</v>
      </c>
      <c r="K1405" t="str">
        <f>_xlfn.XLOOKUP(tblOrders[[#This Row],[ProductID]],tblProducts[ProductID],tblProducts[Supplier],"not found")</f>
        <v>Wells, Fisher and Clark</v>
      </c>
      <c r="L1405" s="1">
        <v>45109</v>
      </c>
      <c r="M14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45109</v>
      </c>
      <c r="N1405">
        <v>6</v>
      </c>
      <c r="O1405">
        <v>468.48</v>
      </c>
      <c r="P1405">
        <f>tblOrders[[#This Row],[Quantity]]*tblOrders[[#This Row],[Unit Price]]</f>
        <v>468.48</v>
      </c>
      <c r="Q1405">
        <f>tblOrders[[#This Row],[TotalSales]]-tblOrders[[#This Row],[Calculated Sales]]</f>
        <v>0</v>
      </c>
    </row>
    <row r="1406" spans="1:17" x14ac:dyDescent="0.25">
      <c r="A1406">
        <v>1276</v>
      </c>
      <c r="B1406">
        <v>43</v>
      </c>
      <c r="C1406" t="str">
        <f>_xlfn.XLOOKUP(tblOrders[[#This Row],[CustomerID]],tblCustomers[CustomerID],tblCustomers[CustomerName],"not found")</f>
        <v>Carlos Reeves</v>
      </c>
      <c r="D1406">
        <f>_xlfn.XLOOKUP(tblOrders[[#This Row],[CustomerID]],tblCustomers[CustomerID],tblCustomers[Age],"not found")</f>
        <v>41</v>
      </c>
      <c r="E1406" t="str">
        <f>_xlfn.XLOOKUP(tblOrders[[#This Row],[CustomerID]],tblCustomers[CustomerID],tblCustomers[Gender],"not found")</f>
        <v>Male</v>
      </c>
      <c r="F1406" t="str">
        <f>_xlfn.XLOOKUP(tblOrders[[#This Row],[CustomerID]],tblCustomers[CustomerID],tblCustomers[Region],"not found")</f>
        <v>West</v>
      </c>
      <c r="G1406">
        <v>1089</v>
      </c>
      <c r="H1406" t="str">
        <f>_xlfn.XLOOKUP(tblOrders[[#This Row],[ProductID]],tblProducts[ProductID],tblProducts[ProductName],"not found")</f>
        <v>Degree</v>
      </c>
      <c r="I1406" t="str">
        <f>_xlfn.XLOOKUP(tblOrders[[#This Row],[ProductID]],tblProducts[ProductID],tblProducts[Category],"not found")</f>
        <v>Beauty</v>
      </c>
      <c r="J1406">
        <f>_xlfn.XLOOKUP(tblOrders[[#This Row],[ProductID]],tblProducts[ProductID],tblProducts[UnitPrice],"not found")</f>
        <v>78.08</v>
      </c>
      <c r="K1406" t="str">
        <f>_xlfn.XLOOKUP(tblOrders[[#This Row],[ProductID]],tblProducts[ProductID],tblProducts[Supplier],"not found")</f>
        <v>Wells, Fisher and Clark</v>
      </c>
      <c r="L1406" s="1">
        <v>45599</v>
      </c>
      <c r="M14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45599</v>
      </c>
      <c r="N1406">
        <v>4</v>
      </c>
      <c r="O1406">
        <v>312.32</v>
      </c>
      <c r="P1406">
        <f>tblOrders[[#This Row],[Quantity]]*tblOrders[[#This Row],[Unit Price]]</f>
        <v>312.32</v>
      </c>
      <c r="Q1406">
        <f>tblOrders[[#This Row],[TotalSales]]-tblOrders[[#This Row],[Calculated Sales]]</f>
        <v>0</v>
      </c>
    </row>
    <row r="1407" spans="1:17" x14ac:dyDescent="0.25">
      <c r="A1407">
        <v>1337</v>
      </c>
      <c r="B1407">
        <v>463</v>
      </c>
      <c r="C1407" t="str">
        <f>_xlfn.XLOOKUP(tblOrders[[#This Row],[CustomerID]],tblCustomers[CustomerID],tblCustomers[CustomerName],"not found")</f>
        <v>Jonathan Washington</v>
      </c>
      <c r="D1407">
        <f>_xlfn.XLOOKUP(tblOrders[[#This Row],[CustomerID]],tblCustomers[CustomerID],tblCustomers[Age],"not found")</f>
        <v>43</v>
      </c>
      <c r="E1407" t="str">
        <f>_xlfn.XLOOKUP(tblOrders[[#This Row],[CustomerID]],tblCustomers[CustomerID],tblCustomers[Gender],"not found")</f>
        <v>Male</v>
      </c>
      <c r="F1407" t="str">
        <f>_xlfn.XLOOKUP(tblOrders[[#This Row],[CustomerID]],tblCustomers[CustomerID],tblCustomers[Region],"not found")</f>
        <v>East</v>
      </c>
      <c r="G1407">
        <v>1089</v>
      </c>
      <c r="H1407" t="str">
        <f>_xlfn.XLOOKUP(tblOrders[[#This Row],[ProductID]],tblProducts[ProductID],tblProducts[ProductName],"not found")</f>
        <v>Degree</v>
      </c>
      <c r="I1407" t="str">
        <f>_xlfn.XLOOKUP(tblOrders[[#This Row],[ProductID]],tblProducts[ProductID],tblProducts[Category],"not found")</f>
        <v>Beauty</v>
      </c>
      <c r="J1407">
        <f>_xlfn.XLOOKUP(tblOrders[[#This Row],[ProductID]],tblProducts[ProductID],tblProducts[UnitPrice],"not found")</f>
        <v>78.08</v>
      </c>
      <c r="K1407" t="str">
        <f>_xlfn.XLOOKUP(tblOrders[[#This Row],[ProductID]],tblProducts[ProductID],tblProducts[Supplier],"not found")</f>
        <v>Wells, Fisher and Clark</v>
      </c>
      <c r="L1407" s="1" t="s">
        <v>2054</v>
      </c>
      <c r="M14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45335</v>
      </c>
      <c r="N1407">
        <v>6</v>
      </c>
      <c r="O1407">
        <v>468.48</v>
      </c>
      <c r="P1407">
        <f>tblOrders[[#This Row],[Quantity]]*tblOrders[[#This Row],[Unit Price]]</f>
        <v>468.48</v>
      </c>
      <c r="Q1407">
        <f>tblOrders[[#This Row],[TotalSales]]-tblOrders[[#This Row],[Calculated Sales]]</f>
        <v>0</v>
      </c>
    </row>
    <row r="1408" spans="1:17" x14ac:dyDescent="0.25">
      <c r="A1408">
        <v>1438</v>
      </c>
      <c r="B1408">
        <v>449</v>
      </c>
      <c r="C1408" t="str">
        <f>_xlfn.XLOOKUP(tblOrders[[#This Row],[CustomerID]],tblCustomers[CustomerID],tblCustomers[CustomerName],"not found")</f>
        <v>Mackenzie Bowman</v>
      </c>
      <c r="D1408">
        <f>_xlfn.XLOOKUP(tblOrders[[#This Row],[CustomerID]],tblCustomers[CustomerID],tblCustomers[Age],"not found")</f>
        <v>68</v>
      </c>
      <c r="E1408" t="str">
        <f>_xlfn.XLOOKUP(tblOrders[[#This Row],[CustomerID]],tblCustomers[CustomerID],tblCustomers[Gender],"not found")</f>
        <v>Female</v>
      </c>
      <c r="F1408" t="str">
        <f>_xlfn.XLOOKUP(tblOrders[[#This Row],[CustomerID]],tblCustomers[CustomerID],tblCustomers[Region],"not found")</f>
        <v>West</v>
      </c>
      <c r="G1408">
        <v>1089</v>
      </c>
      <c r="H1408" t="str">
        <f>_xlfn.XLOOKUP(tblOrders[[#This Row],[ProductID]],tblProducts[ProductID],tblProducts[ProductName],"not found")</f>
        <v>Degree</v>
      </c>
      <c r="I1408" t="str">
        <f>_xlfn.XLOOKUP(tblOrders[[#This Row],[ProductID]],tblProducts[ProductID],tblProducts[Category],"not found")</f>
        <v>Beauty</v>
      </c>
      <c r="J1408">
        <f>_xlfn.XLOOKUP(tblOrders[[#This Row],[ProductID]],tblProducts[ProductID],tblProducts[UnitPrice],"not found")</f>
        <v>78.08</v>
      </c>
      <c r="K1408" t="str">
        <f>_xlfn.XLOOKUP(tblOrders[[#This Row],[ProductID]],tblProducts[ProductID],tblProducts[Supplier],"not found")</f>
        <v>Wells, Fisher and Clark</v>
      </c>
      <c r="L1408" s="1" t="s">
        <v>2141</v>
      </c>
      <c r="M14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44925</v>
      </c>
      <c r="N1408">
        <v>2</v>
      </c>
      <c r="O1408">
        <v>156.16</v>
      </c>
      <c r="P1408">
        <f>tblOrders[[#This Row],[Quantity]]*tblOrders[[#This Row],[Unit Price]]</f>
        <v>156.16</v>
      </c>
      <c r="Q1408">
        <f>tblOrders[[#This Row],[TotalSales]]-tblOrders[[#This Row],[Calculated Sales]]</f>
        <v>0</v>
      </c>
    </row>
    <row r="1409" spans="1:17" x14ac:dyDescent="0.25">
      <c r="A1409">
        <v>1709</v>
      </c>
      <c r="B1409">
        <v>704</v>
      </c>
      <c r="C1409" t="str">
        <f>_xlfn.XLOOKUP(tblOrders[[#This Row],[CustomerID]],tblCustomers[CustomerID],tblCustomers[CustomerName],"not found")</f>
        <v>Bruce Rogers</v>
      </c>
      <c r="D1409">
        <f>_xlfn.XLOOKUP(tblOrders[[#This Row],[CustomerID]],tblCustomers[CustomerID],tblCustomers[Age],"not found")</f>
        <v>19</v>
      </c>
      <c r="E1409" t="str">
        <f>_xlfn.XLOOKUP(tblOrders[[#This Row],[CustomerID]],tblCustomers[CustomerID],tblCustomers[Gender],"not found")</f>
        <v>Female</v>
      </c>
      <c r="F1409" t="str">
        <f>_xlfn.XLOOKUP(tblOrders[[#This Row],[CustomerID]],tblCustomers[CustomerID],tblCustomers[Region],"not found")</f>
        <v>West</v>
      </c>
      <c r="G1409">
        <v>1089</v>
      </c>
      <c r="H1409" t="str">
        <f>_xlfn.XLOOKUP(tblOrders[[#This Row],[ProductID]],tblProducts[ProductID],tblProducts[ProductName],"not found")</f>
        <v>Degree</v>
      </c>
      <c r="I1409" t="str">
        <f>_xlfn.XLOOKUP(tblOrders[[#This Row],[ProductID]],tblProducts[ProductID],tblProducts[Category],"not found")</f>
        <v>Beauty</v>
      </c>
      <c r="J1409">
        <f>_xlfn.XLOOKUP(tblOrders[[#This Row],[ProductID]],tblProducts[ProductID],tblProducts[UnitPrice],"not found")</f>
        <v>78.08</v>
      </c>
      <c r="K1409" t="str">
        <f>_xlfn.XLOOKUP(tblOrders[[#This Row],[ProductID]],tblProducts[ProductID],tblProducts[Supplier],"not found")</f>
        <v>Wells, Fisher and Clark</v>
      </c>
      <c r="L1409" s="1" t="s">
        <v>2054</v>
      </c>
      <c r="M14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45335</v>
      </c>
      <c r="N1409">
        <v>9</v>
      </c>
      <c r="O1409">
        <v>702.72</v>
      </c>
      <c r="P1409">
        <f>tblOrders[[#This Row],[Quantity]]*tblOrders[[#This Row],[Unit Price]]</f>
        <v>702.72</v>
      </c>
      <c r="Q1409">
        <f>tblOrders[[#This Row],[TotalSales]]-tblOrders[[#This Row],[Calculated Sales]]</f>
        <v>0</v>
      </c>
    </row>
    <row r="1410" spans="1:17" x14ac:dyDescent="0.25">
      <c r="A1410">
        <v>1796</v>
      </c>
      <c r="B1410">
        <v>370</v>
      </c>
      <c r="C1410" t="str">
        <f>_xlfn.XLOOKUP(tblOrders[[#This Row],[CustomerID]],tblCustomers[CustomerID],tblCustomers[CustomerName],"not found")</f>
        <v>Christine Knox</v>
      </c>
      <c r="D1410">
        <f>_xlfn.XLOOKUP(tblOrders[[#This Row],[CustomerID]],tblCustomers[CustomerID],tblCustomers[Age],"not found")</f>
        <v>53</v>
      </c>
      <c r="E1410" t="str">
        <f>_xlfn.XLOOKUP(tblOrders[[#This Row],[CustomerID]],tblCustomers[CustomerID],tblCustomers[Gender],"not found")</f>
        <v>Female</v>
      </c>
      <c r="F1410" t="str">
        <f>_xlfn.XLOOKUP(tblOrders[[#This Row],[CustomerID]],tblCustomers[CustomerID],tblCustomers[Region],"not found")</f>
        <v>East</v>
      </c>
      <c r="G1410">
        <v>1089</v>
      </c>
      <c r="H1410" t="str">
        <f>_xlfn.XLOOKUP(tblOrders[[#This Row],[ProductID]],tblProducts[ProductID],tblProducts[ProductName],"not found")</f>
        <v>Degree</v>
      </c>
      <c r="I1410" t="str">
        <f>_xlfn.XLOOKUP(tblOrders[[#This Row],[ProductID]],tblProducts[ProductID],tblProducts[Category],"not found")</f>
        <v>Beauty</v>
      </c>
      <c r="J1410">
        <f>_xlfn.XLOOKUP(tblOrders[[#This Row],[ProductID]],tblProducts[ProductID],tblProducts[UnitPrice],"not found")</f>
        <v>78.08</v>
      </c>
      <c r="K1410" t="str">
        <f>_xlfn.XLOOKUP(tblOrders[[#This Row],[ProductID]],tblProducts[ProductID],tblProducts[Supplier],"not found")</f>
        <v>Wells, Fisher and Clark</v>
      </c>
      <c r="L1410" s="1">
        <v>45575</v>
      </c>
      <c r="M14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45575</v>
      </c>
      <c r="N1410">
        <v>8</v>
      </c>
      <c r="O1410">
        <v>624.64</v>
      </c>
      <c r="P1410">
        <f>tblOrders[[#This Row],[Quantity]]*tblOrders[[#This Row],[Unit Price]]</f>
        <v>624.64</v>
      </c>
      <c r="Q1410">
        <f>tblOrders[[#This Row],[TotalSales]]-tblOrders[[#This Row],[Calculated Sales]]</f>
        <v>0</v>
      </c>
    </row>
    <row r="1411" spans="1:17" x14ac:dyDescent="0.25">
      <c r="A1411">
        <v>1883</v>
      </c>
      <c r="B1411">
        <v>300</v>
      </c>
      <c r="C1411" t="str">
        <f>_xlfn.XLOOKUP(tblOrders[[#This Row],[CustomerID]],tblCustomers[CustomerID],tblCustomers[CustomerName],"not found")</f>
        <v>Tina Obrien</v>
      </c>
      <c r="D1411">
        <f>_xlfn.XLOOKUP(tblOrders[[#This Row],[CustomerID]],tblCustomers[CustomerID],tblCustomers[Age],"not found")</f>
        <v>20</v>
      </c>
      <c r="E1411" t="str">
        <f>_xlfn.XLOOKUP(tblOrders[[#This Row],[CustomerID]],tblCustomers[CustomerID],tblCustomers[Gender],"not found")</f>
        <v>Male</v>
      </c>
      <c r="F1411" t="str">
        <f>_xlfn.XLOOKUP(tblOrders[[#This Row],[CustomerID]],tblCustomers[CustomerID],tblCustomers[Region],"not found")</f>
        <v>West</v>
      </c>
      <c r="G1411">
        <v>1089</v>
      </c>
      <c r="H1411" t="str">
        <f>_xlfn.XLOOKUP(tblOrders[[#This Row],[ProductID]],tblProducts[ProductID],tblProducts[ProductName],"not found")</f>
        <v>Degree</v>
      </c>
      <c r="I1411" t="str">
        <f>_xlfn.XLOOKUP(tblOrders[[#This Row],[ProductID]],tblProducts[ProductID],tblProducts[Category],"not found")</f>
        <v>Beauty</v>
      </c>
      <c r="J1411">
        <f>_xlfn.XLOOKUP(tblOrders[[#This Row],[ProductID]],tblProducts[ProductID],tblProducts[UnitPrice],"not found")</f>
        <v>78.08</v>
      </c>
      <c r="K1411" t="str">
        <f>_xlfn.XLOOKUP(tblOrders[[#This Row],[ProductID]],tblProducts[ProductID],tblProducts[Supplier],"not found")</f>
        <v>Wells, Fisher and Clark</v>
      </c>
      <c r="L1411" s="1">
        <v>45483</v>
      </c>
      <c r="M14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45483</v>
      </c>
      <c r="N1411">
        <v>1</v>
      </c>
      <c r="O1411">
        <v>78.08</v>
      </c>
      <c r="P1411">
        <f>tblOrders[[#This Row],[Quantity]]*tblOrders[[#This Row],[Unit Price]]</f>
        <v>78.08</v>
      </c>
      <c r="Q1411">
        <f>tblOrders[[#This Row],[TotalSales]]-tblOrders[[#This Row],[Calculated Sales]]</f>
        <v>0</v>
      </c>
    </row>
    <row r="1412" spans="1:17" x14ac:dyDescent="0.25">
      <c r="A1412">
        <v>1991</v>
      </c>
      <c r="B1412">
        <v>596</v>
      </c>
      <c r="C1412" t="str">
        <f>_xlfn.XLOOKUP(tblOrders[[#This Row],[CustomerID]],tblCustomers[CustomerID],tblCustomers[CustomerName],"not found")</f>
        <v>George Rodriguez MD</v>
      </c>
      <c r="D1412">
        <f>_xlfn.XLOOKUP(tblOrders[[#This Row],[CustomerID]],tblCustomers[CustomerID],tblCustomers[Age],"not found")</f>
        <v>57</v>
      </c>
      <c r="E1412" t="str">
        <f>_xlfn.XLOOKUP(tblOrders[[#This Row],[CustomerID]],tblCustomers[CustomerID],tblCustomers[Gender],"not found")</f>
        <v>Male</v>
      </c>
      <c r="F1412" t="str">
        <f>_xlfn.XLOOKUP(tblOrders[[#This Row],[CustomerID]],tblCustomers[CustomerID],tblCustomers[Region],"not found")</f>
        <v>South</v>
      </c>
      <c r="G1412">
        <v>1089</v>
      </c>
      <c r="H1412" t="str">
        <f>_xlfn.XLOOKUP(tblOrders[[#This Row],[ProductID]],tblProducts[ProductID],tblProducts[ProductName],"not found")</f>
        <v>Degree</v>
      </c>
      <c r="I1412" t="str">
        <f>_xlfn.XLOOKUP(tblOrders[[#This Row],[ProductID]],tblProducts[ProductID],tblProducts[Category],"not found")</f>
        <v>Beauty</v>
      </c>
      <c r="J1412">
        <f>_xlfn.XLOOKUP(tblOrders[[#This Row],[ProductID]],tblProducts[ProductID],tblProducts[UnitPrice],"not found")</f>
        <v>78.08</v>
      </c>
      <c r="K1412" t="str">
        <f>_xlfn.XLOOKUP(tblOrders[[#This Row],[ProductID]],tblProducts[ProductID],tblProducts[Supplier],"not found")</f>
        <v>Wells, Fisher and Clark</v>
      </c>
      <c r="L1412" s="1">
        <v>45355</v>
      </c>
      <c r="M14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45355</v>
      </c>
      <c r="N1412">
        <v>3</v>
      </c>
      <c r="O1412">
        <v>234.24</v>
      </c>
      <c r="P1412">
        <f>tblOrders[[#This Row],[Quantity]]*tblOrders[[#This Row],[Unit Price]]</f>
        <v>234.24</v>
      </c>
      <c r="Q1412">
        <f>tblOrders[[#This Row],[TotalSales]]-tblOrders[[#This Row],[Calculated Sales]]</f>
        <v>0</v>
      </c>
    </row>
    <row r="1413" spans="1:17" x14ac:dyDescent="0.25">
      <c r="A1413">
        <v>103</v>
      </c>
      <c r="B1413">
        <v>151</v>
      </c>
      <c r="C1413" t="str">
        <f>_xlfn.XLOOKUP(tblOrders[[#This Row],[CustomerID]],tblCustomers[CustomerID],tblCustomers[CustomerName],"not found")</f>
        <v>David Page</v>
      </c>
      <c r="D1413">
        <f>_xlfn.XLOOKUP(tblOrders[[#This Row],[CustomerID]],tblCustomers[CustomerID],tblCustomers[Age],"not found")</f>
        <v>60</v>
      </c>
      <c r="E1413" t="str">
        <f>_xlfn.XLOOKUP(tblOrders[[#This Row],[CustomerID]],tblCustomers[CustomerID],tblCustomers[Gender],"not found")</f>
        <v>Female</v>
      </c>
      <c r="F1413" t="str">
        <f>_xlfn.XLOOKUP(tblOrders[[#This Row],[CustomerID]],tblCustomers[CustomerID],tblCustomers[Region],"not found")</f>
        <v>South</v>
      </c>
      <c r="G1413">
        <v>1088</v>
      </c>
      <c r="H1413" t="str">
        <f>_xlfn.XLOOKUP(tblOrders[[#This Row],[ProductID]],tblProducts[ProductID],tblProducts[ProductName],"not found")</f>
        <v>Where</v>
      </c>
      <c r="I1413" t="str">
        <f>_xlfn.XLOOKUP(tblOrders[[#This Row],[ProductID]],tblProducts[ProductID],tblProducts[Category],"not found")</f>
        <v>Furniture</v>
      </c>
      <c r="J1413">
        <f>_xlfn.XLOOKUP(tblOrders[[#This Row],[ProductID]],tblProducts[ProductID],tblProducts[UnitPrice],"not found")</f>
        <v>388.62</v>
      </c>
      <c r="K1413" t="str">
        <f>_xlfn.XLOOKUP(tblOrders[[#This Row],[ProductID]],tblProducts[ProductID],tblProducts[Supplier],"not found")</f>
        <v>Melton, Rodriguez and Wallace</v>
      </c>
      <c r="L1413" s="1">
        <v>44936</v>
      </c>
      <c r="M14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44936</v>
      </c>
      <c r="N1413">
        <v>9</v>
      </c>
      <c r="O1413">
        <v>3497.58</v>
      </c>
      <c r="P1413">
        <f>tblOrders[[#This Row],[Quantity]]*tblOrders[[#This Row],[Unit Price]]</f>
        <v>3497.58</v>
      </c>
      <c r="Q1413">
        <f>tblOrders[[#This Row],[TotalSales]]-tblOrders[[#This Row],[Calculated Sales]]</f>
        <v>0</v>
      </c>
    </row>
    <row r="1414" spans="1:17" x14ac:dyDescent="0.25">
      <c r="A1414">
        <v>153</v>
      </c>
      <c r="B1414">
        <v>300</v>
      </c>
      <c r="C1414" t="str">
        <f>_xlfn.XLOOKUP(tblOrders[[#This Row],[CustomerID]],tblCustomers[CustomerID],tblCustomers[CustomerName],"not found")</f>
        <v>Tina Obrien</v>
      </c>
      <c r="D1414">
        <f>_xlfn.XLOOKUP(tblOrders[[#This Row],[CustomerID]],tblCustomers[CustomerID],tblCustomers[Age],"not found")</f>
        <v>20</v>
      </c>
      <c r="E1414" t="str">
        <f>_xlfn.XLOOKUP(tblOrders[[#This Row],[CustomerID]],tblCustomers[CustomerID],tblCustomers[Gender],"not found")</f>
        <v>Male</v>
      </c>
      <c r="F1414" t="str">
        <f>_xlfn.XLOOKUP(tblOrders[[#This Row],[CustomerID]],tblCustomers[CustomerID],tblCustomers[Region],"not found")</f>
        <v>West</v>
      </c>
      <c r="G1414">
        <v>1088</v>
      </c>
      <c r="H1414" t="str">
        <f>_xlfn.XLOOKUP(tblOrders[[#This Row],[ProductID]],tblProducts[ProductID],tblProducts[ProductName],"not found")</f>
        <v>Where</v>
      </c>
      <c r="I1414" t="str">
        <f>_xlfn.XLOOKUP(tblOrders[[#This Row],[ProductID]],tblProducts[ProductID],tblProducts[Category],"not found")</f>
        <v>Furniture</v>
      </c>
      <c r="J1414">
        <f>_xlfn.XLOOKUP(tblOrders[[#This Row],[ProductID]],tblProducts[ProductID],tblProducts[UnitPrice],"not found")</f>
        <v>388.62</v>
      </c>
      <c r="K1414" t="str">
        <f>_xlfn.XLOOKUP(tblOrders[[#This Row],[ProductID]],tblProducts[ProductID],tblProducts[Supplier],"not found")</f>
        <v>Melton, Rodriguez and Wallace</v>
      </c>
      <c r="L1414" s="1" t="s">
        <v>2154</v>
      </c>
      <c r="M14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45122</v>
      </c>
      <c r="N1414">
        <v>9</v>
      </c>
      <c r="O1414">
        <v>3497.58</v>
      </c>
      <c r="P1414">
        <f>tblOrders[[#This Row],[Quantity]]*tblOrders[[#This Row],[Unit Price]]</f>
        <v>3497.58</v>
      </c>
      <c r="Q1414">
        <f>tblOrders[[#This Row],[TotalSales]]-tblOrders[[#This Row],[Calculated Sales]]</f>
        <v>0</v>
      </c>
    </row>
    <row r="1415" spans="1:17" x14ac:dyDescent="0.25">
      <c r="A1415">
        <v>204</v>
      </c>
      <c r="B1415">
        <v>401</v>
      </c>
      <c r="C1415" t="str">
        <f>_xlfn.XLOOKUP(tblOrders[[#This Row],[CustomerID]],tblCustomers[CustomerID],tblCustomers[CustomerName],"not found")</f>
        <v>Jordan Larson</v>
      </c>
      <c r="D1415">
        <f>_xlfn.XLOOKUP(tblOrders[[#This Row],[CustomerID]],tblCustomers[CustomerID],tblCustomers[Age],"not found")</f>
        <v>28</v>
      </c>
      <c r="E1415" t="str">
        <f>_xlfn.XLOOKUP(tblOrders[[#This Row],[CustomerID]],tblCustomers[CustomerID],tblCustomers[Gender],"not found")</f>
        <v>Male</v>
      </c>
      <c r="F1415" t="str">
        <f>_xlfn.XLOOKUP(tblOrders[[#This Row],[CustomerID]],tblCustomers[CustomerID],tblCustomers[Region],"not found")</f>
        <v>Central</v>
      </c>
      <c r="G1415">
        <v>1088</v>
      </c>
      <c r="H1415" t="str">
        <f>_xlfn.XLOOKUP(tblOrders[[#This Row],[ProductID]],tblProducts[ProductID],tblProducts[ProductName],"not found")</f>
        <v>Where</v>
      </c>
      <c r="I1415" t="str">
        <f>_xlfn.XLOOKUP(tblOrders[[#This Row],[ProductID]],tblProducts[ProductID],tblProducts[Category],"not found")</f>
        <v>Furniture</v>
      </c>
      <c r="J1415">
        <f>_xlfn.XLOOKUP(tblOrders[[#This Row],[ProductID]],tblProducts[ProductID],tblProducts[UnitPrice],"not found")</f>
        <v>388.62</v>
      </c>
      <c r="K1415" t="str">
        <f>_xlfn.XLOOKUP(tblOrders[[#This Row],[ProductID]],tblProducts[ProductID],tblProducts[Supplier],"not found")</f>
        <v>Melton, Rodriguez and Wallace</v>
      </c>
      <c r="L1415" s="1">
        <v>45022</v>
      </c>
      <c r="M14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45022</v>
      </c>
      <c r="N1415">
        <v>8</v>
      </c>
      <c r="O1415">
        <v>3108.96</v>
      </c>
      <c r="P1415">
        <f>tblOrders[[#This Row],[Quantity]]*tblOrders[[#This Row],[Unit Price]]</f>
        <v>3108.96</v>
      </c>
      <c r="Q1415">
        <f>tblOrders[[#This Row],[TotalSales]]-tblOrders[[#This Row],[Calculated Sales]]</f>
        <v>0</v>
      </c>
    </row>
    <row r="1416" spans="1:17" x14ac:dyDescent="0.25">
      <c r="A1416">
        <v>214</v>
      </c>
      <c r="B1416">
        <v>127</v>
      </c>
      <c r="C1416" t="str">
        <f>_xlfn.XLOOKUP(tblOrders[[#This Row],[CustomerID]],tblCustomers[CustomerID],tblCustomers[CustomerName],"not found")</f>
        <v>Joshua Cortez</v>
      </c>
      <c r="D1416">
        <f>_xlfn.XLOOKUP(tblOrders[[#This Row],[CustomerID]],tblCustomers[CustomerID],tblCustomers[Age],"not found")</f>
        <v>42</v>
      </c>
      <c r="E1416" t="str">
        <f>_xlfn.XLOOKUP(tblOrders[[#This Row],[CustomerID]],tblCustomers[CustomerID],tblCustomers[Gender],"not found")</f>
        <v>Male</v>
      </c>
      <c r="F1416" t="str">
        <f>_xlfn.XLOOKUP(tblOrders[[#This Row],[CustomerID]],tblCustomers[CustomerID],tblCustomers[Region],"not found")</f>
        <v>South</v>
      </c>
      <c r="G1416">
        <v>1088</v>
      </c>
      <c r="H1416" t="str">
        <f>_xlfn.XLOOKUP(tblOrders[[#This Row],[ProductID]],tblProducts[ProductID],tblProducts[ProductName],"not found")</f>
        <v>Where</v>
      </c>
      <c r="I1416" t="str">
        <f>_xlfn.XLOOKUP(tblOrders[[#This Row],[ProductID]],tblProducts[ProductID],tblProducts[Category],"not found")</f>
        <v>Furniture</v>
      </c>
      <c r="J1416">
        <f>_xlfn.XLOOKUP(tblOrders[[#This Row],[ProductID]],tblProducts[ProductID],tblProducts[UnitPrice],"not found")</f>
        <v>388.62</v>
      </c>
      <c r="K1416" t="str">
        <f>_xlfn.XLOOKUP(tblOrders[[#This Row],[ProductID]],tblProducts[ProductID],tblProducts[Supplier],"not found")</f>
        <v>Melton, Rodriguez and Wallace</v>
      </c>
      <c r="L1416" s="1">
        <v>45358</v>
      </c>
      <c r="M14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45358</v>
      </c>
      <c r="N1416">
        <v>8</v>
      </c>
      <c r="O1416">
        <v>3108.96</v>
      </c>
      <c r="P1416">
        <f>tblOrders[[#This Row],[Quantity]]*tblOrders[[#This Row],[Unit Price]]</f>
        <v>3108.96</v>
      </c>
      <c r="Q1416">
        <f>tblOrders[[#This Row],[TotalSales]]-tblOrders[[#This Row],[Calculated Sales]]</f>
        <v>0</v>
      </c>
    </row>
    <row r="1417" spans="1:17" x14ac:dyDescent="0.25">
      <c r="A1417">
        <v>276</v>
      </c>
      <c r="B1417">
        <v>888</v>
      </c>
      <c r="C1417" t="str">
        <f>_xlfn.XLOOKUP(tblOrders[[#This Row],[CustomerID]],tblCustomers[CustomerID],tblCustomers[CustomerName],"not found")</f>
        <v>Kelly Diaz</v>
      </c>
      <c r="D1417">
        <f>_xlfn.XLOOKUP(tblOrders[[#This Row],[CustomerID]],tblCustomers[CustomerID],tblCustomers[Age],"not found")</f>
        <v>40</v>
      </c>
      <c r="E1417" t="str">
        <f>_xlfn.XLOOKUP(tblOrders[[#This Row],[CustomerID]],tblCustomers[CustomerID],tblCustomers[Gender],"not found")</f>
        <v>Male</v>
      </c>
      <c r="F1417" t="str">
        <f>_xlfn.XLOOKUP(tblOrders[[#This Row],[CustomerID]],tblCustomers[CustomerID],tblCustomers[Region],"not found")</f>
        <v>East</v>
      </c>
      <c r="G1417">
        <v>1088</v>
      </c>
      <c r="H1417" t="str">
        <f>_xlfn.XLOOKUP(tblOrders[[#This Row],[ProductID]],tblProducts[ProductID],tblProducts[ProductName],"not found")</f>
        <v>Where</v>
      </c>
      <c r="I1417" t="str">
        <f>_xlfn.XLOOKUP(tblOrders[[#This Row],[ProductID]],tblProducts[ProductID],tblProducts[Category],"not found")</f>
        <v>Furniture</v>
      </c>
      <c r="J1417">
        <f>_xlfn.XLOOKUP(tblOrders[[#This Row],[ProductID]],tblProducts[ProductID],tblProducts[UnitPrice],"not found")</f>
        <v>388.62</v>
      </c>
      <c r="K1417" t="str">
        <f>_xlfn.XLOOKUP(tblOrders[[#This Row],[ProductID]],tblProducts[ProductID],tblProducts[Supplier],"not found")</f>
        <v>Melton, Rodriguez and Wallace</v>
      </c>
      <c r="L1417" s="1">
        <v>44724</v>
      </c>
      <c r="M14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44724</v>
      </c>
      <c r="N1417">
        <v>5</v>
      </c>
      <c r="O1417">
        <v>1943.1</v>
      </c>
      <c r="P1417">
        <f>tblOrders[[#This Row],[Quantity]]*tblOrders[[#This Row],[Unit Price]]</f>
        <v>1943.1</v>
      </c>
      <c r="Q1417">
        <f>tblOrders[[#This Row],[TotalSales]]-tblOrders[[#This Row],[Calculated Sales]]</f>
        <v>0</v>
      </c>
    </row>
    <row r="1418" spans="1:17" x14ac:dyDescent="0.25">
      <c r="A1418">
        <v>407</v>
      </c>
      <c r="B1418">
        <v>404</v>
      </c>
      <c r="C1418" t="str">
        <f>_xlfn.XLOOKUP(tblOrders[[#This Row],[CustomerID]],tblCustomers[CustomerID],tblCustomers[CustomerName],"not found")</f>
        <v>Nancy Schneider</v>
      </c>
      <c r="D1418">
        <f>_xlfn.XLOOKUP(tblOrders[[#This Row],[CustomerID]],tblCustomers[CustomerID],tblCustomers[Age],"not found")</f>
        <v>45</v>
      </c>
      <c r="E1418" t="str">
        <f>_xlfn.XLOOKUP(tblOrders[[#This Row],[CustomerID]],tblCustomers[CustomerID],tblCustomers[Gender],"not found")</f>
        <v>Female</v>
      </c>
      <c r="F1418" t="str">
        <f>_xlfn.XLOOKUP(tblOrders[[#This Row],[CustomerID]],tblCustomers[CustomerID],tblCustomers[Region],"not found")</f>
        <v>South</v>
      </c>
      <c r="G1418">
        <v>1088</v>
      </c>
      <c r="H1418" t="str">
        <f>_xlfn.XLOOKUP(tblOrders[[#This Row],[ProductID]],tblProducts[ProductID],tblProducts[ProductName],"not found")</f>
        <v>Where</v>
      </c>
      <c r="I1418" t="str">
        <f>_xlfn.XLOOKUP(tblOrders[[#This Row],[ProductID]],tblProducts[ProductID],tblProducts[Category],"not found")</f>
        <v>Furniture</v>
      </c>
      <c r="J1418">
        <f>_xlfn.XLOOKUP(tblOrders[[#This Row],[ProductID]],tblProducts[ProductID],tblProducts[UnitPrice],"not found")</f>
        <v>388.62</v>
      </c>
      <c r="K1418" t="str">
        <f>_xlfn.XLOOKUP(tblOrders[[#This Row],[ProductID]],tblProducts[ProductID],tblProducts[Supplier],"not found")</f>
        <v>Melton, Rodriguez and Wallace</v>
      </c>
      <c r="L1418" s="1" t="s">
        <v>2178</v>
      </c>
      <c r="M14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45069</v>
      </c>
      <c r="N1418">
        <v>7</v>
      </c>
      <c r="O1418">
        <v>2720.34</v>
      </c>
      <c r="P1418">
        <f>tblOrders[[#This Row],[Quantity]]*tblOrders[[#This Row],[Unit Price]]</f>
        <v>2720.34</v>
      </c>
      <c r="Q1418">
        <f>tblOrders[[#This Row],[TotalSales]]-tblOrders[[#This Row],[Calculated Sales]]</f>
        <v>0</v>
      </c>
    </row>
    <row r="1419" spans="1:17" x14ac:dyDescent="0.25">
      <c r="A1419">
        <v>423</v>
      </c>
      <c r="B1419">
        <v>196</v>
      </c>
      <c r="C1419" t="str">
        <f>_xlfn.XLOOKUP(tblOrders[[#This Row],[CustomerID]],tblCustomers[CustomerID],tblCustomers[CustomerName],"not found")</f>
        <v>Daniel Mcgee</v>
      </c>
      <c r="D1419">
        <f>_xlfn.XLOOKUP(tblOrders[[#This Row],[CustomerID]],tblCustomers[CustomerID],tblCustomers[Age],"not found")</f>
        <v>56</v>
      </c>
      <c r="E1419" t="str">
        <f>_xlfn.XLOOKUP(tblOrders[[#This Row],[CustomerID]],tblCustomers[CustomerID],tblCustomers[Gender],"not found")</f>
        <v>Female</v>
      </c>
      <c r="F1419" t="str">
        <f>_xlfn.XLOOKUP(tblOrders[[#This Row],[CustomerID]],tblCustomers[CustomerID],tblCustomers[Region],"not found")</f>
        <v>South</v>
      </c>
      <c r="G1419">
        <v>1088</v>
      </c>
      <c r="H1419" t="str">
        <f>_xlfn.XLOOKUP(tblOrders[[#This Row],[ProductID]],tblProducts[ProductID],tblProducts[ProductName],"not found")</f>
        <v>Where</v>
      </c>
      <c r="I1419" t="str">
        <f>_xlfn.XLOOKUP(tblOrders[[#This Row],[ProductID]],tblProducts[ProductID],tblProducts[Category],"not found")</f>
        <v>Furniture</v>
      </c>
      <c r="J1419">
        <f>_xlfn.XLOOKUP(tblOrders[[#This Row],[ProductID]],tblProducts[ProductID],tblProducts[UnitPrice],"not found")</f>
        <v>388.62</v>
      </c>
      <c r="K1419" t="str">
        <f>_xlfn.XLOOKUP(tblOrders[[#This Row],[ProductID]],tblProducts[ProductID],tblProducts[Supplier],"not found")</f>
        <v>Melton, Rodriguez and Wallace</v>
      </c>
      <c r="L1419" s="1" t="s">
        <v>2035</v>
      </c>
      <c r="M14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44908</v>
      </c>
      <c r="N1419">
        <v>8</v>
      </c>
      <c r="O1419">
        <v>3108.96</v>
      </c>
      <c r="P1419">
        <f>tblOrders[[#This Row],[Quantity]]*tblOrders[[#This Row],[Unit Price]]</f>
        <v>3108.96</v>
      </c>
      <c r="Q1419">
        <f>tblOrders[[#This Row],[TotalSales]]-tblOrders[[#This Row],[Calculated Sales]]</f>
        <v>0</v>
      </c>
    </row>
    <row r="1420" spans="1:17" x14ac:dyDescent="0.25">
      <c r="A1420">
        <v>491</v>
      </c>
      <c r="B1420">
        <v>131</v>
      </c>
      <c r="C1420" t="str">
        <f>_xlfn.XLOOKUP(tblOrders[[#This Row],[CustomerID]],tblCustomers[CustomerID],tblCustomers[CustomerName],"not found")</f>
        <v>David Newton</v>
      </c>
      <c r="D1420">
        <f>_xlfn.XLOOKUP(tblOrders[[#This Row],[CustomerID]],tblCustomers[CustomerID],tblCustomers[Age],"not found")</f>
        <v>58</v>
      </c>
      <c r="E1420" t="str">
        <f>_xlfn.XLOOKUP(tblOrders[[#This Row],[CustomerID]],tblCustomers[CustomerID],tblCustomers[Gender],"not found")</f>
        <v>Female</v>
      </c>
      <c r="F1420" t="str">
        <f>_xlfn.XLOOKUP(tblOrders[[#This Row],[CustomerID]],tblCustomers[CustomerID],tblCustomers[Region],"not found")</f>
        <v>South</v>
      </c>
      <c r="G1420">
        <v>1088</v>
      </c>
      <c r="H1420" t="str">
        <f>_xlfn.XLOOKUP(tblOrders[[#This Row],[ProductID]],tblProducts[ProductID],tblProducts[ProductName],"not found")</f>
        <v>Where</v>
      </c>
      <c r="I1420" t="str">
        <f>_xlfn.XLOOKUP(tblOrders[[#This Row],[ProductID]],tblProducts[ProductID],tblProducts[Category],"not found")</f>
        <v>Furniture</v>
      </c>
      <c r="J1420">
        <f>_xlfn.XLOOKUP(tblOrders[[#This Row],[ProductID]],tblProducts[ProductID],tblProducts[UnitPrice],"not found")</f>
        <v>388.62</v>
      </c>
      <c r="K1420" t="str">
        <f>_xlfn.XLOOKUP(tblOrders[[#This Row],[ProductID]],tblProducts[ProductID],tblProducts[Supplier],"not found")</f>
        <v>Melton, Rodriguez and Wallace</v>
      </c>
      <c r="L1420" s="1">
        <v>44991</v>
      </c>
      <c r="M14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44991</v>
      </c>
      <c r="N1420">
        <v>2</v>
      </c>
      <c r="O1420">
        <v>777.24</v>
      </c>
      <c r="P1420">
        <f>tblOrders[[#This Row],[Quantity]]*tblOrders[[#This Row],[Unit Price]]</f>
        <v>777.24</v>
      </c>
      <c r="Q1420">
        <f>tblOrders[[#This Row],[TotalSales]]-tblOrders[[#This Row],[Calculated Sales]]</f>
        <v>0</v>
      </c>
    </row>
    <row r="1421" spans="1:17" x14ac:dyDescent="0.25">
      <c r="A1421">
        <v>554</v>
      </c>
      <c r="B1421">
        <v>289</v>
      </c>
      <c r="C1421" t="str">
        <f>_xlfn.XLOOKUP(tblOrders[[#This Row],[CustomerID]],tblCustomers[CustomerID],tblCustomers[CustomerName],"not found")</f>
        <v>Don Reyes</v>
      </c>
      <c r="D1421">
        <f>_xlfn.XLOOKUP(tblOrders[[#This Row],[CustomerID]],tblCustomers[CustomerID],tblCustomers[Age],"not found")</f>
        <v>31</v>
      </c>
      <c r="E1421" t="str">
        <f>_xlfn.XLOOKUP(tblOrders[[#This Row],[CustomerID]],tblCustomers[CustomerID],tblCustomers[Gender],"not found")</f>
        <v>Male</v>
      </c>
      <c r="F1421" t="str">
        <f>_xlfn.XLOOKUP(tblOrders[[#This Row],[CustomerID]],tblCustomers[CustomerID],tblCustomers[Region],"not found")</f>
        <v>East</v>
      </c>
      <c r="G1421">
        <v>1088</v>
      </c>
      <c r="H1421" t="str">
        <f>_xlfn.XLOOKUP(tblOrders[[#This Row],[ProductID]],tblProducts[ProductID],tblProducts[ProductName],"not found")</f>
        <v>Where</v>
      </c>
      <c r="I1421" t="str">
        <f>_xlfn.XLOOKUP(tblOrders[[#This Row],[ProductID]],tblProducts[ProductID],tblProducts[Category],"not found")</f>
        <v>Furniture</v>
      </c>
      <c r="J1421">
        <f>_xlfn.XLOOKUP(tblOrders[[#This Row],[ProductID]],tblProducts[ProductID],tblProducts[UnitPrice],"not found")</f>
        <v>388.62</v>
      </c>
      <c r="K1421" t="str">
        <f>_xlfn.XLOOKUP(tblOrders[[#This Row],[ProductID]],tblProducts[ProductID],tblProducts[Supplier],"not found")</f>
        <v>Melton, Rodriguez and Wallace</v>
      </c>
      <c r="L1421" s="1" t="s">
        <v>2389</v>
      </c>
      <c r="M14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45580</v>
      </c>
      <c r="N1421">
        <v>2</v>
      </c>
      <c r="O1421">
        <v>777.24</v>
      </c>
      <c r="P1421">
        <f>tblOrders[[#This Row],[Quantity]]*tblOrders[[#This Row],[Unit Price]]</f>
        <v>777.24</v>
      </c>
      <c r="Q1421">
        <f>tblOrders[[#This Row],[TotalSales]]-tblOrders[[#This Row],[Calculated Sales]]</f>
        <v>0</v>
      </c>
    </row>
    <row r="1422" spans="1:17" x14ac:dyDescent="0.25">
      <c r="A1422">
        <v>559</v>
      </c>
      <c r="B1422">
        <v>664</v>
      </c>
      <c r="C1422" t="str">
        <f>_xlfn.XLOOKUP(tblOrders[[#This Row],[CustomerID]],tblCustomers[CustomerID],tblCustomers[CustomerName],"not found")</f>
        <v>Debra Beck</v>
      </c>
      <c r="D1422">
        <f>_xlfn.XLOOKUP(tblOrders[[#This Row],[CustomerID]],tblCustomers[CustomerID],tblCustomers[Age],"not found")</f>
        <v>58</v>
      </c>
      <c r="E1422" t="str">
        <f>_xlfn.XLOOKUP(tblOrders[[#This Row],[CustomerID]],tblCustomers[CustomerID],tblCustomers[Gender],"not found")</f>
        <v>Female</v>
      </c>
      <c r="F1422" t="str">
        <f>_xlfn.XLOOKUP(tblOrders[[#This Row],[CustomerID]],tblCustomers[CustomerID],tblCustomers[Region],"not found")</f>
        <v>Central</v>
      </c>
      <c r="G1422">
        <v>1088</v>
      </c>
      <c r="H1422" t="str">
        <f>_xlfn.XLOOKUP(tblOrders[[#This Row],[ProductID]],tblProducts[ProductID],tblProducts[ProductName],"not found")</f>
        <v>Where</v>
      </c>
      <c r="I1422" t="str">
        <f>_xlfn.XLOOKUP(tblOrders[[#This Row],[ProductID]],tblProducts[ProductID],tblProducts[Category],"not found")</f>
        <v>Furniture</v>
      </c>
      <c r="J1422">
        <f>_xlfn.XLOOKUP(tblOrders[[#This Row],[ProductID]],tblProducts[ProductID],tblProducts[UnitPrice],"not found")</f>
        <v>388.62</v>
      </c>
      <c r="K1422" t="str">
        <f>_xlfn.XLOOKUP(tblOrders[[#This Row],[ProductID]],tblProducts[ProductID],tblProducts[Supplier],"not found")</f>
        <v>Melton, Rodriguez and Wallace</v>
      </c>
      <c r="L1422" s="1" t="s">
        <v>2048</v>
      </c>
      <c r="M14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44981</v>
      </c>
      <c r="N1422">
        <v>2</v>
      </c>
      <c r="O1422">
        <v>777.24</v>
      </c>
      <c r="P1422">
        <f>tblOrders[[#This Row],[Quantity]]*tblOrders[[#This Row],[Unit Price]]</f>
        <v>777.24</v>
      </c>
      <c r="Q1422">
        <f>tblOrders[[#This Row],[TotalSales]]-tblOrders[[#This Row],[Calculated Sales]]</f>
        <v>0</v>
      </c>
    </row>
    <row r="1423" spans="1:17" x14ac:dyDescent="0.25">
      <c r="A1423">
        <v>627</v>
      </c>
      <c r="B1423">
        <v>623</v>
      </c>
      <c r="C1423" t="str">
        <f>_xlfn.XLOOKUP(tblOrders[[#This Row],[CustomerID]],tblCustomers[CustomerID],tblCustomers[CustomerName],"not found")</f>
        <v>Timothy Williams</v>
      </c>
      <c r="D1423">
        <f>_xlfn.XLOOKUP(tblOrders[[#This Row],[CustomerID]],tblCustomers[CustomerID],tblCustomers[Age],"not found")</f>
        <v>44</v>
      </c>
      <c r="E1423" t="str">
        <f>_xlfn.XLOOKUP(tblOrders[[#This Row],[CustomerID]],tblCustomers[CustomerID],tblCustomers[Gender],"not found")</f>
        <v>Female</v>
      </c>
      <c r="F1423" t="str">
        <f>_xlfn.XLOOKUP(tblOrders[[#This Row],[CustomerID]],tblCustomers[CustomerID],tblCustomers[Region],"not found")</f>
        <v>North</v>
      </c>
      <c r="G1423">
        <v>1088</v>
      </c>
      <c r="H1423" t="str">
        <f>_xlfn.XLOOKUP(tblOrders[[#This Row],[ProductID]],tblProducts[ProductID],tblProducts[ProductName],"not found")</f>
        <v>Where</v>
      </c>
      <c r="I1423" t="str">
        <f>_xlfn.XLOOKUP(tblOrders[[#This Row],[ProductID]],tblProducts[ProductID],tblProducts[Category],"not found")</f>
        <v>Furniture</v>
      </c>
      <c r="J1423">
        <f>_xlfn.XLOOKUP(tblOrders[[#This Row],[ProductID]],tblProducts[ProductID],tblProducts[UnitPrice],"not found")</f>
        <v>388.62</v>
      </c>
      <c r="K1423" t="str">
        <f>_xlfn.XLOOKUP(tblOrders[[#This Row],[ProductID]],tblProducts[ProductID],tblProducts[Supplier],"not found")</f>
        <v>Melton, Rodriguez and Wallace</v>
      </c>
      <c r="L1423" s="1">
        <v>45204</v>
      </c>
      <c r="M14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45204</v>
      </c>
      <c r="N1423">
        <v>6</v>
      </c>
      <c r="O1423">
        <v>2331.7199999999998</v>
      </c>
      <c r="P1423">
        <f>tblOrders[[#This Row],[Quantity]]*tblOrders[[#This Row],[Unit Price]]</f>
        <v>2331.7200000000003</v>
      </c>
      <c r="Q1423">
        <f>tblOrders[[#This Row],[TotalSales]]-tblOrders[[#This Row],[Calculated Sales]]</f>
        <v>0</v>
      </c>
    </row>
    <row r="1424" spans="1:17" x14ac:dyDescent="0.25">
      <c r="A1424">
        <v>682</v>
      </c>
      <c r="B1424">
        <v>483</v>
      </c>
      <c r="C1424" t="str">
        <f>_xlfn.XLOOKUP(tblOrders[[#This Row],[CustomerID]],tblCustomers[CustomerID],tblCustomers[CustomerName],"not found")</f>
        <v>Amanda Phillips</v>
      </c>
      <c r="D1424">
        <f>_xlfn.XLOOKUP(tblOrders[[#This Row],[CustomerID]],tblCustomers[CustomerID],tblCustomers[Age],"not found")</f>
        <v>54</v>
      </c>
      <c r="E1424" t="str">
        <f>_xlfn.XLOOKUP(tblOrders[[#This Row],[CustomerID]],tblCustomers[CustomerID],tblCustomers[Gender],"not found")</f>
        <v>Female</v>
      </c>
      <c r="F1424" t="str">
        <f>_xlfn.XLOOKUP(tblOrders[[#This Row],[CustomerID]],tblCustomers[CustomerID],tblCustomers[Region],"not found")</f>
        <v>North</v>
      </c>
      <c r="G1424">
        <v>1088</v>
      </c>
      <c r="H1424" t="str">
        <f>_xlfn.XLOOKUP(tblOrders[[#This Row],[ProductID]],tblProducts[ProductID],tblProducts[ProductName],"not found")</f>
        <v>Where</v>
      </c>
      <c r="I1424" t="str">
        <f>_xlfn.XLOOKUP(tblOrders[[#This Row],[ProductID]],tblProducts[ProductID],tblProducts[Category],"not found")</f>
        <v>Furniture</v>
      </c>
      <c r="J1424">
        <f>_xlfn.XLOOKUP(tblOrders[[#This Row],[ProductID]],tblProducts[ProductID],tblProducts[UnitPrice],"not found")</f>
        <v>388.62</v>
      </c>
      <c r="K1424" t="str">
        <f>_xlfn.XLOOKUP(tblOrders[[#This Row],[ProductID]],tblProducts[ProductID],tblProducts[Supplier],"not found")</f>
        <v>Melton, Rodriguez and Wallace</v>
      </c>
      <c r="L1424" s="1">
        <v>45147</v>
      </c>
      <c r="M14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45147</v>
      </c>
      <c r="N1424">
        <v>7</v>
      </c>
      <c r="O1424">
        <v>2720.34</v>
      </c>
      <c r="P1424">
        <f>tblOrders[[#This Row],[Quantity]]*tblOrders[[#This Row],[Unit Price]]</f>
        <v>2720.34</v>
      </c>
      <c r="Q1424">
        <f>tblOrders[[#This Row],[TotalSales]]-tblOrders[[#This Row],[Calculated Sales]]</f>
        <v>0</v>
      </c>
    </row>
    <row r="1425" spans="1:17" x14ac:dyDescent="0.25">
      <c r="A1425">
        <v>831</v>
      </c>
      <c r="B1425">
        <v>673</v>
      </c>
      <c r="C1425" t="str">
        <f>_xlfn.XLOOKUP(tblOrders[[#This Row],[CustomerID]],tblCustomers[CustomerID],tblCustomers[CustomerName],"not found")</f>
        <v>Gregory Walters</v>
      </c>
      <c r="D1425">
        <f>_xlfn.XLOOKUP(tblOrders[[#This Row],[CustomerID]],tblCustomers[CustomerID],tblCustomers[Age],"not found")</f>
        <v>65</v>
      </c>
      <c r="E1425" t="str">
        <f>_xlfn.XLOOKUP(tblOrders[[#This Row],[CustomerID]],tblCustomers[CustomerID],tblCustomers[Gender],"not found")</f>
        <v>Female</v>
      </c>
      <c r="F1425" t="str">
        <f>_xlfn.XLOOKUP(tblOrders[[#This Row],[CustomerID]],tblCustomers[CustomerID],tblCustomers[Region],"not found")</f>
        <v>North</v>
      </c>
      <c r="G1425">
        <v>1088</v>
      </c>
      <c r="H1425" t="str">
        <f>_xlfn.XLOOKUP(tblOrders[[#This Row],[ProductID]],tblProducts[ProductID],tblProducts[ProductName],"not found")</f>
        <v>Where</v>
      </c>
      <c r="I1425" t="str">
        <f>_xlfn.XLOOKUP(tblOrders[[#This Row],[ProductID]],tblProducts[ProductID],tblProducts[Category],"not found")</f>
        <v>Furniture</v>
      </c>
      <c r="J1425">
        <f>_xlfn.XLOOKUP(tblOrders[[#This Row],[ProductID]],tblProducts[ProductID],tblProducts[UnitPrice],"not found")</f>
        <v>388.62</v>
      </c>
      <c r="K1425" t="str">
        <f>_xlfn.XLOOKUP(tblOrders[[#This Row],[ProductID]],tblProducts[ProductID],tblProducts[Supplier],"not found")</f>
        <v>Melton, Rodriguez and Wallace</v>
      </c>
      <c r="L1425" s="1" t="s">
        <v>2028</v>
      </c>
      <c r="M14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45596</v>
      </c>
      <c r="N1425">
        <v>8</v>
      </c>
      <c r="O1425">
        <v>3108.96</v>
      </c>
      <c r="P1425">
        <f>tblOrders[[#This Row],[Quantity]]*tblOrders[[#This Row],[Unit Price]]</f>
        <v>3108.96</v>
      </c>
      <c r="Q1425">
        <f>tblOrders[[#This Row],[TotalSales]]-tblOrders[[#This Row],[Calculated Sales]]</f>
        <v>0</v>
      </c>
    </row>
    <row r="1426" spans="1:17" x14ac:dyDescent="0.25">
      <c r="A1426">
        <v>886</v>
      </c>
      <c r="B1426">
        <v>964</v>
      </c>
      <c r="C1426" t="str">
        <f>_xlfn.XLOOKUP(tblOrders[[#This Row],[CustomerID]],tblCustomers[CustomerID],tblCustomers[CustomerName],"not found")</f>
        <v>Jorge Bowman</v>
      </c>
      <c r="D1426">
        <f>_xlfn.XLOOKUP(tblOrders[[#This Row],[CustomerID]],tblCustomers[CustomerID],tblCustomers[Age],"not found")</f>
        <v>62</v>
      </c>
      <c r="E1426" t="str">
        <f>_xlfn.XLOOKUP(tblOrders[[#This Row],[CustomerID]],tblCustomers[CustomerID],tblCustomers[Gender],"not found")</f>
        <v>Male</v>
      </c>
      <c r="F1426" t="str">
        <f>_xlfn.XLOOKUP(tblOrders[[#This Row],[CustomerID]],tblCustomers[CustomerID],tblCustomers[Region],"not found")</f>
        <v>East</v>
      </c>
      <c r="G1426">
        <v>1088</v>
      </c>
      <c r="H1426" t="str">
        <f>_xlfn.XLOOKUP(tblOrders[[#This Row],[ProductID]],tblProducts[ProductID],tblProducts[ProductName],"not found")</f>
        <v>Where</v>
      </c>
      <c r="I1426" t="str">
        <f>_xlfn.XLOOKUP(tblOrders[[#This Row],[ProductID]],tblProducts[ProductID],tblProducts[Category],"not found")</f>
        <v>Furniture</v>
      </c>
      <c r="J1426">
        <f>_xlfn.XLOOKUP(tblOrders[[#This Row],[ProductID]],tblProducts[ProductID],tblProducts[UnitPrice],"not found")</f>
        <v>388.62</v>
      </c>
      <c r="K1426" t="str">
        <f>_xlfn.XLOOKUP(tblOrders[[#This Row],[ProductID]],tblProducts[ProductID],tblProducts[Supplier],"not found")</f>
        <v>Melton, Rodriguez and Wallace</v>
      </c>
      <c r="L1426" s="1" t="s">
        <v>2158</v>
      </c>
      <c r="M14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45462</v>
      </c>
      <c r="N1426">
        <v>6</v>
      </c>
      <c r="O1426">
        <v>2331.7199999999998</v>
      </c>
      <c r="P1426">
        <f>tblOrders[[#This Row],[Quantity]]*tblOrders[[#This Row],[Unit Price]]</f>
        <v>2331.7200000000003</v>
      </c>
      <c r="Q1426">
        <f>tblOrders[[#This Row],[TotalSales]]-tblOrders[[#This Row],[Calculated Sales]]</f>
        <v>0</v>
      </c>
    </row>
    <row r="1427" spans="1:17" x14ac:dyDescent="0.25">
      <c r="A1427">
        <v>902</v>
      </c>
      <c r="B1427">
        <v>450</v>
      </c>
      <c r="C1427" t="str">
        <f>_xlfn.XLOOKUP(tblOrders[[#This Row],[CustomerID]],tblCustomers[CustomerID],tblCustomers[CustomerName],"not found")</f>
        <v>Megan Trevino</v>
      </c>
      <c r="D1427">
        <f>_xlfn.XLOOKUP(tblOrders[[#This Row],[CustomerID]],tblCustomers[CustomerID],tblCustomers[Age],"not found")</f>
        <v>19</v>
      </c>
      <c r="E1427" t="str">
        <f>_xlfn.XLOOKUP(tblOrders[[#This Row],[CustomerID]],tblCustomers[CustomerID],tblCustomers[Gender],"not found")</f>
        <v>Female</v>
      </c>
      <c r="F1427" t="str">
        <f>_xlfn.XLOOKUP(tblOrders[[#This Row],[CustomerID]],tblCustomers[CustomerID],tblCustomers[Region],"not found")</f>
        <v>West</v>
      </c>
      <c r="G1427">
        <v>1088</v>
      </c>
      <c r="H1427" t="str">
        <f>_xlfn.XLOOKUP(tblOrders[[#This Row],[ProductID]],tblProducts[ProductID],tblProducts[ProductName],"not found")</f>
        <v>Where</v>
      </c>
      <c r="I1427" t="str">
        <f>_xlfn.XLOOKUP(tblOrders[[#This Row],[ProductID]],tblProducts[ProductID],tblProducts[Category],"not found")</f>
        <v>Furniture</v>
      </c>
      <c r="J1427">
        <f>_xlfn.XLOOKUP(tblOrders[[#This Row],[ProductID]],tblProducts[ProductID],tblProducts[UnitPrice],"not found")</f>
        <v>388.62</v>
      </c>
      <c r="K1427" t="str">
        <f>_xlfn.XLOOKUP(tblOrders[[#This Row],[ProductID]],tblProducts[ProductID],tblProducts[Supplier],"not found")</f>
        <v>Melton, Rodriguez and Wallace</v>
      </c>
      <c r="L1427" s="1" t="s">
        <v>2276</v>
      </c>
      <c r="M14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45125</v>
      </c>
      <c r="N1427">
        <v>6</v>
      </c>
      <c r="O1427">
        <v>2331.7199999999998</v>
      </c>
      <c r="P1427">
        <f>tblOrders[[#This Row],[Quantity]]*tblOrders[[#This Row],[Unit Price]]</f>
        <v>2331.7200000000003</v>
      </c>
      <c r="Q1427">
        <f>tblOrders[[#This Row],[TotalSales]]-tblOrders[[#This Row],[Calculated Sales]]</f>
        <v>0</v>
      </c>
    </row>
    <row r="1428" spans="1:17" x14ac:dyDescent="0.25">
      <c r="A1428">
        <v>913</v>
      </c>
      <c r="B1428">
        <v>29</v>
      </c>
      <c r="C1428" t="str">
        <f>_xlfn.XLOOKUP(tblOrders[[#This Row],[CustomerID]],tblCustomers[CustomerID],tblCustomers[CustomerName],"not found")</f>
        <v>Dylan Campbell</v>
      </c>
      <c r="D1428">
        <f>_xlfn.XLOOKUP(tblOrders[[#This Row],[CustomerID]],tblCustomers[CustomerID],tblCustomers[Age],"not found")</f>
        <v>67</v>
      </c>
      <c r="E1428" t="str">
        <f>_xlfn.XLOOKUP(tblOrders[[#This Row],[CustomerID]],tblCustomers[CustomerID],tblCustomers[Gender],"not found")</f>
        <v>Female</v>
      </c>
      <c r="F1428" t="str">
        <f>_xlfn.XLOOKUP(tblOrders[[#This Row],[CustomerID]],tblCustomers[CustomerID],tblCustomers[Region],"not found")</f>
        <v>North</v>
      </c>
      <c r="G1428">
        <v>1088</v>
      </c>
      <c r="H1428" t="str">
        <f>_xlfn.XLOOKUP(tblOrders[[#This Row],[ProductID]],tblProducts[ProductID],tblProducts[ProductName],"not found")</f>
        <v>Where</v>
      </c>
      <c r="I1428" t="str">
        <f>_xlfn.XLOOKUP(tblOrders[[#This Row],[ProductID]],tblProducts[ProductID],tblProducts[Category],"not found")</f>
        <v>Furniture</v>
      </c>
      <c r="J1428">
        <f>_xlfn.XLOOKUP(tblOrders[[#This Row],[ProductID]],tblProducts[ProductID],tblProducts[UnitPrice],"not found")</f>
        <v>388.62</v>
      </c>
      <c r="K1428" t="str">
        <f>_xlfn.XLOOKUP(tblOrders[[#This Row],[ProductID]],tblProducts[ProductID],tblProducts[Supplier],"not found")</f>
        <v>Melton, Rodriguez and Wallace</v>
      </c>
      <c r="L1428" s="1" t="s">
        <v>2325</v>
      </c>
      <c r="M14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45529</v>
      </c>
      <c r="N1428">
        <v>4</v>
      </c>
      <c r="O1428">
        <v>1554.48</v>
      </c>
      <c r="P1428">
        <f>tblOrders[[#This Row],[Quantity]]*tblOrders[[#This Row],[Unit Price]]</f>
        <v>1554.48</v>
      </c>
      <c r="Q1428">
        <f>tblOrders[[#This Row],[TotalSales]]-tblOrders[[#This Row],[Calculated Sales]]</f>
        <v>0</v>
      </c>
    </row>
    <row r="1429" spans="1:17" x14ac:dyDescent="0.25">
      <c r="A1429">
        <v>1003</v>
      </c>
      <c r="B1429">
        <v>103</v>
      </c>
      <c r="C1429" t="str">
        <f>_xlfn.XLOOKUP(tblOrders[[#This Row],[CustomerID]],tblCustomers[CustomerID],tblCustomers[CustomerName],"not found")</f>
        <v>Christopher Simon</v>
      </c>
      <c r="D1429">
        <f>_xlfn.XLOOKUP(tblOrders[[#This Row],[CustomerID]],tblCustomers[CustomerID],tblCustomers[Age],"not found")</f>
        <v>59</v>
      </c>
      <c r="E1429" t="str">
        <f>_xlfn.XLOOKUP(tblOrders[[#This Row],[CustomerID]],tblCustomers[CustomerID],tblCustomers[Gender],"not found")</f>
        <v>Male</v>
      </c>
      <c r="F1429" t="str">
        <f>_xlfn.XLOOKUP(tblOrders[[#This Row],[CustomerID]],tblCustomers[CustomerID],tblCustomers[Region],"not found")</f>
        <v>South</v>
      </c>
      <c r="G1429">
        <v>1088</v>
      </c>
      <c r="H1429" t="str">
        <f>_xlfn.XLOOKUP(tblOrders[[#This Row],[ProductID]],tblProducts[ProductID],tblProducts[ProductName],"not found")</f>
        <v>Where</v>
      </c>
      <c r="I1429" t="str">
        <f>_xlfn.XLOOKUP(tblOrders[[#This Row],[ProductID]],tblProducts[ProductID],tblProducts[Category],"not found")</f>
        <v>Furniture</v>
      </c>
      <c r="J1429">
        <f>_xlfn.XLOOKUP(tblOrders[[#This Row],[ProductID]],tblProducts[ProductID],tblProducts[UnitPrice],"not found")</f>
        <v>388.62</v>
      </c>
      <c r="K1429" t="str">
        <f>_xlfn.XLOOKUP(tblOrders[[#This Row],[ProductID]],tblProducts[ProductID],tblProducts[Supplier],"not found")</f>
        <v>Melton, Rodriguez and Wallace</v>
      </c>
      <c r="L1429" s="1" t="s">
        <v>2111</v>
      </c>
      <c r="M14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45343</v>
      </c>
      <c r="N1429">
        <v>5</v>
      </c>
      <c r="O1429">
        <v>1943.1</v>
      </c>
      <c r="P1429">
        <f>tblOrders[[#This Row],[Quantity]]*tblOrders[[#This Row],[Unit Price]]</f>
        <v>1943.1</v>
      </c>
      <c r="Q1429">
        <f>tblOrders[[#This Row],[TotalSales]]-tblOrders[[#This Row],[Calculated Sales]]</f>
        <v>0</v>
      </c>
    </row>
    <row r="1430" spans="1:17" x14ac:dyDescent="0.25">
      <c r="A1430">
        <v>1153</v>
      </c>
      <c r="B1430">
        <v>995</v>
      </c>
      <c r="C1430" t="str">
        <f>_xlfn.XLOOKUP(tblOrders[[#This Row],[CustomerID]],tblCustomers[CustomerID],tblCustomers[CustomerName],"not found")</f>
        <v>Angela Wood</v>
      </c>
      <c r="D1430">
        <f>_xlfn.XLOOKUP(tblOrders[[#This Row],[CustomerID]],tblCustomers[CustomerID],tblCustomers[Age],"not found")</f>
        <v>64</v>
      </c>
      <c r="E1430" t="str">
        <f>_xlfn.XLOOKUP(tblOrders[[#This Row],[CustomerID]],tblCustomers[CustomerID],tblCustomers[Gender],"not found")</f>
        <v>Female</v>
      </c>
      <c r="F1430" t="str">
        <f>_xlfn.XLOOKUP(tblOrders[[#This Row],[CustomerID]],tblCustomers[CustomerID],tblCustomers[Region],"not found")</f>
        <v>East</v>
      </c>
      <c r="G1430">
        <v>1088</v>
      </c>
      <c r="H1430" t="str">
        <f>_xlfn.XLOOKUP(tblOrders[[#This Row],[ProductID]],tblProducts[ProductID],tblProducts[ProductName],"not found")</f>
        <v>Where</v>
      </c>
      <c r="I1430" t="str">
        <f>_xlfn.XLOOKUP(tblOrders[[#This Row],[ProductID]],tblProducts[ProductID],tblProducts[Category],"not found")</f>
        <v>Furniture</v>
      </c>
      <c r="J1430">
        <f>_xlfn.XLOOKUP(tblOrders[[#This Row],[ProductID]],tblProducts[ProductID],tblProducts[UnitPrice],"not found")</f>
        <v>388.62</v>
      </c>
      <c r="K1430" t="str">
        <f>_xlfn.XLOOKUP(tblOrders[[#This Row],[ProductID]],tblProducts[ProductID],tblProducts[Supplier],"not found")</f>
        <v>Melton, Rodriguez and Wallace</v>
      </c>
      <c r="L1430" s="1" t="s">
        <v>2029</v>
      </c>
      <c r="M14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45348</v>
      </c>
      <c r="N1430">
        <v>6</v>
      </c>
      <c r="O1430">
        <v>2331.7199999999998</v>
      </c>
      <c r="P1430">
        <f>tblOrders[[#This Row],[Quantity]]*tblOrders[[#This Row],[Unit Price]]</f>
        <v>2331.7200000000003</v>
      </c>
      <c r="Q1430">
        <f>tblOrders[[#This Row],[TotalSales]]-tblOrders[[#This Row],[Calculated Sales]]</f>
        <v>0</v>
      </c>
    </row>
    <row r="1431" spans="1:17" x14ac:dyDescent="0.25">
      <c r="A1431">
        <v>1254</v>
      </c>
      <c r="B1431">
        <v>660</v>
      </c>
      <c r="C1431" t="str">
        <f>_xlfn.XLOOKUP(tblOrders[[#This Row],[CustomerID]],tblCustomers[CustomerID],tblCustomers[CustomerName],"not found")</f>
        <v>David Salinas</v>
      </c>
      <c r="D1431">
        <f>_xlfn.XLOOKUP(tblOrders[[#This Row],[CustomerID]],tblCustomers[CustomerID],tblCustomers[Age],"not found")</f>
        <v>68</v>
      </c>
      <c r="E1431" t="str">
        <f>_xlfn.XLOOKUP(tblOrders[[#This Row],[CustomerID]],tblCustomers[CustomerID],tblCustomers[Gender],"not found")</f>
        <v>Female</v>
      </c>
      <c r="F1431" t="str">
        <f>_xlfn.XLOOKUP(tblOrders[[#This Row],[CustomerID]],tblCustomers[CustomerID],tblCustomers[Region],"not found")</f>
        <v>North</v>
      </c>
      <c r="G1431">
        <v>1088</v>
      </c>
      <c r="H1431" t="str">
        <f>_xlfn.XLOOKUP(tblOrders[[#This Row],[ProductID]],tblProducts[ProductID],tblProducts[ProductName],"not found")</f>
        <v>Where</v>
      </c>
      <c r="I1431" t="str">
        <f>_xlfn.XLOOKUP(tblOrders[[#This Row],[ProductID]],tblProducts[ProductID],tblProducts[Category],"not found")</f>
        <v>Furniture</v>
      </c>
      <c r="J1431">
        <f>_xlfn.XLOOKUP(tblOrders[[#This Row],[ProductID]],tblProducts[ProductID],tblProducts[UnitPrice],"not found")</f>
        <v>388.62</v>
      </c>
      <c r="K1431" t="str">
        <f>_xlfn.XLOOKUP(tblOrders[[#This Row],[ProductID]],tblProducts[ProductID],tblProducts[Supplier],"not found")</f>
        <v>Melton, Rodriguez and Wallace</v>
      </c>
      <c r="L1431" s="1" t="s">
        <v>2247</v>
      </c>
      <c r="M14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45306</v>
      </c>
      <c r="N1431">
        <v>9</v>
      </c>
      <c r="O1431">
        <v>3497.58</v>
      </c>
      <c r="P1431">
        <f>tblOrders[[#This Row],[Quantity]]*tblOrders[[#This Row],[Unit Price]]</f>
        <v>3497.58</v>
      </c>
      <c r="Q1431">
        <f>tblOrders[[#This Row],[TotalSales]]-tblOrders[[#This Row],[Calculated Sales]]</f>
        <v>0</v>
      </c>
    </row>
    <row r="1432" spans="1:17" x14ac:dyDescent="0.25">
      <c r="A1432">
        <v>1346</v>
      </c>
      <c r="B1432">
        <v>758</v>
      </c>
      <c r="C1432" t="str">
        <f>_xlfn.XLOOKUP(tblOrders[[#This Row],[CustomerID]],tblCustomers[CustomerID],tblCustomers[CustomerName],"not found")</f>
        <v>Daniel Long</v>
      </c>
      <c r="D1432">
        <f>_xlfn.XLOOKUP(tblOrders[[#This Row],[CustomerID]],tblCustomers[CustomerID],tblCustomers[Age],"not found")</f>
        <v>25</v>
      </c>
      <c r="E1432" t="str">
        <f>_xlfn.XLOOKUP(tblOrders[[#This Row],[CustomerID]],tblCustomers[CustomerID],tblCustomers[Gender],"not found")</f>
        <v>Male</v>
      </c>
      <c r="F1432" t="str">
        <f>_xlfn.XLOOKUP(tblOrders[[#This Row],[CustomerID]],tblCustomers[CustomerID],tblCustomers[Region],"not found")</f>
        <v>Central</v>
      </c>
      <c r="G1432">
        <v>1088</v>
      </c>
      <c r="H1432" t="str">
        <f>_xlfn.XLOOKUP(tblOrders[[#This Row],[ProductID]],tblProducts[ProductID],tblProducts[ProductName],"not found")</f>
        <v>Where</v>
      </c>
      <c r="I1432" t="str">
        <f>_xlfn.XLOOKUP(tblOrders[[#This Row],[ProductID]],tblProducts[ProductID],tblProducts[Category],"not found")</f>
        <v>Furniture</v>
      </c>
      <c r="J1432">
        <f>_xlfn.XLOOKUP(tblOrders[[#This Row],[ProductID]],tblProducts[ProductID],tblProducts[UnitPrice],"not found")</f>
        <v>388.62</v>
      </c>
      <c r="K1432" t="str">
        <f>_xlfn.XLOOKUP(tblOrders[[#This Row],[ProductID]],tblProducts[ProductID],tblProducts[Supplier],"not found")</f>
        <v>Melton, Rodriguez and Wallace</v>
      </c>
      <c r="L1432" s="1">
        <v>45210</v>
      </c>
      <c r="M14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45210</v>
      </c>
      <c r="N1432">
        <v>5</v>
      </c>
      <c r="O1432">
        <v>1943.1</v>
      </c>
      <c r="P1432">
        <f>tblOrders[[#This Row],[Quantity]]*tblOrders[[#This Row],[Unit Price]]</f>
        <v>1943.1</v>
      </c>
      <c r="Q1432">
        <f>tblOrders[[#This Row],[TotalSales]]-tblOrders[[#This Row],[Calculated Sales]]</f>
        <v>0</v>
      </c>
    </row>
    <row r="1433" spans="1:17" x14ac:dyDescent="0.25">
      <c r="A1433">
        <v>1366</v>
      </c>
      <c r="B1433">
        <v>692</v>
      </c>
      <c r="C1433" t="str">
        <f>_xlfn.XLOOKUP(tblOrders[[#This Row],[CustomerID]],tblCustomers[CustomerID],tblCustomers[CustomerName],"not found")</f>
        <v>Dana Romero</v>
      </c>
      <c r="D1433">
        <f>_xlfn.XLOOKUP(tblOrders[[#This Row],[CustomerID]],tblCustomers[CustomerID],tblCustomers[Age],"not found")</f>
        <v>62</v>
      </c>
      <c r="E1433" t="str">
        <f>_xlfn.XLOOKUP(tblOrders[[#This Row],[CustomerID]],tblCustomers[CustomerID],tblCustomers[Gender],"not found")</f>
        <v>Male</v>
      </c>
      <c r="F1433" t="str">
        <f>_xlfn.XLOOKUP(tblOrders[[#This Row],[CustomerID]],tblCustomers[CustomerID],tblCustomers[Region],"not found")</f>
        <v>East</v>
      </c>
      <c r="G1433">
        <v>1088</v>
      </c>
      <c r="H1433" t="str">
        <f>_xlfn.XLOOKUP(tblOrders[[#This Row],[ProductID]],tblProducts[ProductID],tblProducts[ProductName],"not found")</f>
        <v>Where</v>
      </c>
      <c r="I1433" t="str">
        <f>_xlfn.XLOOKUP(tblOrders[[#This Row],[ProductID]],tblProducts[ProductID],tblProducts[Category],"not found")</f>
        <v>Furniture</v>
      </c>
      <c r="J1433">
        <f>_xlfn.XLOOKUP(tblOrders[[#This Row],[ProductID]],tblProducts[ProductID],tblProducts[UnitPrice],"not found")</f>
        <v>388.62</v>
      </c>
      <c r="K1433" t="str">
        <f>_xlfn.XLOOKUP(tblOrders[[#This Row],[ProductID]],tblProducts[ProductID],tblProducts[Supplier],"not found")</f>
        <v>Melton, Rodriguez and Wallace</v>
      </c>
      <c r="L1433" s="1" t="s">
        <v>2378</v>
      </c>
      <c r="M14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45246</v>
      </c>
      <c r="N1433">
        <v>4</v>
      </c>
      <c r="O1433">
        <v>1554.48</v>
      </c>
      <c r="P1433">
        <f>tblOrders[[#This Row],[Quantity]]*tblOrders[[#This Row],[Unit Price]]</f>
        <v>1554.48</v>
      </c>
      <c r="Q1433">
        <f>tblOrders[[#This Row],[TotalSales]]-tblOrders[[#This Row],[Calculated Sales]]</f>
        <v>0</v>
      </c>
    </row>
    <row r="1434" spans="1:17" x14ac:dyDescent="0.25">
      <c r="A1434">
        <v>1436</v>
      </c>
      <c r="B1434">
        <v>217</v>
      </c>
      <c r="C1434" t="str">
        <f>_xlfn.XLOOKUP(tblOrders[[#This Row],[CustomerID]],tblCustomers[CustomerID],tblCustomers[CustomerName],"not found")</f>
        <v>Sarah Erickson</v>
      </c>
      <c r="D1434">
        <f>_xlfn.XLOOKUP(tblOrders[[#This Row],[CustomerID]],tblCustomers[CustomerID],tblCustomers[Age],"not found")</f>
        <v>39</v>
      </c>
      <c r="E1434" t="str">
        <f>_xlfn.XLOOKUP(tblOrders[[#This Row],[CustomerID]],tblCustomers[CustomerID],tblCustomers[Gender],"not found")</f>
        <v>Female</v>
      </c>
      <c r="F1434" t="str">
        <f>_xlfn.XLOOKUP(tblOrders[[#This Row],[CustomerID]],tblCustomers[CustomerID],tblCustomers[Region],"not found")</f>
        <v>West</v>
      </c>
      <c r="G1434">
        <v>1088</v>
      </c>
      <c r="H1434" t="str">
        <f>_xlfn.XLOOKUP(tblOrders[[#This Row],[ProductID]],tblProducts[ProductID],tblProducts[ProductName],"not found")</f>
        <v>Where</v>
      </c>
      <c r="I1434" t="str">
        <f>_xlfn.XLOOKUP(tblOrders[[#This Row],[ProductID]],tblProducts[ProductID],tblProducts[Category],"not found")</f>
        <v>Furniture</v>
      </c>
      <c r="J1434">
        <f>_xlfn.XLOOKUP(tblOrders[[#This Row],[ProductID]],tblProducts[ProductID],tblProducts[UnitPrice],"not found")</f>
        <v>388.62</v>
      </c>
      <c r="K1434" t="str">
        <f>_xlfn.XLOOKUP(tblOrders[[#This Row],[ProductID]],tblProducts[ProductID],tblProducts[Supplier],"not found")</f>
        <v>Melton, Rodriguez and Wallace</v>
      </c>
      <c r="L1434" s="1">
        <v>45053</v>
      </c>
      <c r="M14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45053</v>
      </c>
      <c r="N1434">
        <v>9</v>
      </c>
      <c r="O1434">
        <v>3497.58</v>
      </c>
      <c r="P1434">
        <f>tblOrders[[#This Row],[Quantity]]*tblOrders[[#This Row],[Unit Price]]</f>
        <v>3497.58</v>
      </c>
      <c r="Q1434">
        <f>tblOrders[[#This Row],[TotalSales]]-tblOrders[[#This Row],[Calculated Sales]]</f>
        <v>0</v>
      </c>
    </row>
    <row r="1435" spans="1:17" x14ac:dyDescent="0.25">
      <c r="A1435">
        <v>1440</v>
      </c>
      <c r="B1435">
        <v>212</v>
      </c>
      <c r="C1435" t="str">
        <f>_xlfn.XLOOKUP(tblOrders[[#This Row],[CustomerID]],tblCustomers[CustomerID],tblCustomers[CustomerName],"not found")</f>
        <v>Lori Herman</v>
      </c>
      <c r="D1435">
        <f>_xlfn.XLOOKUP(tblOrders[[#This Row],[CustomerID]],tblCustomers[CustomerID],tblCustomers[Age],"not found")</f>
        <v>65</v>
      </c>
      <c r="E1435" t="str">
        <f>_xlfn.XLOOKUP(tblOrders[[#This Row],[CustomerID]],tblCustomers[CustomerID],tblCustomers[Gender],"not found")</f>
        <v>Female</v>
      </c>
      <c r="F1435" t="str">
        <f>_xlfn.XLOOKUP(tblOrders[[#This Row],[CustomerID]],tblCustomers[CustomerID],tblCustomers[Region],"not found")</f>
        <v>East</v>
      </c>
      <c r="G1435">
        <v>1088</v>
      </c>
      <c r="H1435" t="str">
        <f>_xlfn.XLOOKUP(tblOrders[[#This Row],[ProductID]],tblProducts[ProductID],tblProducts[ProductName],"not found")</f>
        <v>Where</v>
      </c>
      <c r="I1435" t="str">
        <f>_xlfn.XLOOKUP(tblOrders[[#This Row],[ProductID]],tblProducts[ProductID],tblProducts[Category],"not found")</f>
        <v>Furniture</v>
      </c>
      <c r="J1435">
        <f>_xlfn.XLOOKUP(tblOrders[[#This Row],[ProductID]],tblProducts[ProductID],tblProducts[UnitPrice],"not found")</f>
        <v>388.62</v>
      </c>
      <c r="K1435" t="str">
        <f>_xlfn.XLOOKUP(tblOrders[[#This Row],[ProductID]],tblProducts[ProductID],tblProducts[Supplier],"not found")</f>
        <v>Melton, Rodriguez and Wallace</v>
      </c>
      <c r="L1435" s="1" t="s">
        <v>2390</v>
      </c>
      <c r="M14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44975</v>
      </c>
      <c r="N1435">
        <v>5</v>
      </c>
      <c r="O1435">
        <v>1943.1</v>
      </c>
      <c r="P1435">
        <f>tblOrders[[#This Row],[Quantity]]*tblOrders[[#This Row],[Unit Price]]</f>
        <v>1943.1</v>
      </c>
      <c r="Q1435">
        <f>tblOrders[[#This Row],[TotalSales]]-tblOrders[[#This Row],[Calculated Sales]]</f>
        <v>0</v>
      </c>
    </row>
    <row r="1436" spans="1:17" x14ac:dyDescent="0.25">
      <c r="A1436">
        <v>1505</v>
      </c>
      <c r="B1436">
        <v>526</v>
      </c>
      <c r="C1436" t="str">
        <f>_xlfn.XLOOKUP(tblOrders[[#This Row],[CustomerID]],tblCustomers[CustomerID],tblCustomers[CustomerName],"not found")</f>
        <v>Carl Williams</v>
      </c>
      <c r="D1436">
        <f>_xlfn.XLOOKUP(tblOrders[[#This Row],[CustomerID]],tblCustomers[CustomerID],tblCustomers[Age],"not found")</f>
        <v>38</v>
      </c>
      <c r="E1436" t="str">
        <f>_xlfn.XLOOKUP(tblOrders[[#This Row],[CustomerID]],tblCustomers[CustomerID],tblCustomers[Gender],"not found")</f>
        <v>Female</v>
      </c>
      <c r="F1436" t="str">
        <f>_xlfn.XLOOKUP(tblOrders[[#This Row],[CustomerID]],tblCustomers[CustomerID],tblCustomers[Region],"not found")</f>
        <v>North</v>
      </c>
      <c r="G1436">
        <v>1088</v>
      </c>
      <c r="H1436" t="str">
        <f>_xlfn.XLOOKUP(tblOrders[[#This Row],[ProductID]],tblProducts[ProductID],tblProducts[ProductName],"not found")</f>
        <v>Where</v>
      </c>
      <c r="I1436" t="str">
        <f>_xlfn.XLOOKUP(tblOrders[[#This Row],[ProductID]],tblProducts[ProductID],tblProducts[Category],"not found")</f>
        <v>Furniture</v>
      </c>
      <c r="J1436">
        <f>_xlfn.XLOOKUP(tblOrders[[#This Row],[ProductID]],tblProducts[ProductID],tblProducts[UnitPrice],"not found")</f>
        <v>388.62</v>
      </c>
      <c r="K1436" t="str">
        <f>_xlfn.XLOOKUP(tblOrders[[#This Row],[ProductID]],tblProducts[ProductID],tblProducts[Supplier],"not found")</f>
        <v>Melton, Rodriguez and Wallace</v>
      </c>
      <c r="L1436" s="1">
        <v>45176</v>
      </c>
      <c r="M14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45176</v>
      </c>
      <c r="N1436">
        <v>4</v>
      </c>
      <c r="O1436">
        <v>1554.48</v>
      </c>
      <c r="P1436">
        <f>tblOrders[[#This Row],[Quantity]]*tblOrders[[#This Row],[Unit Price]]</f>
        <v>1554.48</v>
      </c>
      <c r="Q1436">
        <f>tblOrders[[#This Row],[TotalSales]]-tblOrders[[#This Row],[Calculated Sales]]</f>
        <v>0</v>
      </c>
    </row>
    <row r="1437" spans="1:17" x14ac:dyDescent="0.25">
      <c r="A1437">
        <v>1513</v>
      </c>
      <c r="B1437">
        <v>417</v>
      </c>
      <c r="C1437" t="str">
        <f>_xlfn.XLOOKUP(tblOrders[[#This Row],[CustomerID]],tblCustomers[CustomerID],tblCustomers[CustomerName],"not found")</f>
        <v>Jeremy Spencer</v>
      </c>
      <c r="D1437">
        <f>_xlfn.XLOOKUP(tblOrders[[#This Row],[CustomerID]],tblCustomers[CustomerID],tblCustomers[Age],"not found")</f>
        <v>26</v>
      </c>
      <c r="E1437" t="str">
        <f>_xlfn.XLOOKUP(tblOrders[[#This Row],[CustomerID]],tblCustomers[CustomerID],tblCustomers[Gender],"not found")</f>
        <v>Male</v>
      </c>
      <c r="F1437" t="str">
        <f>_xlfn.XLOOKUP(tblOrders[[#This Row],[CustomerID]],tblCustomers[CustomerID],tblCustomers[Region],"not found")</f>
        <v>West</v>
      </c>
      <c r="G1437">
        <v>1088</v>
      </c>
      <c r="H1437" t="str">
        <f>_xlfn.XLOOKUP(tblOrders[[#This Row],[ProductID]],tblProducts[ProductID],tblProducts[ProductName],"not found")</f>
        <v>Where</v>
      </c>
      <c r="I1437" t="str">
        <f>_xlfn.XLOOKUP(tblOrders[[#This Row],[ProductID]],tblProducts[ProductID],tblProducts[Category],"not found")</f>
        <v>Furniture</v>
      </c>
      <c r="J1437">
        <f>_xlfn.XLOOKUP(tblOrders[[#This Row],[ProductID]],tblProducts[ProductID],tblProducts[UnitPrice],"not found")</f>
        <v>388.62</v>
      </c>
      <c r="K1437" t="str">
        <f>_xlfn.XLOOKUP(tblOrders[[#This Row],[ProductID]],tblProducts[ProductID],tblProducts[Supplier],"not found")</f>
        <v>Melton, Rodriguez and Wallace</v>
      </c>
      <c r="L1437" s="1">
        <v>45056</v>
      </c>
      <c r="M14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45056</v>
      </c>
      <c r="N1437">
        <v>4</v>
      </c>
      <c r="O1437">
        <v>1554.48</v>
      </c>
      <c r="P1437">
        <f>tblOrders[[#This Row],[Quantity]]*tblOrders[[#This Row],[Unit Price]]</f>
        <v>1554.48</v>
      </c>
      <c r="Q1437">
        <f>tblOrders[[#This Row],[TotalSales]]-tblOrders[[#This Row],[Calculated Sales]]</f>
        <v>0</v>
      </c>
    </row>
    <row r="1438" spans="1:17" x14ac:dyDescent="0.25">
      <c r="A1438">
        <v>1609</v>
      </c>
      <c r="B1438">
        <v>192</v>
      </c>
      <c r="C1438" t="str">
        <f>_xlfn.XLOOKUP(tblOrders[[#This Row],[CustomerID]],tblCustomers[CustomerID],tblCustomers[CustomerName],"not found")</f>
        <v>Aaron Wright</v>
      </c>
      <c r="D1438">
        <f>_xlfn.XLOOKUP(tblOrders[[#This Row],[CustomerID]],tblCustomers[CustomerID],tblCustomers[Age],"not found")</f>
        <v>21</v>
      </c>
      <c r="E1438" t="str">
        <f>_xlfn.XLOOKUP(tblOrders[[#This Row],[CustomerID]],tblCustomers[CustomerID],tblCustomers[Gender],"not found")</f>
        <v>Male</v>
      </c>
      <c r="F1438" t="str">
        <f>_xlfn.XLOOKUP(tblOrders[[#This Row],[CustomerID]],tblCustomers[CustomerID],tblCustomers[Region],"not found")</f>
        <v>South</v>
      </c>
      <c r="G1438">
        <v>1088</v>
      </c>
      <c r="H1438" t="str">
        <f>_xlfn.XLOOKUP(tblOrders[[#This Row],[ProductID]],tblProducts[ProductID],tblProducts[ProductName],"not found")</f>
        <v>Where</v>
      </c>
      <c r="I1438" t="str">
        <f>_xlfn.XLOOKUP(tblOrders[[#This Row],[ProductID]],tblProducts[ProductID],tblProducts[Category],"not found")</f>
        <v>Furniture</v>
      </c>
      <c r="J1438">
        <f>_xlfn.XLOOKUP(tblOrders[[#This Row],[ProductID]],tblProducts[ProductID],tblProducts[UnitPrice],"not found")</f>
        <v>388.62</v>
      </c>
      <c r="K1438" t="str">
        <f>_xlfn.XLOOKUP(tblOrders[[#This Row],[ProductID]],tblProducts[ProductID],tblProducts[Supplier],"not found")</f>
        <v>Melton, Rodriguez and Wallace</v>
      </c>
      <c r="L1438" s="1" t="s">
        <v>2202</v>
      </c>
      <c r="M14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45157</v>
      </c>
      <c r="N1438">
        <v>9</v>
      </c>
      <c r="O1438">
        <v>3497.58</v>
      </c>
      <c r="P1438">
        <f>tblOrders[[#This Row],[Quantity]]*tblOrders[[#This Row],[Unit Price]]</f>
        <v>3497.58</v>
      </c>
      <c r="Q1438">
        <f>tblOrders[[#This Row],[TotalSales]]-tblOrders[[#This Row],[Calculated Sales]]</f>
        <v>0</v>
      </c>
    </row>
    <row r="1439" spans="1:17" x14ac:dyDescent="0.25">
      <c r="A1439">
        <v>1639</v>
      </c>
      <c r="B1439">
        <v>711</v>
      </c>
      <c r="C1439" t="str">
        <f>_xlfn.XLOOKUP(tblOrders[[#This Row],[CustomerID]],tblCustomers[CustomerID],tblCustomers[CustomerName],"not found")</f>
        <v>Lisa Smith</v>
      </c>
      <c r="D1439">
        <f>_xlfn.XLOOKUP(tblOrders[[#This Row],[CustomerID]],tblCustomers[CustomerID],tblCustomers[Age],"not found")</f>
        <v>45</v>
      </c>
      <c r="E1439" t="str">
        <f>_xlfn.XLOOKUP(tblOrders[[#This Row],[CustomerID]],tblCustomers[CustomerID],tblCustomers[Gender],"not found")</f>
        <v>Female</v>
      </c>
      <c r="F1439" t="str">
        <f>_xlfn.XLOOKUP(tblOrders[[#This Row],[CustomerID]],tblCustomers[CustomerID],tblCustomers[Region],"not found")</f>
        <v>South</v>
      </c>
      <c r="G1439">
        <v>1088</v>
      </c>
      <c r="H1439" t="str">
        <f>_xlfn.XLOOKUP(tblOrders[[#This Row],[ProductID]],tblProducts[ProductID],tblProducts[ProductName],"not found")</f>
        <v>Where</v>
      </c>
      <c r="I1439" t="str">
        <f>_xlfn.XLOOKUP(tblOrders[[#This Row],[ProductID]],tblProducts[ProductID],tblProducts[Category],"not found")</f>
        <v>Furniture</v>
      </c>
      <c r="J1439">
        <f>_xlfn.XLOOKUP(tblOrders[[#This Row],[ProductID]],tblProducts[ProductID],tblProducts[UnitPrice],"not found")</f>
        <v>388.62</v>
      </c>
      <c r="K1439" t="str">
        <f>_xlfn.XLOOKUP(tblOrders[[#This Row],[ProductID]],tblProducts[ProductID],tblProducts[Supplier],"not found")</f>
        <v>Melton, Rodriguez and Wallace</v>
      </c>
      <c r="L1439" s="1" t="s">
        <v>2128</v>
      </c>
      <c r="M14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45044</v>
      </c>
      <c r="N1439">
        <v>1</v>
      </c>
      <c r="O1439">
        <v>388.62</v>
      </c>
      <c r="P1439">
        <f>tblOrders[[#This Row],[Quantity]]*tblOrders[[#This Row],[Unit Price]]</f>
        <v>388.62</v>
      </c>
      <c r="Q1439">
        <f>tblOrders[[#This Row],[TotalSales]]-tblOrders[[#This Row],[Calculated Sales]]</f>
        <v>0</v>
      </c>
    </row>
    <row r="1440" spans="1:17" x14ac:dyDescent="0.25">
      <c r="A1440">
        <v>1640</v>
      </c>
      <c r="B1440">
        <v>624</v>
      </c>
      <c r="C1440" t="str">
        <f>_xlfn.XLOOKUP(tblOrders[[#This Row],[CustomerID]],tblCustomers[CustomerID],tblCustomers[CustomerName],"not found")</f>
        <v>Richard Martinez</v>
      </c>
      <c r="D1440">
        <f>_xlfn.XLOOKUP(tblOrders[[#This Row],[CustomerID]],tblCustomers[CustomerID],tblCustomers[Age],"not found")</f>
        <v>29</v>
      </c>
      <c r="E1440" t="str">
        <f>_xlfn.XLOOKUP(tblOrders[[#This Row],[CustomerID]],tblCustomers[CustomerID],tblCustomers[Gender],"not found")</f>
        <v>Female</v>
      </c>
      <c r="F1440" t="str">
        <f>_xlfn.XLOOKUP(tblOrders[[#This Row],[CustomerID]],tblCustomers[CustomerID],tblCustomers[Region],"not found")</f>
        <v>North</v>
      </c>
      <c r="G1440">
        <v>1088</v>
      </c>
      <c r="H1440" t="str">
        <f>_xlfn.XLOOKUP(tblOrders[[#This Row],[ProductID]],tblProducts[ProductID],tblProducts[ProductName],"not found")</f>
        <v>Where</v>
      </c>
      <c r="I1440" t="str">
        <f>_xlfn.XLOOKUP(tblOrders[[#This Row],[ProductID]],tblProducts[ProductID],tblProducts[Category],"not found")</f>
        <v>Furniture</v>
      </c>
      <c r="J1440">
        <f>_xlfn.XLOOKUP(tblOrders[[#This Row],[ProductID]],tblProducts[ProductID],tblProducts[UnitPrice],"not found")</f>
        <v>388.62</v>
      </c>
      <c r="K1440" t="str">
        <f>_xlfn.XLOOKUP(tblOrders[[#This Row],[ProductID]],tblProducts[ProductID],tblProducts[Supplier],"not found")</f>
        <v>Melton, Rodriguez and Wallace</v>
      </c>
      <c r="L1440" s="1">
        <v>45142</v>
      </c>
      <c r="M14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45142</v>
      </c>
      <c r="N1440">
        <v>8</v>
      </c>
      <c r="O1440">
        <v>3108.96</v>
      </c>
      <c r="P1440">
        <f>tblOrders[[#This Row],[Quantity]]*tblOrders[[#This Row],[Unit Price]]</f>
        <v>3108.96</v>
      </c>
      <c r="Q1440">
        <f>tblOrders[[#This Row],[TotalSales]]-tblOrders[[#This Row],[Calculated Sales]]</f>
        <v>0</v>
      </c>
    </row>
    <row r="1441" spans="1:17" x14ac:dyDescent="0.25">
      <c r="A1441">
        <v>1697</v>
      </c>
      <c r="B1441">
        <v>84</v>
      </c>
      <c r="C1441" t="str">
        <f>_xlfn.XLOOKUP(tblOrders[[#This Row],[CustomerID]],tblCustomers[CustomerID],tblCustomers[CustomerName],"not found")</f>
        <v>Christian Lee</v>
      </c>
      <c r="D1441">
        <f>_xlfn.XLOOKUP(tblOrders[[#This Row],[CustomerID]],tblCustomers[CustomerID],tblCustomers[Age],"not found")</f>
        <v>29</v>
      </c>
      <c r="E1441" t="str">
        <f>_xlfn.XLOOKUP(tblOrders[[#This Row],[CustomerID]],tblCustomers[CustomerID],tblCustomers[Gender],"not found")</f>
        <v>Male</v>
      </c>
      <c r="F1441" t="str">
        <f>_xlfn.XLOOKUP(tblOrders[[#This Row],[CustomerID]],tblCustomers[CustomerID],tblCustomers[Region],"not found")</f>
        <v>South</v>
      </c>
      <c r="G1441">
        <v>1088</v>
      </c>
      <c r="H1441" t="str">
        <f>_xlfn.XLOOKUP(tblOrders[[#This Row],[ProductID]],tblProducts[ProductID],tblProducts[ProductName],"not found")</f>
        <v>Where</v>
      </c>
      <c r="I1441" t="str">
        <f>_xlfn.XLOOKUP(tblOrders[[#This Row],[ProductID]],tblProducts[ProductID],tblProducts[Category],"not found")</f>
        <v>Furniture</v>
      </c>
      <c r="J1441">
        <f>_xlfn.XLOOKUP(tblOrders[[#This Row],[ProductID]],tblProducts[ProductID],tblProducts[UnitPrice],"not found")</f>
        <v>388.62</v>
      </c>
      <c r="K1441" t="str">
        <f>_xlfn.XLOOKUP(tblOrders[[#This Row],[ProductID]],tblProducts[ProductID],tblProducts[Supplier],"not found")</f>
        <v>Melton, Rodriguez and Wallace</v>
      </c>
      <c r="L1441" s="1" t="s">
        <v>2135</v>
      </c>
      <c r="M14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45562</v>
      </c>
      <c r="N1441">
        <v>8</v>
      </c>
      <c r="O1441">
        <v>3108.96</v>
      </c>
      <c r="P1441">
        <f>tblOrders[[#This Row],[Quantity]]*tblOrders[[#This Row],[Unit Price]]</f>
        <v>3108.96</v>
      </c>
      <c r="Q1441">
        <f>tblOrders[[#This Row],[TotalSales]]-tblOrders[[#This Row],[Calculated Sales]]</f>
        <v>0</v>
      </c>
    </row>
    <row r="1442" spans="1:17" x14ac:dyDescent="0.25">
      <c r="A1442">
        <v>1851</v>
      </c>
      <c r="B1442">
        <v>653</v>
      </c>
      <c r="C1442" t="str">
        <f>_xlfn.XLOOKUP(tblOrders[[#This Row],[CustomerID]],tblCustomers[CustomerID],tblCustomers[CustomerName],"not found")</f>
        <v>Clinton Huffman</v>
      </c>
      <c r="D1442">
        <f>_xlfn.XLOOKUP(tblOrders[[#This Row],[CustomerID]],tblCustomers[CustomerID],tblCustomers[Age],"not found")</f>
        <v>35</v>
      </c>
      <c r="E1442" t="str">
        <f>_xlfn.XLOOKUP(tblOrders[[#This Row],[CustomerID]],tblCustomers[CustomerID],tblCustomers[Gender],"not found")</f>
        <v>Female</v>
      </c>
      <c r="F1442" t="str">
        <f>_xlfn.XLOOKUP(tblOrders[[#This Row],[CustomerID]],tblCustomers[CustomerID],tblCustomers[Region],"not found")</f>
        <v>North</v>
      </c>
      <c r="G1442">
        <v>1088</v>
      </c>
      <c r="H1442" t="str">
        <f>_xlfn.XLOOKUP(tblOrders[[#This Row],[ProductID]],tblProducts[ProductID],tblProducts[ProductName],"not found")</f>
        <v>Where</v>
      </c>
      <c r="I1442" t="str">
        <f>_xlfn.XLOOKUP(tblOrders[[#This Row],[ProductID]],tblProducts[ProductID],tblProducts[Category],"not found")</f>
        <v>Furniture</v>
      </c>
      <c r="J1442">
        <f>_xlfn.XLOOKUP(tblOrders[[#This Row],[ProductID]],tblProducts[ProductID],tblProducts[UnitPrice],"not found")</f>
        <v>388.62</v>
      </c>
      <c r="K1442" t="str">
        <f>_xlfn.XLOOKUP(tblOrders[[#This Row],[ProductID]],tblProducts[ProductID],tblProducts[Supplier],"not found")</f>
        <v>Melton, Rodriguez and Wallace</v>
      </c>
      <c r="L1442" s="1">
        <v>45633</v>
      </c>
      <c r="M14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45633</v>
      </c>
      <c r="N1442">
        <v>7</v>
      </c>
      <c r="O1442">
        <v>2720.34</v>
      </c>
      <c r="P1442">
        <f>tblOrders[[#This Row],[Quantity]]*tblOrders[[#This Row],[Unit Price]]</f>
        <v>2720.34</v>
      </c>
      <c r="Q1442">
        <f>tblOrders[[#This Row],[TotalSales]]-tblOrders[[#This Row],[Calculated Sales]]</f>
        <v>0</v>
      </c>
    </row>
    <row r="1443" spans="1:17" x14ac:dyDescent="0.25">
      <c r="A1443">
        <v>1887</v>
      </c>
      <c r="B1443">
        <v>397</v>
      </c>
      <c r="C1443" t="str">
        <f>_xlfn.XLOOKUP(tblOrders[[#This Row],[CustomerID]],tblCustomers[CustomerID],tblCustomers[CustomerName],"not found")</f>
        <v>Robert Evans</v>
      </c>
      <c r="D1443">
        <f>_xlfn.XLOOKUP(tblOrders[[#This Row],[CustomerID]],tblCustomers[CustomerID],tblCustomers[Age],"not found")</f>
        <v>31</v>
      </c>
      <c r="E1443" t="str">
        <f>_xlfn.XLOOKUP(tblOrders[[#This Row],[CustomerID]],tblCustomers[CustomerID],tblCustomers[Gender],"not found")</f>
        <v>Female</v>
      </c>
      <c r="F1443" t="str">
        <f>_xlfn.XLOOKUP(tblOrders[[#This Row],[CustomerID]],tblCustomers[CustomerID],tblCustomers[Region],"not found")</f>
        <v>East</v>
      </c>
      <c r="G1443">
        <v>1088</v>
      </c>
      <c r="H1443" t="str">
        <f>_xlfn.XLOOKUP(tblOrders[[#This Row],[ProductID]],tblProducts[ProductID],tblProducts[ProductName],"not found")</f>
        <v>Where</v>
      </c>
      <c r="I1443" t="str">
        <f>_xlfn.XLOOKUP(tblOrders[[#This Row],[ProductID]],tblProducts[ProductID],tblProducts[Category],"not found")</f>
        <v>Furniture</v>
      </c>
      <c r="J1443">
        <f>_xlfn.XLOOKUP(tblOrders[[#This Row],[ProductID]],tblProducts[ProductID],tblProducts[UnitPrice],"not found")</f>
        <v>388.62</v>
      </c>
      <c r="K1443" t="str">
        <f>_xlfn.XLOOKUP(tblOrders[[#This Row],[ProductID]],tblProducts[ProductID],tblProducts[Supplier],"not found")</f>
        <v>Melton, Rodriguez and Wallace</v>
      </c>
      <c r="L1443" s="1" t="s">
        <v>2383</v>
      </c>
      <c r="M14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45466</v>
      </c>
      <c r="N1443">
        <v>7</v>
      </c>
      <c r="O1443">
        <v>2720.34</v>
      </c>
      <c r="P1443">
        <f>tblOrders[[#This Row],[Quantity]]*tblOrders[[#This Row],[Unit Price]]</f>
        <v>2720.34</v>
      </c>
      <c r="Q1443">
        <f>tblOrders[[#This Row],[TotalSales]]-tblOrders[[#This Row],[Calculated Sales]]</f>
        <v>0</v>
      </c>
    </row>
    <row r="1444" spans="1:17" x14ac:dyDescent="0.25">
      <c r="A1444">
        <v>1949</v>
      </c>
      <c r="B1444">
        <v>205</v>
      </c>
      <c r="C1444" t="str">
        <f>_xlfn.XLOOKUP(tblOrders[[#This Row],[CustomerID]],tblCustomers[CustomerID],tblCustomers[CustomerName],"not found")</f>
        <v>James Johnson Jr.</v>
      </c>
      <c r="D1444">
        <f>_xlfn.XLOOKUP(tblOrders[[#This Row],[CustomerID]],tblCustomers[CustomerID],tblCustomers[Age],"not found")</f>
        <v>45</v>
      </c>
      <c r="E1444" t="str">
        <f>_xlfn.XLOOKUP(tblOrders[[#This Row],[CustomerID]],tblCustomers[CustomerID],tblCustomers[Gender],"not found")</f>
        <v>Male</v>
      </c>
      <c r="F1444" t="str">
        <f>_xlfn.XLOOKUP(tblOrders[[#This Row],[CustomerID]],tblCustomers[CustomerID],tblCustomers[Region],"not found")</f>
        <v>South</v>
      </c>
      <c r="G1444">
        <v>1088</v>
      </c>
      <c r="H1444" t="str">
        <f>_xlfn.XLOOKUP(tblOrders[[#This Row],[ProductID]],tblProducts[ProductID],tblProducts[ProductName],"not found")</f>
        <v>Where</v>
      </c>
      <c r="I1444" t="str">
        <f>_xlfn.XLOOKUP(tblOrders[[#This Row],[ProductID]],tblProducts[ProductID],tblProducts[Category],"not found")</f>
        <v>Furniture</v>
      </c>
      <c r="J1444">
        <f>_xlfn.XLOOKUP(tblOrders[[#This Row],[ProductID]],tblProducts[ProductID],tblProducts[UnitPrice],"not found")</f>
        <v>388.62</v>
      </c>
      <c r="K1444" t="str">
        <f>_xlfn.XLOOKUP(tblOrders[[#This Row],[ProductID]],tblProducts[ProductID],tblProducts[Supplier],"not found")</f>
        <v>Melton, Rodriguez and Wallace</v>
      </c>
      <c r="L1444" s="1">
        <v>45210</v>
      </c>
      <c r="M14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45210</v>
      </c>
      <c r="N1444">
        <v>9</v>
      </c>
      <c r="O1444">
        <v>3497.58</v>
      </c>
      <c r="P1444">
        <f>tblOrders[[#This Row],[Quantity]]*tblOrders[[#This Row],[Unit Price]]</f>
        <v>3497.58</v>
      </c>
      <c r="Q1444">
        <f>tblOrders[[#This Row],[TotalSales]]-tblOrders[[#This Row],[Calculated Sales]]</f>
        <v>0</v>
      </c>
    </row>
    <row r="1445" spans="1:17" x14ac:dyDescent="0.25">
      <c r="A1445">
        <v>1966</v>
      </c>
      <c r="B1445">
        <v>813</v>
      </c>
      <c r="C1445" t="str">
        <f>_xlfn.XLOOKUP(tblOrders[[#This Row],[CustomerID]],tblCustomers[CustomerID],tblCustomers[CustomerName],"not found")</f>
        <v>Elizabeth Johnson</v>
      </c>
      <c r="D1445">
        <f>_xlfn.XLOOKUP(tblOrders[[#This Row],[CustomerID]],tblCustomers[CustomerID],tblCustomers[Age],"not found")</f>
        <v>67</v>
      </c>
      <c r="E1445" t="str">
        <f>_xlfn.XLOOKUP(tblOrders[[#This Row],[CustomerID]],tblCustomers[CustomerID],tblCustomers[Gender],"not found")</f>
        <v>Female</v>
      </c>
      <c r="F1445" t="str">
        <f>_xlfn.XLOOKUP(tblOrders[[#This Row],[CustomerID]],tblCustomers[CustomerID],tblCustomers[Region],"not found")</f>
        <v>North</v>
      </c>
      <c r="G1445">
        <v>1088</v>
      </c>
      <c r="H1445" t="str">
        <f>_xlfn.XLOOKUP(tblOrders[[#This Row],[ProductID]],tblProducts[ProductID],tblProducts[ProductName],"not found")</f>
        <v>Where</v>
      </c>
      <c r="I1445" t="str">
        <f>_xlfn.XLOOKUP(tblOrders[[#This Row],[ProductID]],tblProducts[ProductID],tblProducts[Category],"not found")</f>
        <v>Furniture</v>
      </c>
      <c r="J1445">
        <f>_xlfn.XLOOKUP(tblOrders[[#This Row],[ProductID]],tblProducts[ProductID],tblProducts[UnitPrice],"not found")</f>
        <v>388.62</v>
      </c>
      <c r="K1445" t="str">
        <f>_xlfn.XLOOKUP(tblOrders[[#This Row],[ProductID]],tblProducts[ProductID],tblProducts[Supplier],"not found")</f>
        <v>Melton, Rodriguez and Wallace</v>
      </c>
      <c r="L1445" s="1">
        <v>45261</v>
      </c>
      <c r="M14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45261</v>
      </c>
      <c r="N1445">
        <v>2</v>
      </c>
      <c r="O1445">
        <v>777.24</v>
      </c>
      <c r="P1445">
        <f>tblOrders[[#This Row],[Quantity]]*tblOrders[[#This Row],[Unit Price]]</f>
        <v>777.24</v>
      </c>
      <c r="Q1445">
        <f>tblOrders[[#This Row],[TotalSales]]-tblOrders[[#This Row],[Calculated Sales]]</f>
        <v>0</v>
      </c>
    </row>
    <row r="1446" spans="1:17" x14ac:dyDescent="0.25">
      <c r="A1446">
        <v>106</v>
      </c>
      <c r="B1446">
        <v>460</v>
      </c>
      <c r="C1446" t="str">
        <f>_xlfn.XLOOKUP(tblOrders[[#This Row],[CustomerID]],tblCustomers[CustomerID],tblCustomers[CustomerName],"not found")</f>
        <v>Jason Owen</v>
      </c>
      <c r="D1446">
        <f>_xlfn.XLOOKUP(tblOrders[[#This Row],[CustomerID]],tblCustomers[CustomerID],tblCustomers[Age],"not found")</f>
        <v>56</v>
      </c>
      <c r="E1446" t="str">
        <f>_xlfn.XLOOKUP(tblOrders[[#This Row],[CustomerID]],tblCustomers[CustomerID],tblCustomers[Gender],"not found")</f>
        <v>Male</v>
      </c>
      <c r="F1446" t="str">
        <f>_xlfn.XLOOKUP(tblOrders[[#This Row],[CustomerID]],tblCustomers[CustomerID],tblCustomers[Region],"not found")</f>
        <v>North</v>
      </c>
      <c r="G1446">
        <v>1036</v>
      </c>
      <c r="H1446" t="str">
        <f>_xlfn.XLOOKUP(tblOrders[[#This Row],[ProductID]],tblProducts[ProductID],tblProducts[ProductName],"not found")</f>
        <v>Alone</v>
      </c>
      <c r="I1446" t="str">
        <f>_xlfn.XLOOKUP(tblOrders[[#This Row],[ProductID]],tblProducts[ProductID],tblProducts[Category],"not found")</f>
        <v>Toys</v>
      </c>
      <c r="J1446">
        <f>_xlfn.XLOOKUP(tblOrders[[#This Row],[ProductID]],tblProducts[ProductID],tblProducts[UnitPrice],"not found")</f>
        <v>226.7</v>
      </c>
      <c r="K1446" t="str">
        <f>_xlfn.XLOOKUP(tblOrders[[#This Row],[ProductID]],tblProducts[ProductID],tblProducts[Supplier],"not found")</f>
        <v>Curry Group</v>
      </c>
      <c r="L1446" s="1">
        <v>44692</v>
      </c>
      <c r="M14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44692</v>
      </c>
      <c r="N1446">
        <v>7</v>
      </c>
      <c r="O1446">
        <v>1586.9</v>
      </c>
      <c r="P1446">
        <f>tblOrders[[#This Row],[Quantity]]*tblOrders[[#This Row],[Unit Price]]</f>
        <v>1586.8999999999999</v>
      </c>
      <c r="Q1446">
        <f>tblOrders[[#This Row],[TotalSales]]-tblOrders[[#This Row],[Calculated Sales]]</f>
        <v>0</v>
      </c>
    </row>
    <row r="1447" spans="1:17" x14ac:dyDescent="0.25">
      <c r="A1447">
        <v>139</v>
      </c>
      <c r="B1447">
        <v>469</v>
      </c>
      <c r="C1447" t="str">
        <f>_xlfn.XLOOKUP(tblOrders[[#This Row],[CustomerID]],tblCustomers[CustomerID],tblCustomers[CustomerName],"not found")</f>
        <v>Kelly Lopez</v>
      </c>
      <c r="D1447">
        <f>_xlfn.XLOOKUP(tblOrders[[#This Row],[CustomerID]],tblCustomers[CustomerID],tblCustomers[Age],"not found")</f>
        <v>21</v>
      </c>
      <c r="E1447" t="str">
        <f>_xlfn.XLOOKUP(tblOrders[[#This Row],[CustomerID]],tblCustomers[CustomerID],tblCustomers[Gender],"not found")</f>
        <v>Male</v>
      </c>
      <c r="F1447" t="str">
        <f>_xlfn.XLOOKUP(tblOrders[[#This Row],[CustomerID]],tblCustomers[CustomerID],tblCustomers[Region],"not found")</f>
        <v>Central</v>
      </c>
      <c r="G1447">
        <v>1036</v>
      </c>
      <c r="H1447" t="str">
        <f>_xlfn.XLOOKUP(tblOrders[[#This Row],[ProductID]],tblProducts[ProductID],tblProducts[ProductName],"not found")</f>
        <v>Alone</v>
      </c>
      <c r="I1447" t="str">
        <f>_xlfn.XLOOKUP(tblOrders[[#This Row],[ProductID]],tblProducts[ProductID],tblProducts[Category],"not found")</f>
        <v>Toys</v>
      </c>
      <c r="J1447">
        <f>_xlfn.XLOOKUP(tblOrders[[#This Row],[ProductID]],tblProducts[ProductID],tblProducts[UnitPrice],"not found")</f>
        <v>226.7</v>
      </c>
      <c r="K1447" t="str">
        <f>_xlfn.XLOOKUP(tblOrders[[#This Row],[ProductID]],tblProducts[ProductID],tblProducts[Supplier],"not found")</f>
        <v>Curry Group</v>
      </c>
      <c r="L1447" s="1">
        <v>45631</v>
      </c>
      <c r="M14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45631</v>
      </c>
      <c r="N1447">
        <v>1</v>
      </c>
      <c r="O1447">
        <v>226.7</v>
      </c>
      <c r="P1447">
        <f>tblOrders[[#This Row],[Quantity]]*tblOrders[[#This Row],[Unit Price]]</f>
        <v>226.7</v>
      </c>
      <c r="Q1447">
        <f>tblOrders[[#This Row],[TotalSales]]-tblOrders[[#This Row],[Calculated Sales]]</f>
        <v>0</v>
      </c>
    </row>
    <row r="1448" spans="1:17" x14ac:dyDescent="0.25">
      <c r="A1448">
        <v>162</v>
      </c>
      <c r="B1448">
        <v>907</v>
      </c>
      <c r="C1448" t="str">
        <f>_xlfn.XLOOKUP(tblOrders[[#This Row],[CustomerID]],tblCustomers[CustomerID],tblCustomers[CustomerName],"not found")</f>
        <v>Edgar Lewis</v>
      </c>
      <c r="D1448">
        <f>_xlfn.XLOOKUP(tblOrders[[#This Row],[CustomerID]],tblCustomers[CustomerID],tblCustomers[Age],"not found")</f>
        <v>48</v>
      </c>
      <c r="E1448" t="str">
        <f>_xlfn.XLOOKUP(tblOrders[[#This Row],[CustomerID]],tblCustomers[CustomerID],tblCustomers[Gender],"not found")</f>
        <v>Female</v>
      </c>
      <c r="F1448" t="str">
        <f>_xlfn.XLOOKUP(tblOrders[[#This Row],[CustomerID]],tblCustomers[CustomerID],tblCustomers[Region],"not found")</f>
        <v>Central</v>
      </c>
      <c r="G1448">
        <v>1036</v>
      </c>
      <c r="H1448" t="str">
        <f>_xlfn.XLOOKUP(tblOrders[[#This Row],[ProductID]],tblProducts[ProductID],tblProducts[ProductName],"not found")</f>
        <v>Alone</v>
      </c>
      <c r="I1448" t="str">
        <f>_xlfn.XLOOKUP(tblOrders[[#This Row],[ProductID]],tblProducts[ProductID],tblProducts[Category],"not found")</f>
        <v>Toys</v>
      </c>
      <c r="J1448">
        <f>_xlfn.XLOOKUP(tblOrders[[#This Row],[ProductID]],tblProducts[ProductID],tblProducts[UnitPrice],"not found")</f>
        <v>226.7</v>
      </c>
      <c r="K1448" t="str">
        <f>_xlfn.XLOOKUP(tblOrders[[#This Row],[ProductID]],tblProducts[ProductID],tblProducts[Supplier],"not found")</f>
        <v>Curry Group</v>
      </c>
      <c r="L1448" s="1" t="s">
        <v>2159</v>
      </c>
      <c r="M14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45130</v>
      </c>
      <c r="N1448">
        <v>9</v>
      </c>
      <c r="O1448">
        <v>2040.3</v>
      </c>
      <c r="P1448">
        <f>tblOrders[[#This Row],[Quantity]]*tblOrders[[#This Row],[Unit Price]]</f>
        <v>2040.3</v>
      </c>
      <c r="Q1448">
        <f>tblOrders[[#This Row],[TotalSales]]-tblOrders[[#This Row],[Calculated Sales]]</f>
        <v>0</v>
      </c>
    </row>
    <row r="1449" spans="1:17" x14ac:dyDescent="0.25">
      <c r="A1449">
        <v>267</v>
      </c>
      <c r="B1449">
        <v>632</v>
      </c>
      <c r="C1449" t="str">
        <f>_xlfn.XLOOKUP(tblOrders[[#This Row],[CustomerID]],tblCustomers[CustomerID],tblCustomers[CustomerName],"not found")</f>
        <v>Samantha Bartlett</v>
      </c>
      <c r="D1449">
        <f>_xlfn.XLOOKUP(tblOrders[[#This Row],[CustomerID]],tblCustomers[CustomerID],tblCustomers[Age],"not found")</f>
        <v>18</v>
      </c>
      <c r="E1449" t="str">
        <f>_xlfn.XLOOKUP(tblOrders[[#This Row],[CustomerID]],tblCustomers[CustomerID],tblCustomers[Gender],"not found")</f>
        <v>Male</v>
      </c>
      <c r="F1449" t="str">
        <f>_xlfn.XLOOKUP(tblOrders[[#This Row],[CustomerID]],tblCustomers[CustomerID],tblCustomers[Region],"not found")</f>
        <v>North</v>
      </c>
      <c r="G1449">
        <v>1036</v>
      </c>
      <c r="H1449" t="str">
        <f>_xlfn.XLOOKUP(tblOrders[[#This Row],[ProductID]],tblProducts[ProductID],tblProducts[ProductName],"not found")</f>
        <v>Alone</v>
      </c>
      <c r="I1449" t="str">
        <f>_xlfn.XLOOKUP(tblOrders[[#This Row],[ProductID]],tblProducts[ProductID],tblProducts[Category],"not found")</f>
        <v>Toys</v>
      </c>
      <c r="J1449">
        <f>_xlfn.XLOOKUP(tblOrders[[#This Row],[ProductID]],tblProducts[ProductID],tblProducts[UnitPrice],"not found")</f>
        <v>226.7</v>
      </c>
      <c r="K1449" t="str">
        <f>_xlfn.XLOOKUP(tblOrders[[#This Row],[ProductID]],tblProducts[ProductID],tblProducts[Supplier],"not found")</f>
        <v>Curry Group</v>
      </c>
      <c r="L1449" s="1" t="s">
        <v>2391</v>
      </c>
      <c r="M14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45041</v>
      </c>
      <c r="N1449">
        <v>2</v>
      </c>
      <c r="O1449">
        <v>453.4</v>
      </c>
      <c r="P1449">
        <f>tblOrders[[#This Row],[Quantity]]*tblOrders[[#This Row],[Unit Price]]</f>
        <v>453.4</v>
      </c>
      <c r="Q1449">
        <f>tblOrders[[#This Row],[TotalSales]]-tblOrders[[#This Row],[Calculated Sales]]</f>
        <v>0</v>
      </c>
    </row>
    <row r="1450" spans="1:17" x14ac:dyDescent="0.25">
      <c r="A1450">
        <v>310</v>
      </c>
      <c r="B1450">
        <v>705</v>
      </c>
      <c r="C1450" t="str">
        <f>_xlfn.XLOOKUP(tblOrders[[#This Row],[CustomerID]],tblCustomers[CustomerID],tblCustomers[CustomerName],"not found")</f>
        <v>John Brown</v>
      </c>
      <c r="D1450">
        <f>_xlfn.XLOOKUP(tblOrders[[#This Row],[CustomerID]],tblCustomers[CustomerID],tblCustomers[Age],"not found")</f>
        <v>50</v>
      </c>
      <c r="E1450" t="str">
        <f>_xlfn.XLOOKUP(tblOrders[[#This Row],[CustomerID]],tblCustomers[CustomerID],tblCustomers[Gender],"not found")</f>
        <v>Female</v>
      </c>
      <c r="F1450" t="str">
        <f>_xlfn.XLOOKUP(tblOrders[[#This Row],[CustomerID]],tblCustomers[CustomerID],tblCustomers[Region],"not found")</f>
        <v>Central</v>
      </c>
      <c r="G1450">
        <v>1036</v>
      </c>
      <c r="H1450" t="str">
        <f>_xlfn.XLOOKUP(tblOrders[[#This Row],[ProductID]],tblProducts[ProductID],tblProducts[ProductName],"not found")</f>
        <v>Alone</v>
      </c>
      <c r="I1450" t="str">
        <f>_xlfn.XLOOKUP(tblOrders[[#This Row],[ProductID]],tblProducts[ProductID],tblProducts[Category],"not found")</f>
        <v>Toys</v>
      </c>
      <c r="J1450">
        <f>_xlfn.XLOOKUP(tblOrders[[#This Row],[ProductID]],tblProducts[ProductID],tblProducts[UnitPrice],"not found")</f>
        <v>226.7</v>
      </c>
      <c r="K1450" t="str">
        <f>_xlfn.XLOOKUP(tblOrders[[#This Row],[ProductID]],tblProducts[ProductID],tblProducts[Supplier],"not found")</f>
        <v>Curry Group</v>
      </c>
      <c r="L1450" s="1" t="s">
        <v>2121</v>
      </c>
      <c r="M14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45487</v>
      </c>
      <c r="N1450">
        <v>3</v>
      </c>
      <c r="O1450">
        <v>680.1</v>
      </c>
      <c r="P1450">
        <f>tblOrders[[#This Row],[Quantity]]*tblOrders[[#This Row],[Unit Price]]</f>
        <v>680.09999999999991</v>
      </c>
      <c r="Q1450">
        <f>tblOrders[[#This Row],[TotalSales]]-tblOrders[[#This Row],[Calculated Sales]]</f>
        <v>0</v>
      </c>
    </row>
    <row r="1451" spans="1:17" x14ac:dyDescent="0.25">
      <c r="A1451">
        <v>343</v>
      </c>
      <c r="B1451">
        <v>579</v>
      </c>
      <c r="C1451" t="str">
        <f>_xlfn.XLOOKUP(tblOrders[[#This Row],[CustomerID]],tblCustomers[CustomerID],tblCustomers[CustomerName],"not found")</f>
        <v>Erik Morales</v>
      </c>
      <c r="D1451">
        <f>_xlfn.XLOOKUP(tblOrders[[#This Row],[CustomerID]],tblCustomers[CustomerID],tblCustomers[Age],"not found")</f>
        <v>44</v>
      </c>
      <c r="E1451" t="str">
        <f>_xlfn.XLOOKUP(tblOrders[[#This Row],[CustomerID]],tblCustomers[CustomerID],tblCustomers[Gender],"not found")</f>
        <v>Male</v>
      </c>
      <c r="F1451" t="str">
        <f>_xlfn.XLOOKUP(tblOrders[[#This Row],[CustomerID]],tblCustomers[CustomerID],tblCustomers[Region],"not found")</f>
        <v>East</v>
      </c>
      <c r="G1451">
        <v>1036</v>
      </c>
      <c r="H1451" t="str">
        <f>_xlfn.XLOOKUP(tblOrders[[#This Row],[ProductID]],tblProducts[ProductID],tblProducts[ProductName],"not found")</f>
        <v>Alone</v>
      </c>
      <c r="I1451" t="str">
        <f>_xlfn.XLOOKUP(tblOrders[[#This Row],[ProductID]],tblProducts[ProductID],tblProducts[Category],"not found")</f>
        <v>Toys</v>
      </c>
      <c r="J1451">
        <f>_xlfn.XLOOKUP(tblOrders[[#This Row],[ProductID]],tblProducts[ProductID],tblProducts[UnitPrice],"not found")</f>
        <v>226.7</v>
      </c>
      <c r="K1451" t="str">
        <f>_xlfn.XLOOKUP(tblOrders[[#This Row],[ProductID]],tblProducts[ProductID],tblProducts[Supplier],"not found")</f>
        <v>Curry Group</v>
      </c>
      <c r="L1451" s="1" t="s">
        <v>2286</v>
      </c>
      <c r="M14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45104</v>
      </c>
      <c r="N1451">
        <v>8</v>
      </c>
      <c r="O1451">
        <v>1813.6</v>
      </c>
      <c r="P1451">
        <f>tblOrders[[#This Row],[Quantity]]*tblOrders[[#This Row],[Unit Price]]</f>
        <v>1813.6</v>
      </c>
      <c r="Q1451">
        <f>tblOrders[[#This Row],[TotalSales]]-tblOrders[[#This Row],[Calculated Sales]]</f>
        <v>0</v>
      </c>
    </row>
    <row r="1452" spans="1:17" x14ac:dyDescent="0.25">
      <c r="A1452">
        <v>408</v>
      </c>
      <c r="B1452">
        <v>207</v>
      </c>
      <c r="C1452" t="str">
        <f>_xlfn.XLOOKUP(tblOrders[[#This Row],[CustomerID]],tblCustomers[CustomerID],tblCustomers[CustomerName],"not found")</f>
        <v>Alexandra Moore</v>
      </c>
      <c r="D1452">
        <f>_xlfn.XLOOKUP(tblOrders[[#This Row],[CustomerID]],tblCustomers[CustomerID],tblCustomers[Age],"not found")</f>
        <v>52</v>
      </c>
      <c r="E1452" t="str">
        <f>_xlfn.XLOOKUP(tblOrders[[#This Row],[CustomerID]],tblCustomers[CustomerID],tblCustomers[Gender],"not found")</f>
        <v>Male</v>
      </c>
      <c r="F1452" t="str">
        <f>_xlfn.XLOOKUP(tblOrders[[#This Row],[CustomerID]],tblCustomers[CustomerID],tblCustomers[Region],"not found")</f>
        <v>East</v>
      </c>
      <c r="G1452">
        <v>1036</v>
      </c>
      <c r="H1452" t="str">
        <f>_xlfn.XLOOKUP(tblOrders[[#This Row],[ProductID]],tblProducts[ProductID],tblProducts[ProductName],"not found")</f>
        <v>Alone</v>
      </c>
      <c r="I1452" t="str">
        <f>_xlfn.XLOOKUP(tblOrders[[#This Row],[ProductID]],tblProducts[ProductID],tblProducts[Category],"not found")</f>
        <v>Toys</v>
      </c>
      <c r="J1452">
        <f>_xlfn.XLOOKUP(tblOrders[[#This Row],[ProductID]],tblProducts[ProductID],tblProducts[UnitPrice],"not found")</f>
        <v>226.7</v>
      </c>
      <c r="K1452" t="str">
        <f>_xlfn.XLOOKUP(tblOrders[[#This Row],[ProductID]],tblProducts[ProductID],tblProducts[Supplier],"not found")</f>
        <v>Curry Group</v>
      </c>
      <c r="L1452" s="1" t="s">
        <v>2151</v>
      </c>
      <c r="M14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45218</v>
      </c>
      <c r="N1452">
        <v>3</v>
      </c>
      <c r="O1452">
        <v>680.1</v>
      </c>
      <c r="P1452">
        <f>tblOrders[[#This Row],[Quantity]]*tblOrders[[#This Row],[Unit Price]]</f>
        <v>680.09999999999991</v>
      </c>
      <c r="Q1452">
        <f>tblOrders[[#This Row],[TotalSales]]-tblOrders[[#This Row],[Calculated Sales]]</f>
        <v>0</v>
      </c>
    </row>
    <row r="1453" spans="1:17" x14ac:dyDescent="0.25">
      <c r="A1453">
        <v>409</v>
      </c>
      <c r="B1453">
        <v>931</v>
      </c>
      <c r="C1453" t="str">
        <f>_xlfn.XLOOKUP(tblOrders[[#This Row],[CustomerID]],tblCustomers[CustomerID],tblCustomers[CustomerName],"not found")</f>
        <v>Karen Wallace</v>
      </c>
      <c r="D1453">
        <f>_xlfn.XLOOKUP(tblOrders[[#This Row],[CustomerID]],tblCustomers[CustomerID],tblCustomers[Age],"not found")</f>
        <v>58</v>
      </c>
      <c r="E1453" t="str">
        <f>_xlfn.XLOOKUP(tblOrders[[#This Row],[CustomerID]],tblCustomers[CustomerID],tblCustomers[Gender],"not found")</f>
        <v>Male</v>
      </c>
      <c r="F1453" t="str">
        <f>_xlfn.XLOOKUP(tblOrders[[#This Row],[CustomerID]],tblCustomers[CustomerID],tblCustomers[Region],"not found")</f>
        <v>East</v>
      </c>
      <c r="G1453">
        <v>1036</v>
      </c>
      <c r="H1453" t="str">
        <f>_xlfn.XLOOKUP(tblOrders[[#This Row],[ProductID]],tblProducts[ProductID],tblProducts[ProductName],"not found")</f>
        <v>Alone</v>
      </c>
      <c r="I1453" t="str">
        <f>_xlfn.XLOOKUP(tblOrders[[#This Row],[ProductID]],tblProducts[ProductID],tblProducts[Category],"not found")</f>
        <v>Toys</v>
      </c>
      <c r="J1453">
        <f>_xlfn.XLOOKUP(tblOrders[[#This Row],[ProductID]],tblProducts[ProductID],tblProducts[UnitPrice],"not found")</f>
        <v>226.7</v>
      </c>
      <c r="K1453" t="str">
        <f>_xlfn.XLOOKUP(tblOrders[[#This Row],[ProductID]],tblProducts[ProductID],tblProducts[Supplier],"not found")</f>
        <v>Curry Group</v>
      </c>
      <c r="L1453" s="1">
        <v>45118</v>
      </c>
      <c r="M14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45118</v>
      </c>
      <c r="N1453">
        <v>2</v>
      </c>
      <c r="O1453">
        <v>453.4</v>
      </c>
      <c r="P1453">
        <f>tblOrders[[#This Row],[Quantity]]*tblOrders[[#This Row],[Unit Price]]</f>
        <v>453.4</v>
      </c>
      <c r="Q1453">
        <f>tblOrders[[#This Row],[TotalSales]]-tblOrders[[#This Row],[Calculated Sales]]</f>
        <v>0</v>
      </c>
    </row>
    <row r="1454" spans="1:17" x14ac:dyDescent="0.25">
      <c r="A1454">
        <v>607</v>
      </c>
      <c r="B1454">
        <v>890</v>
      </c>
      <c r="C1454" t="str">
        <f>_xlfn.XLOOKUP(tblOrders[[#This Row],[CustomerID]],tblCustomers[CustomerID],tblCustomers[CustomerName],"not found")</f>
        <v>Holly Davis</v>
      </c>
      <c r="D1454">
        <f>_xlfn.XLOOKUP(tblOrders[[#This Row],[CustomerID]],tblCustomers[CustomerID],tblCustomers[Age],"not found")</f>
        <v>53</v>
      </c>
      <c r="E1454" t="str">
        <f>_xlfn.XLOOKUP(tblOrders[[#This Row],[CustomerID]],tblCustomers[CustomerID],tblCustomers[Gender],"not found")</f>
        <v>Male</v>
      </c>
      <c r="F1454" t="str">
        <f>_xlfn.XLOOKUP(tblOrders[[#This Row],[CustomerID]],tblCustomers[CustomerID],tblCustomers[Region],"not found")</f>
        <v>West</v>
      </c>
      <c r="G1454">
        <v>1036</v>
      </c>
      <c r="H1454" t="str">
        <f>_xlfn.XLOOKUP(tblOrders[[#This Row],[ProductID]],tblProducts[ProductID],tblProducts[ProductName],"not found")</f>
        <v>Alone</v>
      </c>
      <c r="I1454" t="str">
        <f>_xlfn.XLOOKUP(tblOrders[[#This Row],[ProductID]],tblProducts[ProductID],tblProducts[Category],"not found")</f>
        <v>Toys</v>
      </c>
      <c r="J1454">
        <f>_xlfn.XLOOKUP(tblOrders[[#This Row],[ProductID]],tblProducts[ProductID],tblProducts[UnitPrice],"not found")</f>
        <v>226.7</v>
      </c>
      <c r="K1454" t="str">
        <f>_xlfn.XLOOKUP(tblOrders[[#This Row],[ProductID]],tblProducts[ProductID],tblProducts[Supplier],"not found")</f>
        <v>Curry Group</v>
      </c>
      <c r="L1454" s="1" t="s">
        <v>2240</v>
      </c>
      <c r="M14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45037</v>
      </c>
      <c r="N1454">
        <v>9</v>
      </c>
      <c r="O1454">
        <v>2040.3</v>
      </c>
      <c r="P1454">
        <f>tblOrders[[#This Row],[Quantity]]*tblOrders[[#This Row],[Unit Price]]</f>
        <v>2040.3</v>
      </c>
      <c r="Q1454">
        <f>tblOrders[[#This Row],[TotalSales]]-tblOrders[[#This Row],[Calculated Sales]]</f>
        <v>0</v>
      </c>
    </row>
    <row r="1455" spans="1:17" x14ac:dyDescent="0.25">
      <c r="A1455">
        <v>656</v>
      </c>
      <c r="B1455">
        <v>539</v>
      </c>
      <c r="C1455" t="str">
        <f>_xlfn.XLOOKUP(tblOrders[[#This Row],[CustomerID]],tblCustomers[CustomerID],tblCustomers[CustomerName],"not found")</f>
        <v>Ashley Hensley</v>
      </c>
      <c r="D1455">
        <f>_xlfn.XLOOKUP(tblOrders[[#This Row],[CustomerID]],tblCustomers[CustomerID],tblCustomers[Age],"not found")</f>
        <v>21</v>
      </c>
      <c r="E1455" t="str">
        <f>_xlfn.XLOOKUP(tblOrders[[#This Row],[CustomerID]],tblCustomers[CustomerID],tblCustomers[Gender],"not found")</f>
        <v>Female</v>
      </c>
      <c r="F1455" t="str">
        <f>_xlfn.XLOOKUP(tblOrders[[#This Row],[CustomerID]],tblCustomers[CustomerID],tblCustomers[Region],"not found")</f>
        <v>North</v>
      </c>
      <c r="G1455">
        <v>1036</v>
      </c>
      <c r="H1455" t="str">
        <f>_xlfn.XLOOKUP(tblOrders[[#This Row],[ProductID]],tblProducts[ProductID],tblProducts[ProductName],"not found")</f>
        <v>Alone</v>
      </c>
      <c r="I1455" t="str">
        <f>_xlfn.XLOOKUP(tblOrders[[#This Row],[ProductID]],tblProducts[ProductID],tblProducts[Category],"not found")</f>
        <v>Toys</v>
      </c>
      <c r="J1455">
        <f>_xlfn.XLOOKUP(tblOrders[[#This Row],[ProductID]],tblProducts[ProductID],tblProducts[UnitPrice],"not found")</f>
        <v>226.7</v>
      </c>
      <c r="K1455" t="str">
        <f>_xlfn.XLOOKUP(tblOrders[[#This Row],[ProductID]],tblProducts[ProductID],tblProducts[Supplier],"not found")</f>
        <v>Curry Group</v>
      </c>
      <c r="L1455" s="1" t="s">
        <v>2332</v>
      </c>
      <c r="M14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45040</v>
      </c>
      <c r="N1455">
        <v>7</v>
      </c>
      <c r="O1455">
        <v>1586.9</v>
      </c>
      <c r="P1455">
        <f>tblOrders[[#This Row],[Quantity]]*tblOrders[[#This Row],[Unit Price]]</f>
        <v>1586.8999999999999</v>
      </c>
      <c r="Q1455">
        <f>tblOrders[[#This Row],[TotalSales]]-tblOrders[[#This Row],[Calculated Sales]]</f>
        <v>0</v>
      </c>
    </row>
    <row r="1456" spans="1:17" x14ac:dyDescent="0.25">
      <c r="A1456">
        <v>959</v>
      </c>
      <c r="B1456">
        <v>216</v>
      </c>
      <c r="C1456" t="str">
        <f>_xlfn.XLOOKUP(tblOrders[[#This Row],[CustomerID]],tblCustomers[CustomerID],tblCustomers[CustomerName],"not found")</f>
        <v>Kayla Cox</v>
      </c>
      <c r="D1456">
        <f>_xlfn.XLOOKUP(tblOrders[[#This Row],[CustomerID]],tblCustomers[CustomerID],tblCustomers[Age],"not found")</f>
        <v>48</v>
      </c>
      <c r="E1456" t="str">
        <f>_xlfn.XLOOKUP(tblOrders[[#This Row],[CustomerID]],tblCustomers[CustomerID],tblCustomers[Gender],"not found")</f>
        <v>Female</v>
      </c>
      <c r="F1456" t="str">
        <f>_xlfn.XLOOKUP(tblOrders[[#This Row],[CustomerID]],tblCustomers[CustomerID],tblCustomers[Region],"not found")</f>
        <v>Central</v>
      </c>
      <c r="G1456">
        <v>1036</v>
      </c>
      <c r="H1456" t="str">
        <f>_xlfn.XLOOKUP(tblOrders[[#This Row],[ProductID]],tblProducts[ProductID],tblProducts[ProductName],"not found")</f>
        <v>Alone</v>
      </c>
      <c r="I1456" t="str">
        <f>_xlfn.XLOOKUP(tblOrders[[#This Row],[ProductID]],tblProducts[ProductID],tblProducts[Category],"not found")</f>
        <v>Toys</v>
      </c>
      <c r="J1456">
        <f>_xlfn.XLOOKUP(tblOrders[[#This Row],[ProductID]],tblProducts[ProductID],tblProducts[UnitPrice],"not found")</f>
        <v>226.7</v>
      </c>
      <c r="K1456" t="str">
        <f>_xlfn.XLOOKUP(tblOrders[[#This Row],[ProductID]],tblProducts[ProductID],tblProducts[Supplier],"not found")</f>
        <v>Curry Group</v>
      </c>
      <c r="L1456" s="1">
        <v>45361</v>
      </c>
      <c r="M14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45361</v>
      </c>
      <c r="N1456">
        <v>1</v>
      </c>
      <c r="O1456">
        <v>226.7</v>
      </c>
      <c r="P1456">
        <f>tblOrders[[#This Row],[Quantity]]*tblOrders[[#This Row],[Unit Price]]</f>
        <v>226.7</v>
      </c>
      <c r="Q1456">
        <f>tblOrders[[#This Row],[TotalSales]]-tblOrders[[#This Row],[Calculated Sales]]</f>
        <v>0</v>
      </c>
    </row>
    <row r="1457" spans="1:17" x14ac:dyDescent="0.25">
      <c r="A1457">
        <v>1217</v>
      </c>
      <c r="B1457">
        <v>59</v>
      </c>
      <c r="C1457" t="str">
        <f>_xlfn.XLOOKUP(tblOrders[[#This Row],[CustomerID]],tblCustomers[CustomerID],tblCustomers[CustomerName],"not found")</f>
        <v>Rodney Rodriguez</v>
      </c>
      <c r="D1457">
        <f>_xlfn.XLOOKUP(tblOrders[[#This Row],[CustomerID]],tblCustomers[CustomerID],tblCustomers[Age],"not found")</f>
        <v>50</v>
      </c>
      <c r="E1457" t="str">
        <f>_xlfn.XLOOKUP(tblOrders[[#This Row],[CustomerID]],tblCustomers[CustomerID],tblCustomers[Gender],"not found")</f>
        <v>Male</v>
      </c>
      <c r="F1457" t="str">
        <f>_xlfn.XLOOKUP(tblOrders[[#This Row],[CustomerID]],tblCustomers[CustomerID],tblCustomers[Region],"not found")</f>
        <v>Central</v>
      </c>
      <c r="G1457">
        <v>1036</v>
      </c>
      <c r="H1457" t="str">
        <f>_xlfn.XLOOKUP(tblOrders[[#This Row],[ProductID]],tblProducts[ProductID],tblProducts[ProductName],"not found")</f>
        <v>Alone</v>
      </c>
      <c r="I1457" t="str">
        <f>_xlfn.XLOOKUP(tblOrders[[#This Row],[ProductID]],tblProducts[ProductID],tblProducts[Category],"not found")</f>
        <v>Toys</v>
      </c>
      <c r="J1457">
        <f>_xlfn.XLOOKUP(tblOrders[[#This Row],[ProductID]],tblProducts[ProductID],tblProducts[UnitPrice],"not found")</f>
        <v>226.7</v>
      </c>
      <c r="K1457" t="str">
        <f>_xlfn.XLOOKUP(tblOrders[[#This Row],[ProductID]],tblProducts[ProductID],tblProducts[Supplier],"not found")</f>
        <v>Curry Group</v>
      </c>
      <c r="L1457" s="1" t="s">
        <v>2381</v>
      </c>
      <c r="M14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44949</v>
      </c>
      <c r="N1457">
        <v>5</v>
      </c>
      <c r="O1457">
        <v>1133.5</v>
      </c>
      <c r="P1457">
        <f>tblOrders[[#This Row],[Quantity]]*tblOrders[[#This Row],[Unit Price]]</f>
        <v>1133.5</v>
      </c>
      <c r="Q1457">
        <f>tblOrders[[#This Row],[TotalSales]]-tblOrders[[#This Row],[Calculated Sales]]</f>
        <v>0</v>
      </c>
    </row>
    <row r="1458" spans="1:17" x14ac:dyDescent="0.25">
      <c r="A1458">
        <v>1238</v>
      </c>
      <c r="B1458">
        <v>605</v>
      </c>
      <c r="C1458" t="str">
        <f>_xlfn.XLOOKUP(tblOrders[[#This Row],[CustomerID]],tblCustomers[CustomerID],tblCustomers[CustomerName],"not found")</f>
        <v>Brent Nielsen</v>
      </c>
      <c r="D1458">
        <f>_xlfn.XLOOKUP(tblOrders[[#This Row],[CustomerID]],tblCustomers[CustomerID],tblCustomers[Age],"not found")</f>
        <v>61</v>
      </c>
      <c r="E1458" t="str">
        <f>_xlfn.XLOOKUP(tblOrders[[#This Row],[CustomerID]],tblCustomers[CustomerID],tblCustomers[Gender],"not found")</f>
        <v>Male</v>
      </c>
      <c r="F1458" t="str">
        <f>_xlfn.XLOOKUP(tblOrders[[#This Row],[CustomerID]],tblCustomers[CustomerID],tblCustomers[Region],"not found")</f>
        <v>South</v>
      </c>
      <c r="G1458">
        <v>1036</v>
      </c>
      <c r="H1458" t="str">
        <f>_xlfn.XLOOKUP(tblOrders[[#This Row],[ProductID]],tblProducts[ProductID],tblProducts[ProductName],"not found")</f>
        <v>Alone</v>
      </c>
      <c r="I1458" t="str">
        <f>_xlfn.XLOOKUP(tblOrders[[#This Row],[ProductID]],tblProducts[ProductID],tblProducts[Category],"not found")</f>
        <v>Toys</v>
      </c>
      <c r="J1458">
        <f>_xlfn.XLOOKUP(tblOrders[[#This Row],[ProductID]],tblProducts[ProductID],tblProducts[UnitPrice],"not found")</f>
        <v>226.7</v>
      </c>
      <c r="K1458" t="str">
        <f>_xlfn.XLOOKUP(tblOrders[[#This Row],[ProductID]],tblProducts[ProductID],tblProducts[Supplier],"not found")</f>
        <v>Curry Group</v>
      </c>
      <c r="L1458" s="1">
        <v>45115</v>
      </c>
      <c r="M14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45115</v>
      </c>
      <c r="N1458">
        <v>3</v>
      </c>
      <c r="O1458">
        <v>680.1</v>
      </c>
      <c r="P1458">
        <f>tblOrders[[#This Row],[Quantity]]*tblOrders[[#This Row],[Unit Price]]</f>
        <v>680.09999999999991</v>
      </c>
      <c r="Q1458">
        <f>tblOrders[[#This Row],[TotalSales]]-tblOrders[[#This Row],[Calculated Sales]]</f>
        <v>0</v>
      </c>
    </row>
    <row r="1459" spans="1:17" x14ac:dyDescent="0.25">
      <c r="A1459">
        <v>1682</v>
      </c>
      <c r="B1459">
        <v>598</v>
      </c>
      <c r="C1459" t="str">
        <f>_xlfn.XLOOKUP(tblOrders[[#This Row],[CustomerID]],tblCustomers[CustomerID],tblCustomers[CustomerName],"not found")</f>
        <v>Alfred Pierce</v>
      </c>
      <c r="D1459">
        <f>_xlfn.XLOOKUP(tblOrders[[#This Row],[CustomerID]],tblCustomers[CustomerID],tblCustomers[Age],"not found")</f>
        <v>51</v>
      </c>
      <c r="E1459" t="str">
        <f>_xlfn.XLOOKUP(tblOrders[[#This Row],[CustomerID]],tblCustomers[CustomerID],tblCustomers[Gender],"not found")</f>
        <v>Female</v>
      </c>
      <c r="F1459" t="str">
        <f>_xlfn.XLOOKUP(tblOrders[[#This Row],[CustomerID]],tblCustomers[CustomerID],tblCustomers[Region],"not found")</f>
        <v>East</v>
      </c>
      <c r="G1459">
        <v>1036</v>
      </c>
      <c r="H1459" t="str">
        <f>_xlfn.XLOOKUP(tblOrders[[#This Row],[ProductID]],tblProducts[ProductID],tblProducts[ProductName],"not found")</f>
        <v>Alone</v>
      </c>
      <c r="I1459" t="str">
        <f>_xlfn.XLOOKUP(tblOrders[[#This Row],[ProductID]],tblProducts[ProductID],tblProducts[Category],"not found")</f>
        <v>Toys</v>
      </c>
      <c r="J1459">
        <f>_xlfn.XLOOKUP(tblOrders[[#This Row],[ProductID]],tblProducts[ProductID],tblProducts[UnitPrice],"not found")</f>
        <v>226.7</v>
      </c>
      <c r="K1459" t="str">
        <f>_xlfn.XLOOKUP(tblOrders[[#This Row],[ProductID]],tblProducts[ProductID],tblProducts[Supplier],"not found")</f>
        <v>Curry Group</v>
      </c>
      <c r="L1459" s="1" t="s">
        <v>2303</v>
      </c>
      <c r="M14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45583</v>
      </c>
      <c r="N1459">
        <v>7</v>
      </c>
      <c r="O1459">
        <v>1586.9</v>
      </c>
      <c r="P1459">
        <f>tblOrders[[#This Row],[Quantity]]*tblOrders[[#This Row],[Unit Price]]</f>
        <v>1586.8999999999999</v>
      </c>
      <c r="Q1459">
        <f>tblOrders[[#This Row],[TotalSales]]-tblOrders[[#This Row],[Calculated Sales]]</f>
        <v>0</v>
      </c>
    </row>
    <row r="1460" spans="1:17" x14ac:dyDescent="0.25">
      <c r="A1460">
        <v>1760</v>
      </c>
      <c r="B1460">
        <v>591</v>
      </c>
      <c r="C1460" t="str">
        <f>_xlfn.XLOOKUP(tblOrders[[#This Row],[CustomerID]],tblCustomers[CustomerID],tblCustomers[CustomerName],"not found")</f>
        <v>David Crawford</v>
      </c>
      <c r="D1460">
        <f>_xlfn.XLOOKUP(tblOrders[[#This Row],[CustomerID]],tblCustomers[CustomerID],tblCustomers[Age],"not found")</f>
        <v>52</v>
      </c>
      <c r="E1460" t="str">
        <f>_xlfn.XLOOKUP(tblOrders[[#This Row],[CustomerID]],tblCustomers[CustomerID],tblCustomers[Gender],"not found")</f>
        <v>Male</v>
      </c>
      <c r="F1460" t="str">
        <f>_xlfn.XLOOKUP(tblOrders[[#This Row],[CustomerID]],tblCustomers[CustomerID],tblCustomers[Region],"not found")</f>
        <v>North</v>
      </c>
      <c r="G1460">
        <v>1036</v>
      </c>
      <c r="H1460" t="str">
        <f>_xlfn.XLOOKUP(tblOrders[[#This Row],[ProductID]],tblProducts[ProductID],tblProducts[ProductName],"not found")</f>
        <v>Alone</v>
      </c>
      <c r="I1460" t="str">
        <f>_xlfn.XLOOKUP(tblOrders[[#This Row],[ProductID]],tblProducts[ProductID],tblProducts[Category],"not found")</f>
        <v>Toys</v>
      </c>
      <c r="J1460">
        <f>_xlfn.XLOOKUP(tblOrders[[#This Row],[ProductID]],tblProducts[ProductID],tblProducts[UnitPrice],"not found")</f>
        <v>226.7</v>
      </c>
      <c r="K1460" t="str">
        <f>_xlfn.XLOOKUP(tblOrders[[#This Row],[ProductID]],tblProducts[ProductID],tblProducts[Supplier],"not found")</f>
        <v>Curry Group</v>
      </c>
      <c r="L1460" s="1" t="s">
        <v>2392</v>
      </c>
      <c r="M14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44946</v>
      </c>
      <c r="N1460">
        <v>6</v>
      </c>
      <c r="O1460">
        <v>1360.2</v>
      </c>
      <c r="P1460">
        <f>tblOrders[[#This Row],[Quantity]]*tblOrders[[#This Row],[Unit Price]]</f>
        <v>1360.1999999999998</v>
      </c>
      <c r="Q1460">
        <f>tblOrders[[#This Row],[TotalSales]]-tblOrders[[#This Row],[Calculated Sales]]</f>
        <v>0</v>
      </c>
    </row>
    <row r="1461" spans="1:17" x14ac:dyDescent="0.25">
      <c r="A1461">
        <v>1777</v>
      </c>
      <c r="B1461">
        <v>261</v>
      </c>
      <c r="C1461" t="str">
        <f>_xlfn.XLOOKUP(tblOrders[[#This Row],[CustomerID]],tblCustomers[CustomerID],tblCustomers[CustomerName],"not found")</f>
        <v>Tammy Gomez</v>
      </c>
      <c r="D1461">
        <f>_xlfn.XLOOKUP(tblOrders[[#This Row],[CustomerID]],tblCustomers[CustomerID],tblCustomers[Age],"not found")</f>
        <v>30</v>
      </c>
      <c r="E1461" t="str">
        <f>_xlfn.XLOOKUP(tblOrders[[#This Row],[CustomerID]],tblCustomers[CustomerID],tblCustomers[Gender],"not found")</f>
        <v>Male</v>
      </c>
      <c r="F1461" t="str">
        <f>_xlfn.XLOOKUP(tblOrders[[#This Row],[CustomerID]],tblCustomers[CustomerID],tblCustomers[Region],"not found")</f>
        <v>Central</v>
      </c>
      <c r="G1461">
        <v>1036</v>
      </c>
      <c r="H1461" t="str">
        <f>_xlfn.XLOOKUP(tblOrders[[#This Row],[ProductID]],tblProducts[ProductID],tblProducts[ProductName],"not found")</f>
        <v>Alone</v>
      </c>
      <c r="I1461" t="str">
        <f>_xlfn.XLOOKUP(tblOrders[[#This Row],[ProductID]],tblProducts[ProductID],tblProducts[Category],"not found")</f>
        <v>Toys</v>
      </c>
      <c r="J1461">
        <f>_xlfn.XLOOKUP(tblOrders[[#This Row],[ProductID]],tblProducts[ProductID],tblProducts[UnitPrice],"not found")</f>
        <v>226.7</v>
      </c>
      <c r="K1461" t="str">
        <f>_xlfn.XLOOKUP(tblOrders[[#This Row],[ProductID]],tblProducts[ProductID],tblProducts[Supplier],"not found")</f>
        <v>Curry Group</v>
      </c>
      <c r="L1461" s="1">
        <v>45021</v>
      </c>
      <c r="M14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45021</v>
      </c>
      <c r="N1461">
        <v>1</v>
      </c>
      <c r="O1461">
        <v>226.7</v>
      </c>
      <c r="P1461">
        <f>tblOrders[[#This Row],[Quantity]]*tblOrders[[#This Row],[Unit Price]]</f>
        <v>226.7</v>
      </c>
      <c r="Q1461">
        <f>tblOrders[[#This Row],[TotalSales]]-tblOrders[[#This Row],[Calculated Sales]]</f>
        <v>0</v>
      </c>
    </row>
    <row r="1462" spans="1:17" x14ac:dyDescent="0.25">
      <c r="A1462">
        <v>1925</v>
      </c>
      <c r="B1462">
        <v>541</v>
      </c>
      <c r="C1462" t="str">
        <f>_xlfn.XLOOKUP(tblOrders[[#This Row],[CustomerID]],tblCustomers[CustomerID],tblCustomers[CustomerName],"not found")</f>
        <v>Ashley Ho</v>
      </c>
      <c r="D1462">
        <f>_xlfn.XLOOKUP(tblOrders[[#This Row],[CustomerID]],tblCustomers[CustomerID],tblCustomers[Age],"not found")</f>
        <v>28</v>
      </c>
      <c r="E1462" t="str">
        <f>_xlfn.XLOOKUP(tblOrders[[#This Row],[CustomerID]],tblCustomers[CustomerID],tblCustomers[Gender],"not found")</f>
        <v>Female</v>
      </c>
      <c r="F1462" t="str">
        <f>_xlfn.XLOOKUP(tblOrders[[#This Row],[CustomerID]],tblCustomers[CustomerID],tblCustomers[Region],"not found")</f>
        <v>East</v>
      </c>
      <c r="G1462">
        <v>1036</v>
      </c>
      <c r="H1462" t="str">
        <f>_xlfn.XLOOKUP(tblOrders[[#This Row],[ProductID]],tblProducts[ProductID],tblProducts[ProductName],"not found")</f>
        <v>Alone</v>
      </c>
      <c r="I1462" t="str">
        <f>_xlfn.XLOOKUP(tblOrders[[#This Row],[ProductID]],tblProducts[ProductID],tblProducts[Category],"not found")</f>
        <v>Toys</v>
      </c>
      <c r="J1462">
        <f>_xlfn.XLOOKUP(tblOrders[[#This Row],[ProductID]],tblProducts[ProductID],tblProducts[UnitPrice],"not found")</f>
        <v>226.7</v>
      </c>
      <c r="K1462" t="str">
        <f>_xlfn.XLOOKUP(tblOrders[[#This Row],[ProductID]],tblProducts[ProductID],tblProducts[Supplier],"not found")</f>
        <v>Curry Group</v>
      </c>
      <c r="L1462" s="1">
        <v>45449</v>
      </c>
      <c r="M14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45449</v>
      </c>
      <c r="N1462">
        <v>6</v>
      </c>
      <c r="O1462">
        <v>1360.2</v>
      </c>
      <c r="P1462">
        <f>tblOrders[[#This Row],[Quantity]]*tblOrders[[#This Row],[Unit Price]]</f>
        <v>1360.1999999999998</v>
      </c>
      <c r="Q1462">
        <f>tblOrders[[#This Row],[TotalSales]]-tblOrders[[#This Row],[Calculated Sales]]</f>
        <v>0</v>
      </c>
    </row>
    <row r="1463" spans="1:17" x14ac:dyDescent="0.25">
      <c r="A1463">
        <v>108</v>
      </c>
      <c r="B1463">
        <v>307</v>
      </c>
      <c r="C1463" t="str">
        <f>_xlfn.XLOOKUP(tblOrders[[#This Row],[CustomerID]],tblCustomers[CustomerID],tblCustomers[CustomerName],"not found")</f>
        <v>Theresa Edwards</v>
      </c>
      <c r="D1463">
        <f>_xlfn.XLOOKUP(tblOrders[[#This Row],[CustomerID]],tblCustomers[CustomerID],tblCustomers[Age],"not found")</f>
        <v>20</v>
      </c>
      <c r="E1463" t="str">
        <f>_xlfn.XLOOKUP(tblOrders[[#This Row],[CustomerID]],tblCustomers[CustomerID],tblCustomers[Gender],"not found")</f>
        <v>Male</v>
      </c>
      <c r="F1463" t="str">
        <f>_xlfn.XLOOKUP(tblOrders[[#This Row],[CustomerID]],tblCustomers[CustomerID],tblCustomers[Region],"not found")</f>
        <v>South</v>
      </c>
      <c r="G1463">
        <v>1060</v>
      </c>
      <c r="H1463" t="str">
        <f>_xlfn.XLOOKUP(tblOrders[[#This Row],[ProductID]],tblProducts[ProductID],tblProducts[ProductName],"not found")</f>
        <v>Clearly</v>
      </c>
      <c r="I1463" t="str">
        <f>_xlfn.XLOOKUP(tblOrders[[#This Row],[ProductID]],tblProducts[ProductID],tblProducts[Category],"not found")</f>
        <v>Toys</v>
      </c>
      <c r="J1463">
        <f>_xlfn.XLOOKUP(tblOrders[[#This Row],[ProductID]],tblProducts[ProductID],tblProducts[UnitPrice],"not found")</f>
        <v>66.709999999999994</v>
      </c>
      <c r="K1463" t="str">
        <f>_xlfn.XLOOKUP(tblOrders[[#This Row],[ProductID]],tblProducts[ProductID],tblProducts[Supplier],"not found")</f>
        <v>Meyer, Gutierrez and Howard</v>
      </c>
      <c r="L1463" s="1" t="s">
        <v>2245</v>
      </c>
      <c r="M14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45425</v>
      </c>
      <c r="N1463">
        <v>4</v>
      </c>
      <c r="O1463">
        <v>266.83999999999997</v>
      </c>
      <c r="P1463">
        <f>tblOrders[[#This Row],[Quantity]]*tblOrders[[#This Row],[Unit Price]]</f>
        <v>266.83999999999997</v>
      </c>
      <c r="Q1463">
        <f>tblOrders[[#This Row],[TotalSales]]-tblOrders[[#This Row],[Calculated Sales]]</f>
        <v>0</v>
      </c>
    </row>
    <row r="1464" spans="1:17" x14ac:dyDescent="0.25">
      <c r="A1464">
        <v>161</v>
      </c>
      <c r="B1464">
        <v>943</v>
      </c>
      <c r="C1464" t="str">
        <f>_xlfn.XLOOKUP(tblOrders[[#This Row],[CustomerID]],tblCustomers[CustomerID],tblCustomers[CustomerName],"not found")</f>
        <v>Reginald Velasquez</v>
      </c>
      <c r="D1464">
        <f>_xlfn.XLOOKUP(tblOrders[[#This Row],[CustomerID]],tblCustomers[CustomerID],tblCustomers[Age],"not found")</f>
        <v>42</v>
      </c>
      <c r="E1464" t="str">
        <f>_xlfn.XLOOKUP(tblOrders[[#This Row],[CustomerID]],tblCustomers[CustomerID],tblCustomers[Gender],"not found")</f>
        <v>Female</v>
      </c>
      <c r="F1464" t="str">
        <f>_xlfn.XLOOKUP(tblOrders[[#This Row],[CustomerID]],tblCustomers[CustomerID],tblCustomers[Region],"not found")</f>
        <v>North</v>
      </c>
      <c r="G1464">
        <v>1060</v>
      </c>
      <c r="H1464" t="str">
        <f>_xlfn.XLOOKUP(tblOrders[[#This Row],[ProductID]],tblProducts[ProductID],tblProducts[ProductName],"not found")</f>
        <v>Clearly</v>
      </c>
      <c r="I1464" t="str">
        <f>_xlfn.XLOOKUP(tblOrders[[#This Row],[ProductID]],tblProducts[ProductID],tblProducts[Category],"not found")</f>
        <v>Toys</v>
      </c>
      <c r="J1464">
        <f>_xlfn.XLOOKUP(tblOrders[[#This Row],[ProductID]],tblProducts[ProductID],tblProducts[UnitPrice],"not found")</f>
        <v>66.709999999999994</v>
      </c>
      <c r="K1464" t="str">
        <f>_xlfn.XLOOKUP(tblOrders[[#This Row],[ProductID]],tblProducts[ProductID],tblProducts[Supplier],"not found")</f>
        <v>Meyer, Gutierrez and Howard</v>
      </c>
      <c r="L1464" s="1">
        <v>45078</v>
      </c>
      <c r="M14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45078</v>
      </c>
      <c r="N1464">
        <v>5</v>
      </c>
      <c r="O1464">
        <v>333.55</v>
      </c>
      <c r="P1464">
        <f>tblOrders[[#This Row],[Quantity]]*tblOrders[[#This Row],[Unit Price]]</f>
        <v>333.54999999999995</v>
      </c>
      <c r="Q1464">
        <f>tblOrders[[#This Row],[TotalSales]]-tblOrders[[#This Row],[Calculated Sales]]</f>
        <v>0</v>
      </c>
    </row>
    <row r="1465" spans="1:17" x14ac:dyDescent="0.25">
      <c r="A1465">
        <v>367</v>
      </c>
      <c r="B1465">
        <v>151</v>
      </c>
      <c r="C1465" t="str">
        <f>_xlfn.XLOOKUP(tblOrders[[#This Row],[CustomerID]],tblCustomers[CustomerID],tblCustomers[CustomerName],"not found")</f>
        <v>David Page</v>
      </c>
      <c r="D1465">
        <f>_xlfn.XLOOKUP(tblOrders[[#This Row],[CustomerID]],tblCustomers[CustomerID],tblCustomers[Age],"not found")</f>
        <v>60</v>
      </c>
      <c r="E1465" t="str">
        <f>_xlfn.XLOOKUP(tblOrders[[#This Row],[CustomerID]],tblCustomers[CustomerID],tblCustomers[Gender],"not found")</f>
        <v>Female</v>
      </c>
      <c r="F1465" t="str">
        <f>_xlfn.XLOOKUP(tblOrders[[#This Row],[CustomerID]],tblCustomers[CustomerID],tblCustomers[Region],"not found")</f>
        <v>South</v>
      </c>
      <c r="G1465">
        <v>1060</v>
      </c>
      <c r="H1465" t="str">
        <f>_xlfn.XLOOKUP(tblOrders[[#This Row],[ProductID]],tblProducts[ProductID],tblProducts[ProductName],"not found")</f>
        <v>Clearly</v>
      </c>
      <c r="I1465" t="str">
        <f>_xlfn.XLOOKUP(tblOrders[[#This Row],[ProductID]],tblProducts[ProductID],tblProducts[Category],"not found")</f>
        <v>Toys</v>
      </c>
      <c r="J1465">
        <f>_xlfn.XLOOKUP(tblOrders[[#This Row],[ProductID]],tblProducts[ProductID],tblProducts[UnitPrice],"not found")</f>
        <v>66.709999999999994</v>
      </c>
      <c r="K1465" t="str">
        <f>_xlfn.XLOOKUP(tblOrders[[#This Row],[ProductID]],tblProducts[ProductID],tblProducts[Supplier],"not found")</f>
        <v>Meyer, Gutierrez and Howard</v>
      </c>
      <c r="L1465" s="1" t="s">
        <v>2232</v>
      </c>
      <c r="M14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45151</v>
      </c>
      <c r="N1465">
        <v>4</v>
      </c>
      <c r="O1465">
        <v>266.83999999999997</v>
      </c>
      <c r="P1465">
        <f>tblOrders[[#This Row],[Quantity]]*tblOrders[[#This Row],[Unit Price]]</f>
        <v>266.83999999999997</v>
      </c>
      <c r="Q1465">
        <f>tblOrders[[#This Row],[TotalSales]]-tblOrders[[#This Row],[Calculated Sales]]</f>
        <v>0</v>
      </c>
    </row>
    <row r="1466" spans="1:17" x14ac:dyDescent="0.25">
      <c r="A1466">
        <v>383</v>
      </c>
      <c r="B1466">
        <v>355</v>
      </c>
      <c r="C1466" t="str">
        <f>_xlfn.XLOOKUP(tblOrders[[#This Row],[CustomerID]],tblCustomers[CustomerID],tblCustomers[CustomerName],"not found")</f>
        <v>Thomas Bush</v>
      </c>
      <c r="D1466">
        <f>_xlfn.XLOOKUP(tblOrders[[#This Row],[CustomerID]],tblCustomers[CustomerID],tblCustomers[Age],"not found")</f>
        <v>36</v>
      </c>
      <c r="E1466" t="str">
        <f>_xlfn.XLOOKUP(tblOrders[[#This Row],[CustomerID]],tblCustomers[CustomerID],tblCustomers[Gender],"not found")</f>
        <v>Female</v>
      </c>
      <c r="F1466" t="str">
        <f>_xlfn.XLOOKUP(tblOrders[[#This Row],[CustomerID]],tblCustomers[CustomerID],tblCustomers[Region],"not found")</f>
        <v>Central</v>
      </c>
      <c r="G1466">
        <v>1060</v>
      </c>
      <c r="H1466" t="str">
        <f>_xlfn.XLOOKUP(tblOrders[[#This Row],[ProductID]],tblProducts[ProductID],tblProducts[ProductName],"not found")</f>
        <v>Clearly</v>
      </c>
      <c r="I1466" t="str">
        <f>_xlfn.XLOOKUP(tblOrders[[#This Row],[ProductID]],tblProducts[ProductID],tblProducts[Category],"not found")</f>
        <v>Toys</v>
      </c>
      <c r="J1466">
        <f>_xlfn.XLOOKUP(tblOrders[[#This Row],[ProductID]],tblProducts[ProductID],tblProducts[UnitPrice],"not found")</f>
        <v>66.709999999999994</v>
      </c>
      <c r="K1466" t="str">
        <f>_xlfn.XLOOKUP(tblOrders[[#This Row],[ProductID]],tblProducts[ProductID],tblProducts[Supplier],"not found")</f>
        <v>Meyer, Gutierrez and Howard</v>
      </c>
      <c r="L1466" s="1" t="s">
        <v>2231</v>
      </c>
      <c r="M14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45587</v>
      </c>
      <c r="N1466">
        <v>3</v>
      </c>
      <c r="O1466">
        <v>200.13</v>
      </c>
      <c r="P1466">
        <f>tblOrders[[#This Row],[Quantity]]*tblOrders[[#This Row],[Unit Price]]</f>
        <v>200.13</v>
      </c>
      <c r="Q1466">
        <f>tblOrders[[#This Row],[TotalSales]]-tblOrders[[#This Row],[Calculated Sales]]</f>
        <v>0</v>
      </c>
    </row>
    <row r="1467" spans="1:17" x14ac:dyDescent="0.25">
      <c r="A1467">
        <v>433</v>
      </c>
      <c r="B1467">
        <v>534</v>
      </c>
      <c r="C1467" t="str">
        <f>_xlfn.XLOOKUP(tblOrders[[#This Row],[CustomerID]],tblCustomers[CustomerID],tblCustomers[CustomerName],"not found")</f>
        <v>Brett Solis</v>
      </c>
      <c r="D1467">
        <f>_xlfn.XLOOKUP(tblOrders[[#This Row],[CustomerID]],tblCustomers[CustomerID],tblCustomers[Age],"not found")</f>
        <v>33</v>
      </c>
      <c r="E1467" t="str">
        <f>_xlfn.XLOOKUP(tblOrders[[#This Row],[CustomerID]],tblCustomers[CustomerID],tblCustomers[Gender],"not found")</f>
        <v>Male</v>
      </c>
      <c r="F1467" t="str">
        <f>_xlfn.XLOOKUP(tblOrders[[#This Row],[CustomerID]],tblCustomers[CustomerID],tblCustomers[Region],"not found")</f>
        <v>West</v>
      </c>
      <c r="G1467">
        <v>1060</v>
      </c>
      <c r="H1467" t="str">
        <f>_xlfn.XLOOKUP(tblOrders[[#This Row],[ProductID]],tblProducts[ProductID],tblProducts[ProductName],"not found")</f>
        <v>Clearly</v>
      </c>
      <c r="I1467" t="str">
        <f>_xlfn.XLOOKUP(tblOrders[[#This Row],[ProductID]],tblProducts[ProductID],tblProducts[Category],"not found")</f>
        <v>Toys</v>
      </c>
      <c r="J1467">
        <f>_xlfn.XLOOKUP(tblOrders[[#This Row],[ProductID]],tblProducts[ProductID],tblProducts[UnitPrice],"not found")</f>
        <v>66.709999999999994</v>
      </c>
      <c r="K1467" t="str">
        <f>_xlfn.XLOOKUP(tblOrders[[#This Row],[ProductID]],tblProducts[ProductID],tblProducts[Supplier],"not found")</f>
        <v>Meyer, Gutierrez and Howard</v>
      </c>
      <c r="L1467" s="1">
        <v>45513</v>
      </c>
      <c r="M14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45513</v>
      </c>
      <c r="N1467">
        <v>1</v>
      </c>
      <c r="O1467">
        <v>66.709999999999994</v>
      </c>
      <c r="P1467">
        <f>tblOrders[[#This Row],[Quantity]]*tblOrders[[#This Row],[Unit Price]]</f>
        <v>66.709999999999994</v>
      </c>
      <c r="Q1467">
        <f>tblOrders[[#This Row],[TotalSales]]-tblOrders[[#This Row],[Calculated Sales]]</f>
        <v>0</v>
      </c>
    </row>
    <row r="1468" spans="1:17" x14ac:dyDescent="0.25">
      <c r="A1468">
        <v>437</v>
      </c>
      <c r="B1468">
        <v>155</v>
      </c>
      <c r="C1468" t="str">
        <f>_xlfn.XLOOKUP(tblOrders[[#This Row],[CustomerID]],tblCustomers[CustomerID],tblCustomers[CustomerName],"not found")</f>
        <v>Theresa Johnson</v>
      </c>
      <c r="D1468">
        <f>_xlfn.XLOOKUP(tblOrders[[#This Row],[CustomerID]],tblCustomers[CustomerID],tblCustomers[Age],"not found")</f>
        <v>50</v>
      </c>
      <c r="E1468" t="str">
        <f>_xlfn.XLOOKUP(tblOrders[[#This Row],[CustomerID]],tblCustomers[CustomerID],tblCustomers[Gender],"not found")</f>
        <v>Female</v>
      </c>
      <c r="F1468" t="str">
        <f>_xlfn.XLOOKUP(tblOrders[[#This Row],[CustomerID]],tblCustomers[CustomerID],tblCustomers[Region],"not found")</f>
        <v>East</v>
      </c>
      <c r="G1468">
        <v>1060</v>
      </c>
      <c r="H1468" t="str">
        <f>_xlfn.XLOOKUP(tblOrders[[#This Row],[ProductID]],tblProducts[ProductID],tblProducts[ProductName],"not found")</f>
        <v>Clearly</v>
      </c>
      <c r="I1468" t="str">
        <f>_xlfn.XLOOKUP(tblOrders[[#This Row],[ProductID]],tblProducts[ProductID],tblProducts[Category],"not found")</f>
        <v>Toys</v>
      </c>
      <c r="J1468">
        <f>_xlfn.XLOOKUP(tblOrders[[#This Row],[ProductID]],tblProducts[ProductID],tblProducts[UnitPrice],"not found")</f>
        <v>66.709999999999994</v>
      </c>
      <c r="K1468" t="str">
        <f>_xlfn.XLOOKUP(tblOrders[[#This Row],[ProductID]],tblProducts[ProductID],tblProducts[Supplier],"not found")</f>
        <v>Meyer, Gutierrez and Howard</v>
      </c>
      <c r="L1468" s="1" t="s">
        <v>2393</v>
      </c>
      <c r="M14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45076</v>
      </c>
      <c r="N1468">
        <v>1</v>
      </c>
      <c r="O1468">
        <v>66.709999999999994</v>
      </c>
      <c r="P1468">
        <f>tblOrders[[#This Row],[Quantity]]*tblOrders[[#This Row],[Unit Price]]</f>
        <v>66.709999999999994</v>
      </c>
      <c r="Q1468">
        <f>tblOrders[[#This Row],[TotalSales]]-tblOrders[[#This Row],[Calculated Sales]]</f>
        <v>0</v>
      </c>
    </row>
    <row r="1469" spans="1:17" x14ac:dyDescent="0.25">
      <c r="A1469">
        <v>490</v>
      </c>
      <c r="B1469">
        <v>892</v>
      </c>
      <c r="C1469" t="str">
        <f>_xlfn.XLOOKUP(tblOrders[[#This Row],[CustomerID]],tblCustomers[CustomerID],tblCustomers[CustomerName],"not found")</f>
        <v>Andrea Barnes</v>
      </c>
      <c r="D1469">
        <f>_xlfn.XLOOKUP(tblOrders[[#This Row],[CustomerID]],tblCustomers[CustomerID],tblCustomers[Age],"not found")</f>
        <v>34</v>
      </c>
      <c r="E1469" t="str">
        <f>_xlfn.XLOOKUP(tblOrders[[#This Row],[CustomerID]],tblCustomers[CustomerID],tblCustomers[Gender],"not found")</f>
        <v>Female</v>
      </c>
      <c r="F1469" t="str">
        <f>_xlfn.XLOOKUP(tblOrders[[#This Row],[CustomerID]],tblCustomers[CustomerID],tblCustomers[Region],"not found")</f>
        <v>South</v>
      </c>
      <c r="G1469">
        <v>1060</v>
      </c>
      <c r="H1469" t="str">
        <f>_xlfn.XLOOKUP(tblOrders[[#This Row],[ProductID]],tblProducts[ProductID],tblProducts[ProductName],"not found")</f>
        <v>Clearly</v>
      </c>
      <c r="I1469" t="str">
        <f>_xlfn.XLOOKUP(tblOrders[[#This Row],[ProductID]],tblProducts[ProductID],tblProducts[Category],"not found")</f>
        <v>Toys</v>
      </c>
      <c r="J1469">
        <f>_xlfn.XLOOKUP(tblOrders[[#This Row],[ProductID]],tblProducts[ProductID],tblProducts[UnitPrice],"not found")</f>
        <v>66.709999999999994</v>
      </c>
      <c r="K1469" t="str">
        <f>_xlfn.XLOOKUP(tblOrders[[#This Row],[ProductID]],tblProducts[ProductID],tblProducts[Supplier],"not found")</f>
        <v>Meyer, Gutierrez and Howard</v>
      </c>
      <c r="L1469" s="1">
        <v>45508</v>
      </c>
      <c r="M14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45508</v>
      </c>
      <c r="N1469">
        <v>6</v>
      </c>
      <c r="O1469">
        <v>400.26</v>
      </c>
      <c r="P1469">
        <f>tblOrders[[#This Row],[Quantity]]*tblOrders[[#This Row],[Unit Price]]</f>
        <v>400.26</v>
      </c>
      <c r="Q1469">
        <f>tblOrders[[#This Row],[TotalSales]]-tblOrders[[#This Row],[Calculated Sales]]</f>
        <v>0</v>
      </c>
    </row>
    <row r="1470" spans="1:17" x14ac:dyDescent="0.25">
      <c r="A1470">
        <v>671</v>
      </c>
      <c r="B1470">
        <v>883</v>
      </c>
      <c r="C1470" t="str">
        <f>_xlfn.XLOOKUP(tblOrders[[#This Row],[CustomerID]],tblCustomers[CustomerID],tblCustomers[CustomerName],"not found")</f>
        <v>Madison Wilson</v>
      </c>
      <c r="D1470">
        <f>_xlfn.XLOOKUP(tblOrders[[#This Row],[CustomerID]],tblCustomers[CustomerID],tblCustomers[Age],"not found")</f>
        <v>66</v>
      </c>
      <c r="E1470" t="str">
        <f>_xlfn.XLOOKUP(tblOrders[[#This Row],[CustomerID]],tblCustomers[CustomerID],tblCustomers[Gender],"not found")</f>
        <v>Male</v>
      </c>
      <c r="F1470" t="str">
        <f>_xlfn.XLOOKUP(tblOrders[[#This Row],[CustomerID]],tblCustomers[CustomerID],tblCustomers[Region],"not found")</f>
        <v>Central</v>
      </c>
      <c r="G1470">
        <v>1060</v>
      </c>
      <c r="H1470" t="str">
        <f>_xlfn.XLOOKUP(tblOrders[[#This Row],[ProductID]],tblProducts[ProductID],tblProducts[ProductName],"not found")</f>
        <v>Clearly</v>
      </c>
      <c r="I1470" t="str">
        <f>_xlfn.XLOOKUP(tblOrders[[#This Row],[ProductID]],tblProducts[ProductID],tblProducts[Category],"not found")</f>
        <v>Toys</v>
      </c>
      <c r="J1470">
        <f>_xlfn.XLOOKUP(tblOrders[[#This Row],[ProductID]],tblProducts[ProductID],tblProducts[UnitPrice],"not found")</f>
        <v>66.709999999999994</v>
      </c>
      <c r="K1470" t="str">
        <f>_xlfn.XLOOKUP(tblOrders[[#This Row],[ProductID]],tblProducts[ProductID],tblProducts[Supplier],"not found")</f>
        <v>Meyer, Gutierrez and Howard</v>
      </c>
      <c r="L1470" s="1">
        <v>45415</v>
      </c>
      <c r="M14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45415</v>
      </c>
      <c r="N1470">
        <v>8</v>
      </c>
      <c r="O1470">
        <v>533.67999999999995</v>
      </c>
      <c r="P1470">
        <f>tblOrders[[#This Row],[Quantity]]*tblOrders[[#This Row],[Unit Price]]</f>
        <v>533.67999999999995</v>
      </c>
      <c r="Q1470">
        <f>tblOrders[[#This Row],[TotalSales]]-tblOrders[[#This Row],[Calculated Sales]]</f>
        <v>0</v>
      </c>
    </row>
    <row r="1471" spans="1:17" x14ac:dyDescent="0.25">
      <c r="A1471">
        <v>740</v>
      </c>
      <c r="B1471">
        <v>695</v>
      </c>
      <c r="C1471" t="str">
        <f>_xlfn.XLOOKUP(tblOrders[[#This Row],[CustomerID]],tblCustomers[CustomerID],tblCustomers[CustomerName],"not found")</f>
        <v>Melissa Torres</v>
      </c>
      <c r="D1471">
        <f>_xlfn.XLOOKUP(tblOrders[[#This Row],[CustomerID]],tblCustomers[CustomerID],tblCustomers[Age],"not found")</f>
        <v>20</v>
      </c>
      <c r="E1471" t="str">
        <f>_xlfn.XLOOKUP(tblOrders[[#This Row],[CustomerID]],tblCustomers[CustomerID],tblCustomers[Gender],"not found")</f>
        <v>Male</v>
      </c>
      <c r="F1471" t="str">
        <f>_xlfn.XLOOKUP(tblOrders[[#This Row],[CustomerID]],tblCustomers[CustomerID],tblCustomers[Region],"not found")</f>
        <v>East</v>
      </c>
      <c r="G1471">
        <v>1060</v>
      </c>
      <c r="H1471" t="str">
        <f>_xlfn.XLOOKUP(tblOrders[[#This Row],[ProductID]],tblProducts[ProductID],tblProducts[ProductName],"not found")</f>
        <v>Clearly</v>
      </c>
      <c r="I1471" t="str">
        <f>_xlfn.XLOOKUP(tblOrders[[#This Row],[ProductID]],tblProducts[ProductID],tblProducts[Category],"not found")</f>
        <v>Toys</v>
      </c>
      <c r="J1471">
        <f>_xlfn.XLOOKUP(tblOrders[[#This Row],[ProductID]],tblProducts[ProductID],tblProducts[UnitPrice],"not found")</f>
        <v>66.709999999999994</v>
      </c>
      <c r="K1471" t="str">
        <f>_xlfn.XLOOKUP(tblOrders[[#This Row],[ProductID]],tblProducts[ProductID],tblProducts[Supplier],"not found")</f>
        <v>Meyer, Gutierrez and Howard</v>
      </c>
      <c r="L1471" s="1" t="s">
        <v>2160</v>
      </c>
      <c r="M14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44955</v>
      </c>
      <c r="N1471">
        <v>6</v>
      </c>
      <c r="O1471">
        <v>400.26</v>
      </c>
      <c r="P1471">
        <f>tblOrders[[#This Row],[Quantity]]*tblOrders[[#This Row],[Unit Price]]</f>
        <v>400.26</v>
      </c>
      <c r="Q1471">
        <f>tblOrders[[#This Row],[TotalSales]]-tblOrders[[#This Row],[Calculated Sales]]</f>
        <v>0</v>
      </c>
    </row>
    <row r="1472" spans="1:17" x14ac:dyDescent="0.25">
      <c r="A1472">
        <v>1020</v>
      </c>
      <c r="B1472">
        <v>934</v>
      </c>
      <c r="C1472" t="str">
        <f>_xlfn.XLOOKUP(tblOrders[[#This Row],[CustomerID]],tblCustomers[CustomerID],tblCustomers[CustomerName],"not found")</f>
        <v>Michael Sanchez</v>
      </c>
      <c r="D1472">
        <f>_xlfn.XLOOKUP(tblOrders[[#This Row],[CustomerID]],tblCustomers[CustomerID],tblCustomers[Age],"not found")</f>
        <v>56</v>
      </c>
      <c r="E1472" t="str">
        <f>_xlfn.XLOOKUP(tblOrders[[#This Row],[CustomerID]],tblCustomers[CustomerID],tblCustomers[Gender],"not found")</f>
        <v>Female</v>
      </c>
      <c r="F1472" t="str">
        <f>_xlfn.XLOOKUP(tblOrders[[#This Row],[CustomerID]],tblCustomers[CustomerID],tblCustomers[Region],"not found")</f>
        <v>West</v>
      </c>
      <c r="G1472">
        <v>1060</v>
      </c>
      <c r="H1472" t="str">
        <f>_xlfn.XLOOKUP(tblOrders[[#This Row],[ProductID]],tblProducts[ProductID],tblProducts[ProductName],"not found")</f>
        <v>Clearly</v>
      </c>
      <c r="I1472" t="str">
        <f>_xlfn.XLOOKUP(tblOrders[[#This Row],[ProductID]],tblProducts[ProductID],tblProducts[Category],"not found")</f>
        <v>Toys</v>
      </c>
      <c r="J1472">
        <f>_xlfn.XLOOKUP(tblOrders[[#This Row],[ProductID]],tblProducts[ProductID],tblProducts[UnitPrice],"not found")</f>
        <v>66.709999999999994</v>
      </c>
      <c r="K1472" t="str">
        <f>_xlfn.XLOOKUP(tblOrders[[#This Row],[ProductID]],tblProducts[ProductID],tblProducts[Supplier],"not found")</f>
        <v>Meyer, Gutierrez and Howard</v>
      </c>
      <c r="L1472" s="1">
        <v>44937</v>
      </c>
      <c r="M14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1472">
        <v>8</v>
      </c>
      <c r="O1472">
        <v>533.67999999999995</v>
      </c>
      <c r="P1472">
        <f>tblOrders[[#This Row],[Quantity]]*tblOrders[[#This Row],[Unit Price]]</f>
        <v>533.67999999999995</v>
      </c>
      <c r="Q1472">
        <f>tblOrders[[#This Row],[TotalSales]]-tblOrders[[#This Row],[Calculated Sales]]</f>
        <v>0</v>
      </c>
    </row>
    <row r="1473" spans="1:17" x14ac:dyDescent="0.25">
      <c r="A1473">
        <v>1146</v>
      </c>
      <c r="B1473">
        <v>902</v>
      </c>
      <c r="C1473" t="str">
        <f>_xlfn.XLOOKUP(tblOrders[[#This Row],[CustomerID]],tblCustomers[CustomerID],tblCustomers[CustomerName],"not found")</f>
        <v>Joseph Chan</v>
      </c>
      <c r="D1473">
        <f>_xlfn.XLOOKUP(tblOrders[[#This Row],[CustomerID]],tblCustomers[CustomerID],tblCustomers[Age],"not found")</f>
        <v>45</v>
      </c>
      <c r="E1473" t="str">
        <f>_xlfn.XLOOKUP(tblOrders[[#This Row],[CustomerID]],tblCustomers[CustomerID],tblCustomers[Gender],"not found")</f>
        <v>Male</v>
      </c>
      <c r="F1473" t="str">
        <f>_xlfn.XLOOKUP(tblOrders[[#This Row],[CustomerID]],tblCustomers[CustomerID],tblCustomers[Region],"not found")</f>
        <v>West</v>
      </c>
      <c r="G1473">
        <v>1060</v>
      </c>
      <c r="H1473" t="str">
        <f>_xlfn.XLOOKUP(tblOrders[[#This Row],[ProductID]],tblProducts[ProductID],tblProducts[ProductName],"not found")</f>
        <v>Clearly</v>
      </c>
      <c r="I1473" t="str">
        <f>_xlfn.XLOOKUP(tblOrders[[#This Row],[ProductID]],tblProducts[ProductID],tblProducts[Category],"not found")</f>
        <v>Toys</v>
      </c>
      <c r="J1473">
        <f>_xlfn.XLOOKUP(tblOrders[[#This Row],[ProductID]],tblProducts[ProductID],tblProducts[UnitPrice],"not found")</f>
        <v>66.709999999999994</v>
      </c>
      <c r="K1473" t="str">
        <f>_xlfn.XLOOKUP(tblOrders[[#This Row],[ProductID]],tblProducts[ProductID],tblProducts[Supplier],"not found")</f>
        <v>Meyer, Gutierrez and Howard</v>
      </c>
      <c r="L1473" s="1" t="s">
        <v>2170</v>
      </c>
      <c r="M14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45283</v>
      </c>
      <c r="N1473">
        <v>9</v>
      </c>
      <c r="O1473">
        <v>600.39</v>
      </c>
      <c r="P1473">
        <f>tblOrders[[#This Row],[Quantity]]*tblOrders[[#This Row],[Unit Price]]</f>
        <v>600.39</v>
      </c>
      <c r="Q1473">
        <f>tblOrders[[#This Row],[TotalSales]]-tblOrders[[#This Row],[Calculated Sales]]</f>
        <v>0</v>
      </c>
    </row>
    <row r="1474" spans="1:17" x14ac:dyDescent="0.25">
      <c r="A1474">
        <v>1149</v>
      </c>
      <c r="B1474">
        <v>205</v>
      </c>
      <c r="C1474" t="str">
        <f>_xlfn.XLOOKUP(tblOrders[[#This Row],[CustomerID]],tblCustomers[CustomerID],tblCustomers[CustomerName],"not found")</f>
        <v>James Johnson Jr.</v>
      </c>
      <c r="D1474">
        <f>_xlfn.XLOOKUP(tblOrders[[#This Row],[CustomerID]],tblCustomers[CustomerID],tblCustomers[Age],"not found")</f>
        <v>45</v>
      </c>
      <c r="E1474" t="str">
        <f>_xlfn.XLOOKUP(tblOrders[[#This Row],[CustomerID]],tblCustomers[CustomerID],tblCustomers[Gender],"not found")</f>
        <v>Male</v>
      </c>
      <c r="F1474" t="str">
        <f>_xlfn.XLOOKUP(tblOrders[[#This Row],[CustomerID]],tblCustomers[CustomerID],tblCustomers[Region],"not found")</f>
        <v>South</v>
      </c>
      <c r="G1474">
        <v>1060</v>
      </c>
      <c r="H1474" t="str">
        <f>_xlfn.XLOOKUP(tblOrders[[#This Row],[ProductID]],tblProducts[ProductID],tblProducts[ProductName],"not found")</f>
        <v>Clearly</v>
      </c>
      <c r="I1474" t="str">
        <f>_xlfn.XLOOKUP(tblOrders[[#This Row],[ProductID]],tblProducts[ProductID],tblProducts[Category],"not found")</f>
        <v>Toys</v>
      </c>
      <c r="J1474">
        <f>_xlfn.XLOOKUP(tblOrders[[#This Row],[ProductID]],tblProducts[ProductID],tblProducts[UnitPrice],"not found")</f>
        <v>66.709999999999994</v>
      </c>
      <c r="K1474" t="str">
        <f>_xlfn.XLOOKUP(tblOrders[[#This Row],[ProductID]],tblProducts[ProductID],tblProducts[Supplier],"not found")</f>
        <v>Meyer, Gutierrez and Howard</v>
      </c>
      <c r="L1474" s="1" t="s">
        <v>2151</v>
      </c>
      <c r="M14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45218</v>
      </c>
      <c r="N1474">
        <v>4</v>
      </c>
      <c r="O1474">
        <v>266.83999999999997</v>
      </c>
      <c r="P1474">
        <f>tblOrders[[#This Row],[Quantity]]*tblOrders[[#This Row],[Unit Price]]</f>
        <v>266.83999999999997</v>
      </c>
      <c r="Q1474">
        <f>tblOrders[[#This Row],[TotalSales]]-tblOrders[[#This Row],[Calculated Sales]]</f>
        <v>0</v>
      </c>
    </row>
    <row r="1475" spans="1:17" x14ac:dyDescent="0.25">
      <c r="A1475">
        <v>1283</v>
      </c>
      <c r="B1475">
        <v>259</v>
      </c>
      <c r="C1475" t="str">
        <f>_xlfn.XLOOKUP(tblOrders[[#This Row],[CustomerID]],tblCustomers[CustomerID],tblCustomers[CustomerName],"not found")</f>
        <v>Nicholas Nichols</v>
      </c>
      <c r="D1475">
        <f>_xlfn.XLOOKUP(tblOrders[[#This Row],[CustomerID]],tblCustomers[CustomerID],tblCustomers[Age],"not found")</f>
        <v>67</v>
      </c>
      <c r="E1475" t="str">
        <f>_xlfn.XLOOKUP(tblOrders[[#This Row],[CustomerID]],tblCustomers[CustomerID],tblCustomers[Gender],"not found")</f>
        <v>Female</v>
      </c>
      <c r="F1475" t="str">
        <f>_xlfn.XLOOKUP(tblOrders[[#This Row],[CustomerID]],tblCustomers[CustomerID],tblCustomers[Region],"not found")</f>
        <v>South</v>
      </c>
      <c r="G1475">
        <v>1060</v>
      </c>
      <c r="H1475" t="str">
        <f>_xlfn.XLOOKUP(tblOrders[[#This Row],[ProductID]],tblProducts[ProductID],tblProducts[ProductName],"not found")</f>
        <v>Clearly</v>
      </c>
      <c r="I1475" t="str">
        <f>_xlfn.XLOOKUP(tblOrders[[#This Row],[ProductID]],tblProducts[ProductID],tblProducts[Category],"not found")</f>
        <v>Toys</v>
      </c>
      <c r="J1475">
        <f>_xlfn.XLOOKUP(tblOrders[[#This Row],[ProductID]],tblProducts[ProductID],tblProducts[UnitPrice],"not found")</f>
        <v>66.709999999999994</v>
      </c>
      <c r="K1475" t="str">
        <f>_xlfn.XLOOKUP(tblOrders[[#This Row],[ProductID]],tblProducts[ProductID],tblProducts[Supplier],"not found")</f>
        <v>Meyer, Gutierrez and Howard</v>
      </c>
      <c r="L1475" s="1">
        <v>45240</v>
      </c>
      <c r="M14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45240</v>
      </c>
      <c r="N1475">
        <v>4</v>
      </c>
      <c r="O1475">
        <v>266.83999999999997</v>
      </c>
      <c r="P1475">
        <f>tblOrders[[#This Row],[Quantity]]*tblOrders[[#This Row],[Unit Price]]</f>
        <v>266.83999999999997</v>
      </c>
      <c r="Q1475">
        <f>tblOrders[[#This Row],[TotalSales]]-tblOrders[[#This Row],[Calculated Sales]]</f>
        <v>0</v>
      </c>
    </row>
    <row r="1476" spans="1:17" x14ac:dyDescent="0.25">
      <c r="A1476">
        <v>1447</v>
      </c>
      <c r="B1476">
        <v>832</v>
      </c>
      <c r="C1476" t="str">
        <f>_xlfn.XLOOKUP(tblOrders[[#This Row],[CustomerID]],tblCustomers[CustomerID],tblCustomers[CustomerName],"not found")</f>
        <v>Meghan Hardin</v>
      </c>
      <c r="D1476">
        <f>_xlfn.XLOOKUP(tblOrders[[#This Row],[CustomerID]],tblCustomers[CustomerID],tblCustomers[Age],"not found")</f>
        <v>32</v>
      </c>
      <c r="E1476" t="str">
        <f>_xlfn.XLOOKUP(tblOrders[[#This Row],[CustomerID]],tblCustomers[CustomerID],tblCustomers[Gender],"not found")</f>
        <v>Female</v>
      </c>
      <c r="F1476" t="str">
        <f>_xlfn.XLOOKUP(tblOrders[[#This Row],[CustomerID]],tblCustomers[CustomerID],tblCustomers[Region],"not found")</f>
        <v>North</v>
      </c>
      <c r="G1476">
        <v>1060</v>
      </c>
      <c r="H1476" t="str">
        <f>_xlfn.XLOOKUP(tblOrders[[#This Row],[ProductID]],tblProducts[ProductID],tblProducts[ProductName],"not found")</f>
        <v>Clearly</v>
      </c>
      <c r="I1476" t="str">
        <f>_xlfn.XLOOKUP(tblOrders[[#This Row],[ProductID]],tblProducts[ProductID],tblProducts[Category],"not found")</f>
        <v>Toys</v>
      </c>
      <c r="J1476">
        <f>_xlfn.XLOOKUP(tblOrders[[#This Row],[ProductID]],tblProducts[ProductID],tblProducts[UnitPrice],"not found")</f>
        <v>66.709999999999994</v>
      </c>
      <c r="K1476" t="str">
        <f>_xlfn.XLOOKUP(tblOrders[[#This Row],[ProductID]],tblProducts[ProductID],tblProducts[Supplier],"not found")</f>
        <v>Meyer, Gutierrez and Howard</v>
      </c>
      <c r="L1476" s="1" t="s">
        <v>2213</v>
      </c>
      <c r="M14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45166</v>
      </c>
      <c r="N1476">
        <v>6</v>
      </c>
      <c r="O1476">
        <v>400.26</v>
      </c>
      <c r="P1476">
        <f>tblOrders[[#This Row],[Quantity]]*tblOrders[[#This Row],[Unit Price]]</f>
        <v>400.26</v>
      </c>
      <c r="Q1476">
        <f>tblOrders[[#This Row],[TotalSales]]-tblOrders[[#This Row],[Calculated Sales]]</f>
        <v>0</v>
      </c>
    </row>
    <row r="1477" spans="1:17" x14ac:dyDescent="0.25">
      <c r="A1477">
        <v>1542</v>
      </c>
      <c r="B1477">
        <v>286</v>
      </c>
      <c r="C1477" t="str">
        <f>_xlfn.XLOOKUP(tblOrders[[#This Row],[CustomerID]],tblCustomers[CustomerID],tblCustomers[CustomerName],"not found")</f>
        <v>Rachel Roach</v>
      </c>
      <c r="D1477">
        <f>_xlfn.XLOOKUP(tblOrders[[#This Row],[CustomerID]],tblCustomers[CustomerID],tblCustomers[Age],"not found")</f>
        <v>33</v>
      </c>
      <c r="E1477" t="str">
        <f>_xlfn.XLOOKUP(tblOrders[[#This Row],[CustomerID]],tblCustomers[CustomerID],tblCustomers[Gender],"not found")</f>
        <v>Male</v>
      </c>
      <c r="F1477" t="str">
        <f>_xlfn.XLOOKUP(tblOrders[[#This Row],[CustomerID]],tblCustomers[CustomerID],tblCustomers[Region],"not found")</f>
        <v>East</v>
      </c>
      <c r="G1477">
        <v>1060</v>
      </c>
      <c r="H1477" t="str">
        <f>_xlfn.XLOOKUP(tblOrders[[#This Row],[ProductID]],tblProducts[ProductID],tblProducts[ProductName],"not found")</f>
        <v>Clearly</v>
      </c>
      <c r="I1477" t="str">
        <f>_xlfn.XLOOKUP(tblOrders[[#This Row],[ProductID]],tblProducts[ProductID],tblProducts[Category],"not found")</f>
        <v>Toys</v>
      </c>
      <c r="J1477">
        <f>_xlfn.XLOOKUP(tblOrders[[#This Row],[ProductID]],tblProducts[ProductID],tblProducts[UnitPrice],"not found")</f>
        <v>66.709999999999994</v>
      </c>
      <c r="K1477" t="str">
        <f>_xlfn.XLOOKUP(tblOrders[[#This Row],[ProductID]],tblProducts[ProductID],tblProducts[Supplier],"not found")</f>
        <v>Meyer, Gutierrez and Howard</v>
      </c>
      <c r="L1477" s="1" t="s">
        <v>2197</v>
      </c>
      <c r="M14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45277</v>
      </c>
      <c r="N1477">
        <v>2</v>
      </c>
      <c r="O1477">
        <v>133.41999999999999</v>
      </c>
      <c r="P1477">
        <f>tblOrders[[#This Row],[Quantity]]*tblOrders[[#This Row],[Unit Price]]</f>
        <v>133.41999999999999</v>
      </c>
      <c r="Q1477">
        <f>tblOrders[[#This Row],[TotalSales]]-tblOrders[[#This Row],[Calculated Sales]]</f>
        <v>0</v>
      </c>
    </row>
    <row r="1478" spans="1:17" x14ac:dyDescent="0.25">
      <c r="A1478">
        <v>1869</v>
      </c>
      <c r="B1478">
        <v>508</v>
      </c>
      <c r="C1478" t="str">
        <f>_xlfn.XLOOKUP(tblOrders[[#This Row],[CustomerID]],tblCustomers[CustomerID],tblCustomers[CustomerName],"not found")</f>
        <v>George Kidd</v>
      </c>
      <c r="D1478">
        <f>_xlfn.XLOOKUP(tblOrders[[#This Row],[CustomerID]],tblCustomers[CustomerID],tblCustomers[Age],"not found")</f>
        <v>58</v>
      </c>
      <c r="E1478" t="str">
        <f>_xlfn.XLOOKUP(tblOrders[[#This Row],[CustomerID]],tblCustomers[CustomerID],tblCustomers[Gender],"not found")</f>
        <v>Female</v>
      </c>
      <c r="F1478" t="str">
        <f>_xlfn.XLOOKUP(tblOrders[[#This Row],[CustomerID]],tblCustomers[CustomerID],tblCustomers[Region],"not found")</f>
        <v>South</v>
      </c>
      <c r="G1478">
        <v>1060</v>
      </c>
      <c r="H1478" t="str">
        <f>_xlfn.XLOOKUP(tblOrders[[#This Row],[ProductID]],tblProducts[ProductID],tblProducts[ProductName],"not found")</f>
        <v>Clearly</v>
      </c>
      <c r="I1478" t="str">
        <f>_xlfn.XLOOKUP(tblOrders[[#This Row],[ProductID]],tblProducts[ProductID],tblProducts[Category],"not found")</f>
        <v>Toys</v>
      </c>
      <c r="J1478">
        <f>_xlfn.XLOOKUP(tblOrders[[#This Row],[ProductID]],tblProducts[ProductID],tblProducts[UnitPrice],"not found")</f>
        <v>66.709999999999994</v>
      </c>
      <c r="K1478" t="str">
        <f>_xlfn.XLOOKUP(tblOrders[[#This Row],[ProductID]],tblProducts[ProductID],tblProducts[Supplier],"not found")</f>
        <v>Meyer, Gutierrez and Howard</v>
      </c>
      <c r="L1478" s="1">
        <v>45261</v>
      </c>
      <c r="M14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45261</v>
      </c>
      <c r="N1478">
        <v>8</v>
      </c>
      <c r="O1478">
        <v>533.67999999999995</v>
      </c>
      <c r="P1478">
        <f>tblOrders[[#This Row],[Quantity]]*tblOrders[[#This Row],[Unit Price]]</f>
        <v>533.67999999999995</v>
      </c>
      <c r="Q1478">
        <f>tblOrders[[#This Row],[TotalSales]]-tblOrders[[#This Row],[Calculated Sales]]</f>
        <v>0</v>
      </c>
    </row>
    <row r="1479" spans="1:17" x14ac:dyDescent="0.25">
      <c r="A1479">
        <v>114</v>
      </c>
      <c r="B1479">
        <v>449</v>
      </c>
      <c r="C1479" t="str">
        <f>_xlfn.XLOOKUP(tblOrders[[#This Row],[CustomerID]],tblCustomers[CustomerID],tblCustomers[CustomerName],"not found")</f>
        <v>Mackenzie Bowman</v>
      </c>
      <c r="D1479">
        <f>_xlfn.XLOOKUP(tblOrders[[#This Row],[CustomerID]],tblCustomers[CustomerID],tblCustomers[Age],"not found")</f>
        <v>68</v>
      </c>
      <c r="E1479" t="str">
        <f>_xlfn.XLOOKUP(tblOrders[[#This Row],[CustomerID]],tblCustomers[CustomerID],tblCustomers[Gender],"not found")</f>
        <v>Female</v>
      </c>
      <c r="F1479" t="str">
        <f>_xlfn.XLOOKUP(tblOrders[[#This Row],[CustomerID]],tblCustomers[CustomerID],tblCustomers[Region],"not found")</f>
        <v>West</v>
      </c>
      <c r="G1479">
        <v>1068</v>
      </c>
      <c r="H1479" t="str">
        <f>_xlfn.XLOOKUP(tblOrders[[#This Row],[ProductID]],tblProducts[ProductID],tblProducts[ProductName],"not found")</f>
        <v>Adult</v>
      </c>
      <c r="I1479" t="str">
        <f>_xlfn.XLOOKUP(tblOrders[[#This Row],[ProductID]],tblProducts[ProductID],tblProducts[Category],"not found")</f>
        <v>Furniture</v>
      </c>
      <c r="J1479">
        <f>_xlfn.XLOOKUP(tblOrders[[#This Row],[ProductID]],tblProducts[ProductID],tblProducts[UnitPrice],"not found")</f>
        <v>322.33999999999997</v>
      </c>
      <c r="K1479" t="str">
        <f>_xlfn.XLOOKUP(tblOrders[[#This Row],[ProductID]],tblProducts[ProductID],tblProducts[Supplier],"not found")</f>
        <v>Parker-Butler</v>
      </c>
      <c r="L1479" s="1" t="s">
        <v>2132</v>
      </c>
      <c r="M14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1479">
        <v>4</v>
      </c>
      <c r="O1479">
        <v>1289.3599999999999</v>
      </c>
      <c r="P1479">
        <f>tblOrders[[#This Row],[Quantity]]*tblOrders[[#This Row],[Unit Price]]</f>
        <v>1289.3599999999999</v>
      </c>
      <c r="Q1479">
        <f>tblOrders[[#This Row],[TotalSales]]-tblOrders[[#This Row],[Calculated Sales]]</f>
        <v>0</v>
      </c>
    </row>
    <row r="1480" spans="1:17" x14ac:dyDescent="0.25">
      <c r="A1480">
        <v>146</v>
      </c>
      <c r="B1480">
        <v>555</v>
      </c>
      <c r="C1480" t="str">
        <f>_xlfn.XLOOKUP(tblOrders[[#This Row],[CustomerID]],tblCustomers[CustomerID],tblCustomers[CustomerName],"not found")</f>
        <v>Sharon Vincent</v>
      </c>
      <c r="D1480">
        <f>_xlfn.XLOOKUP(tblOrders[[#This Row],[CustomerID]],tblCustomers[CustomerID],tblCustomers[Age],"not found")</f>
        <v>24</v>
      </c>
      <c r="E1480" t="str">
        <f>_xlfn.XLOOKUP(tblOrders[[#This Row],[CustomerID]],tblCustomers[CustomerID],tblCustomers[Gender],"not found")</f>
        <v>Female</v>
      </c>
      <c r="F1480" t="str">
        <f>_xlfn.XLOOKUP(tblOrders[[#This Row],[CustomerID]],tblCustomers[CustomerID],tblCustomers[Region],"not found")</f>
        <v>West</v>
      </c>
      <c r="G1480">
        <v>1068</v>
      </c>
      <c r="H1480" t="str">
        <f>_xlfn.XLOOKUP(tblOrders[[#This Row],[ProductID]],tblProducts[ProductID],tblProducts[ProductName],"not found")</f>
        <v>Adult</v>
      </c>
      <c r="I1480" t="str">
        <f>_xlfn.XLOOKUP(tblOrders[[#This Row],[ProductID]],tblProducts[ProductID],tblProducts[Category],"not found")</f>
        <v>Furniture</v>
      </c>
      <c r="J1480">
        <f>_xlfn.XLOOKUP(tblOrders[[#This Row],[ProductID]],tblProducts[ProductID],tblProducts[UnitPrice],"not found")</f>
        <v>322.33999999999997</v>
      </c>
      <c r="K1480" t="str">
        <f>_xlfn.XLOOKUP(tblOrders[[#This Row],[ProductID]],tblProducts[ProductID],tblProducts[Supplier],"not found")</f>
        <v>Parker-Butler</v>
      </c>
      <c r="L1480" s="1" t="s">
        <v>2357</v>
      </c>
      <c r="M14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45375</v>
      </c>
      <c r="N1480">
        <v>2</v>
      </c>
      <c r="O1480">
        <v>644.67999999999995</v>
      </c>
      <c r="P1480">
        <f>tblOrders[[#This Row],[Quantity]]*tblOrders[[#This Row],[Unit Price]]</f>
        <v>644.67999999999995</v>
      </c>
      <c r="Q1480">
        <f>tblOrders[[#This Row],[TotalSales]]-tblOrders[[#This Row],[Calculated Sales]]</f>
        <v>0</v>
      </c>
    </row>
    <row r="1481" spans="1:17" x14ac:dyDescent="0.25">
      <c r="A1481">
        <v>195</v>
      </c>
      <c r="B1481">
        <v>303</v>
      </c>
      <c r="C1481" t="str">
        <f>_xlfn.XLOOKUP(tblOrders[[#This Row],[CustomerID]],tblCustomers[CustomerID],tblCustomers[CustomerName],"not found")</f>
        <v>Amy Meyer</v>
      </c>
      <c r="D1481">
        <f>_xlfn.XLOOKUP(tblOrders[[#This Row],[CustomerID]],tblCustomers[CustomerID],tblCustomers[Age],"not found")</f>
        <v>52</v>
      </c>
      <c r="E1481" t="str">
        <f>_xlfn.XLOOKUP(tblOrders[[#This Row],[CustomerID]],tblCustomers[CustomerID],tblCustomers[Gender],"not found")</f>
        <v>Male</v>
      </c>
      <c r="F1481" t="str">
        <f>_xlfn.XLOOKUP(tblOrders[[#This Row],[CustomerID]],tblCustomers[CustomerID],tblCustomers[Region],"not found")</f>
        <v>West</v>
      </c>
      <c r="G1481">
        <v>1068</v>
      </c>
      <c r="H1481" t="str">
        <f>_xlfn.XLOOKUP(tblOrders[[#This Row],[ProductID]],tblProducts[ProductID],tblProducts[ProductName],"not found")</f>
        <v>Adult</v>
      </c>
      <c r="I1481" t="str">
        <f>_xlfn.XLOOKUP(tblOrders[[#This Row],[ProductID]],tblProducts[ProductID],tblProducts[Category],"not found")</f>
        <v>Furniture</v>
      </c>
      <c r="J1481">
        <f>_xlfn.XLOOKUP(tblOrders[[#This Row],[ProductID]],tblProducts[ProductID],tblProducts[UnitPrice],"not found")</f>
        <v>322.33999999999997</v>
      </c>
      <c r="K1481" t="str">
        <f>_xlfn.XLOOKUP(tblOrders[[#This Row],[ProductID]],tblProducts[ProductID],tblProducts[Supplier],"not found")</f>
        <v>Parker-Butler</v>
      </c>
      <c r="L1481" s="1" t="s">
        <v>2321</v>
      </c>
      <c r="M14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45133</v>
      </c>
      <c r="N1481">
        <v>9</v>
      </c>
      <c r="O1481">
        <v>2901.06</v>
      </c>
      <c r="P1481">
        <f>tblOrders[[#This Row],[Quantity]]*tblOrders[[#This Row],[Unit Price]]</f>
        <v>2901.06</v>
      </c>
      <c r="Q1481">
        <f>tblOrders[[#This Row],[TotalSales]]-tblOrders[[#This Row],[Calculated Sales]]</f>
        <v>0</v>
      </c>
    </row>
    <row r="1482" spans="1:17" x14ac:dyDescent="0.25">
      <c r="A1482">
        <v>245</v>
      </c>
      <c r="B1482">
        <v>363</v>
      </c>
      <c r="C1482" t="str">
        <f>_xlfn.XLOOKUP(tblOrders[[#This Row],[CustomerID]],tblCustomers[CustomerID],tblCustomers[CustomerName],"not found")</f>
        <v>Dale Black</v>
      </c>
      <c r="D1482">
        <f>_xlfn.XLOOKUP(tblOrders[[#This Row],[CustomerID]],tblCustomers[CustomerID],tblCustomers[Age],"not found")</f>
        <v>33</v>
      </c>
      <c r="E1482" t="str">
        <f>_xlfn.XLOOKUP(tblOrders[[#This Row],[CustomerID]],tblCustomers[CustomerID],tblCustomers[Gender],"not found")</f>
        <v>Female</v>
      </c>
      <c r="F1482" t="str">
        <f>_xlfn.XLOOKUP(tblOrders[[#This Row],[CustomerID]],tblCustomers[CustomerID],tblCustomers[Region],"not found")</f>
        <v>Central</v>
      </c>
      <c r="G1482">
        <v>1068</v>
      </c>
      <c r="H1482" t="str">
        <f>_xlfn.XLOOKUP(tblOrders[[#This Row],[ProductID]],tblProducts[ProductID],tblProducts[ProductName],"not found")</f>
        <v>Adult</v>
      </c>
      <c r="I1482" t="str">
        <f>_xlfn.XLOOKUP(tblOrders[[#This Row],[ProductID]],tblProducts[ProductID],tblProducts[Category],"not found")</f>
        <v>Furniture</v>
      </c>
      <c r="J1482">
        <f>_xlfn.XLOOKUP(tblOrders[[#This Row],[ProductID]],tblProducts[ProductID],tblProducts[UnitPrice],"not found")</f>
        <v>322.33999999999997</v>
      </c>
      <c r="K1482" t="str">
        <f>_xlfn.XLOOKUP(tblOrders[[#This Row],[ProductID]],tblProducts[ProductID],tblProducts[Supplier],"not found")</f>
        <v>Parker-Butler</v>
      </c>
      <c r="L1482" s="1">
        <v>45087</v>
      </c>
      <c r="M14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45087</v>
      </c>
      <c r="N1482">
        <v>6</v>
      </c>
      <c r="O1482">
        <v>1934.04</v>
      </c>
      <c r="P1482">
        <f>tblOrders[[#This Row],[Quantity]]*tblOrders[[#This Row],[Unit Price]]</f>
        <v>1934.04</v>
      </c>
      <c r="Q1482">
        <f>tblOrders[[#This Row],[TotalSales]]-tblOrders[[#This Row],[Calculated Sales]]</f>
        <v>0</v>
      </c>
    </row>
    <row r="1483" spans="1:17" x14ac:dyDescent="0.25">
      <c r="A1483">
        <v>269</v>
      </c>
      <c r="B1483">
        <v>655</v>
      </c>
      <c r="C1483" t="str">
        <f>_xlfn.XLOOKUP(tblOrders[[#This Row],[CustomerID]],tblCustomers[CustomerID],tblCustomers[CustomerName],"not found")</f>
        <v>Abigail Walsh</v>
      </c>
      <c r="D1483">
        <f>_xlfn.XLOOKUP(tblOrders[[#This Row],[CustomerID]],tblCustomers[CustomerID],tblCustomers[Age],"not found")</f>
        <v>42</v>
      </c>
      <c r="E1483" t="str">
        <f>_xlfn.XLOOKUP(tblOrders[[#This Row],[CustomerID]],tblCustomers[CustomerID],tblCustomers[Gender],"not found")</f>
        <v>Male</v>
      </c>
      <c r="F1483" t="str">
        <f>_xlfn.XLOOKUP(tblOrders[[#This Row],[CustomerID]],tblCustomers[CustomerID],tblCustomers[Region],"not found")</f>
        <v>East</v>
      </c>
      <c r="G1483">
        <v>1068</v>
      </c>
      <c r="H1483" t="str">
        <f>_xlfn.XLOOKUP(tblOrders[[#This Row],[ProductID]],tblProducts[ProductID],tblProducts[ProductName],"not found")</f>
        <v>Adult</v>
      </c>
      <c r="I1483" t="str">
        <f>_xlfn.XLOOKUP(tblOrders[[#This Row],[ProductID]],tblProducts[ProductID],tblProducts[Category],"not found")</f>
        <v>Furniture</v>
      </c>
      <c r="J1483">
        <f>_xlfn.XLOOKUP(tblOrders[[#This Row],[ProductID]],tblProducts[ProductID],tblProducts[UnitPrice],"not found")</f>
        <v>322.33999999999997</v>
      </c>
      <c r="K1483" t="str">
        <f>_xlfn.XLOOKUP(tblOrders[[#This Row],[ProductID]],tblProducts[ProductID],tblProducts[Supplier],"not found")</f>
        <v>Parker-Butler</v>
      </c>
      <c r="L1483" s="1" t="s">
        <v>2341</v>
      </c>
      <c r="M14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44883</v>
      </c>
      <c r="N1483">
        <v>4</v>
      </c>
      <c r="O1483">
        <v>1289.3599999999999</v>
      </c>
      <c r="P1483">
        <f>tblOrders[[#This Row],[Quantity]]*tblOrders[[#This Row],[Unit Price]]</f>
        <v>1289.3599999999999</v>
      </c>
      <c r="Q1483">
        <f>tblOrders[[#This Row],[TotalSales]]-tblOrders[[#This Row],[Calculated Sales]]</f>
        <v>0</v>
      </c>
    </row>
    <row r="1484" spans="1:17" x14ac:dyDescent="0.25">
      <c r="A1484">
        <v>325</v>
      </c>
      <c r="B1484">
        <v>323</v>
      </c>
      <c r="C1484" t="str">
        <f>_xlfn.XLOOKUP(tblOrders[[#This Row],[CustomerID]],tblCustomers[CustomerID],tblCustomers[CustomerName],"not found")</f>
        <v>Aaron Thomas</v>
      </c>
      <c r="D1484">
        <f>_xlfn.XLOOKUP(tblOrders[[#This Row],[CustomerID]],tblCustomers[CustomerID],tblCustomers[Age],"not found")</f>
        <v>40</v>
      </c>
      <c r="E1484" t="str">
        <f>_xlfn.XLOOKUP(tblOrders[[#This Row],[CustomerID]],tblCustomers[CustomerID],tblCustomers[Gender],"not found")</f>
        <v>Female</v>
      </c>
      <c r="F1484" t="str">
        <f>_xlfn.XLOOKUP(tblOrders[[#This Row],[CustomerID]],tblCustomers[CustomerID],tblCustomers[Region],"not found")</f>
        <v>North</v>
      </c>
      <c r="G1484">
        <v>1068</v>
      </c>
      <c r="H1484" t="str">
        <f>_xlfn.XLOOKUP(tblOrders[[#This Row],[ProductID]],tblProducts[ProductID],tblProducts[ProductName],"not found")</f>
        <v>Adult</v>
      </c>
      <c r="I1484" t="str">
        <f>_xlfn.XLOOKUP(tblOrders[[#This Row],[ProductID]],tblProducts[ProductID],tblProducts[Category],"not found")</f>
        <v>Furniture</v>
      </c>
      <c r="J1484">
        <f>_xlfn.XLOOKUP(tblOrders[[#This Row],[ProductID]],tblProducts[ProductID],tblProducts[UnitPrice],"not found")</f>
        <v>322.33999999999997</v>
      </c>
      <c r="K1484" t="str">
        <f>_xlfn.XLOOKUP(tblOrders[[#This Row],[ProductID]],tblProducts[ProductID],tblProducts[Supplier],"not found")</f>
        <v>Parker-Butler</v>
      </c>
      <c r="L1484" s="1" t="s">
        <v>2029</v>
      </c>
      <c r="M14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45348</v>
      </c>
      <c r="N1484">
        <v>4</v>
      </c>
      <c r="O1484">
        <v>1289.3599999999999</v>
      </c>
      <c r="P1484">
        <f>tblOrders[[#This Row],[Quantity]]*tblOrders[[#This Row],[Unit Price]]</f>
        <v>1289.3599999999999</v>
      </c>
      <c r="Q1484">
        <f>tblOrders[[#This Row],[TotalSales]]-tblOrders[[#This Row],[Calculated Sales]]</f>
        <v>0</v>
      </c>
    </row>
    <row r="1485" spans="1:17" x14ac:dyDescent="0.25">
      <c r="A1485">
        <v>417</v>
      </c>
      <c r="B1485">
        <v>943</v>
      </c>
      <c r="C1485" t="str">
        <f>_xlfn.XLOOKUP(tblOrders[[#This Row],[CustomerID]],tblCustomers[CustomerID],tblCustomers[CustomerName],"not found")</f>
        <v>Reginald Velasquez</v>
      </c>
      <c r="D1485">
        <f>_xlfn.XLOOKUP(tblOrders[[#This Row],[CustomerID]],tblCustomers[CustomerID],tblCustomers[Age],"not found")</f>
        <v>42</v>
      </c>
      <c r="E1485" t="str">
        <f>_xlfn.XLOOKUP(tblOrders[[#This Row],[CustomerID]],tblCustomers[CustomerID],tblCustomers[Gender],"not found")</f>
        <v>Female</v>
      </c>
      <c r="F1485" t="str">
        <f>_xlfn.XLOOKUP(tblOrders[[#This Row],[CustomerID]],tblCustomers[CustomerID],tblCustomers[Region],"not found")</f>
        <v>North</v>
      </c>
      <c r="G1485">
        <v>1068</v>
      </c>
      <c r="H1485" t="str">
        <f>_xlfn.XLOOKUP(tblOrders[[#This Row],[ProductID]],tblProducts[ProductID],tblProducts[ProductName],"not found")</f>
        <v>Adult</v>
      </c>
      <c r="I1485" t="str">
        <f>_xlfn.XLOOKUP(tblOrders[[#This Row],[ProductID]],tblProducts[ProductID],tblProducts[Category],"not found")</f>
        <v>Furniture</v>
      </c>
      <c r="J1485">
        <f>_xlfn.XLOOKUP(tblOrders[[#This Row],[ProductID]],tblProducts[ProductID],tblProducts[UnitPrice],"not found")</f>
        <v>322.33999999999997</v>
      </c>
      <c r="K1485" t="str">
        <f>_xlfn.XLOOKUP(tblOrders[[#This Row],[ProductID]],tblProducts[ProductID],tblProducts[Supplier],"not found")</f>
        <v>Parker-Butler</v>
      </c>
      <c r="L1485" s="1" t="s">
        <v>2056</v>
      </c>
      <c r="M14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45345</v>
      </c>
      <c r="N1485">
        <v>8</v>
      </c>
      <c r="O1485">
        <v>2578.7199999999998</v>
      </c>
      <c r="P1485">
        <f>tblOrders[[#This Row],[Quantity]]*tblOrders[[#This Row],[Unit Price]]</f>
        <v>2578.7199999999998</v>
      </c>
      <c r="Q1485">
        <f>tblOrders[[#This Row],[TotalSales]]-tblOrders[[#This Row],[Calculated Sales]]</f>
        <v>0</v>
      </c>
    </row>
    <row r="1486" spans="1:17" x14ac:dyDescent="0.25">
      <c r="A1486">
        <v>444</v>
      </c>
      <c r="B1486">
        <v>709</v>
      </c>
      <c r="C1486" t="str">
        <f>_xlfn.XLOOKUP(tblOrders[[#This Row],[CustomerID]],tblCustomers[CustomerID],tblCustomers[CustomerName],"not found")</f>
        <v>Kevin Joyce</v>
      </c>
      <c r="D1486">
        <f>_xlfn.XLOOKUP(tblOrders[[#This Row],[CustomerID]],tblCustomers[CustomerID],tblCustomers[Age],"not found")</f>
        <v>50</v>
      </c>
      <c r="E1486" t="str">
        <f>_xlfn.XLOOKUP(tblOrders[[#This Row],[CustomerID]],tblCustomers[CustomerID],tblCustomers[Gender],"not found")</f>
        <v>Female</v>
      </c>
      <c r="F1486" t="str">
        <f>_xlfn.XLOOKUP(tblOrders[[#This Row],[CustomerID]],tblCustomers[CustomerID],tblCustomers[Region],"not found")</f>
        <v>Central</v>
      </c>
      <c r="G1486">
        <v>1068</v>
      </c>
      <c r="H1486" t="str">
        <f>_xlfn.XLOOKUP(tblOrders[[#This Row],[ProductID]],tblProducts[ProductID],tblProducts[ProductName],"not found")</f>
        <v>Adult</v>
      </c>
      <c r="I1486" t="str">
        <f>_xlfn.XLOOKUP(tblOrders[[#This Row],[ProductID]],tblProducts[ProductID],tblProducts[Category],"not found")</f>
        <v>Furniture</v>
      </c>
      <c r="J1486">
        <f>_xlfn.XLOOKUP(tblOrders[[#This Row],[ProductID]],tblProducts[ProductID],tblProducts[UnitPrice],"not found")</f>
        <v>322.33999999999997</v>
      </c>
      <c r="K1486" t="str">
        <f>_xlfn.XLOOKUP(tblOrders[[#This Row],[ProductID]],tblProducts[ProductID],tblProducts[Supplier],"not found")</f>
        <v>Parker-Butler</v>
      </c>
      <c r="L1486" s="1">
        <v>45201</v>
      </c>
      <c r="M14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45201</v>
      </c>
      <c r="N1486">
        <v>8</v>
      </c>
      <c r="O1486">
        <v>2578.7199999999998</v>
      </c>
      <c r="P1486">
        <f>tblOrders[[#This Row],[Quantity]]*tblOrders[[#This Row],[Unit Price]]</f>
        <v>2578.7199999999998</v>
      </c>
      <c r="Q1486">
        <f>tblOrders[[#This Row],[TotalSales]]-tblOrders[[#This Row],[Calculated Sales]]</f>
        <v>0</v>
      </c>
    </row>
    <row r="1487" spans="1:17" x14ac:dyDescent="0.25">
      <c r="A1487">
        <v>469</v>
      </c>
      <c r="B1487">
        <v>310</v>
      </c>
      <c r="C1487" t="str">
        <f>_xlfn.XLOOKUP(tblOrders[[#This Row],[CustomerID]],tblCustomers[CustomerID],tblCustomers[CustomerName],"not found")</f>
        <v>Timothy Higgins</v>
      </c>
      <c r="D1487">
        <f>_xlfn.XLOOKUP(tblOrders[[#This Row],[CustomerID]],tblCustomers[CustomerID],tblCustomers[Age],"not found")</f>
        <v>58</v>
      </c>
      <c r="E1487" t="str">
        <f>_xlfn.XLOOKUP(tblOrders[[#This Row],[CustomerID]],tblCustomers[CustomerID],tblCustomers[Gender],"not found")</f>
        <v>Female</v>
      </c>
      <c r="F1487" t="str">
        <f>_xlfn.XLOOKUP(tblOrders[[#This Row],[CustomerID]],tblCustomers[CustomerID],tblCustomers[Region],"not found")</f>
        <v>North</v>
      </c>
      <c r="G1487">
        <v>1068</v>
      </c>
      <c r="H1487" t="str">
        <f>_xlfn.XLOOKUP(tblOrders[[#This Row],[ProductID]],tblProducts[ProductID],tblProducts[ProductName],"not found")</f>
        <v>Adult</v>
      </c>
      <c r="I1487" t="str">
        <f>_xlfn.XLOOKUP(tblOrders[[#This Row],[ProductID]],tblProducts[ProductID],tblProducts[Category],"not found")</f>
        <v>Furniture</v>
      </c>
      <c r="J1487">
        <f>_xlfn.XLOOKUP(tblOrders[[#This Row],[ProductID]],tblProducts[ProductID],tblProducts[UnitPrice],"not found")</f>
        <v>322.33999999999997</v>
      </c>
      <c r="K1487" t="str">
        <f>_xlfn.XLOOKUP(tblOrders[[#This Row],[ProductID]],tblProducts[ProductID],tblProducts[Supplier],"not found")</f>
        <v>Parker-Butler</v>
      </c>
      <c r="L1487" s="1" t="s">
        <v>2203</v>
      </c>
      <c r="M14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45015</v>
      </c>
      <c r="N1487">
        <v>4</v>
      </c>
      <c r="O1487">
        <v>1289.3599999999999</v>
      </c>
      <c r="P1487">
        <f>tblOrders[[#This Row],[Quantity]]*tblOrders[[#This Row],[Unit Price]]</f>
        <v>1289.3599999999999</v>
      </c>
      <c r="Q1487">
        <f>tblOrders[[#This Row],[TotalSales]]-tblOrders[[#This Row],[Calculated Sales]]</f>
        <v>0</v>
      </c>
    </row>
    <row r="1488" spans="1:17" x14ac:dyDescent="0.25">
      <c r="A1488">
        <v>558</v>
      </c>
      <c r="B1488">
        <v>554</v>
      </c>
      <c r="C1488" t="str">
        <f>_xlfn.XLOOKUP(tblOrders[[#This Row],[CustomerID]],tblCustomers[CustomerID],tblCustomers[CustomerName],"not found")</f>
        <v>Mary Berry</v>
      </c>
      <c r="D1488">
        <f>_xlfn.XLOOKUP(tblOrders[[#This Row],[CustomerID]],tblCustomers[CustomerID],tblCustomers[Age],"not found")</f>
        <v>33</v>
      </c>
      <c r="E1488" t="str">
        <f>_xlfn.XLOOKUP(tblOrders[[#This Row],[CustomerID]],tblCustomers[CustomerID],tblCustomers[Gender],"not found")</f>
        <v>Male</v>
      </c>
      <c r="F1488" t="str">
        <f>_xlfn.XLOOKUP(tblOrders[[#This Row],[CustomerID]],tblCustomers[CustomerID],tblCustomers[Region],"not found")</f>
        <v>West</v>
      </c>
      <c r="G1488">
        <v>1068</v>
      </c>
      <c r="H1488" t="str">
        <f>_xlfn.XLOOKUP(tblOrders[[#This Row],[ProductID]],tblProducts[ProductID],tblProducts[ProductName],"not found")</f>
        <v>Adult</v>
      </c>
      <c r="I1488" t="str">
        <f>_xlfn.XLOOKUP(tblOrders[[#This Row],[ProductID]],tblProducts[ProductID],tblProducts[Category],"not found")</f>
        <v>Furniture</v>
      </c>
      <c r="J1488">
        <f>_xlfn.XLOOKUP(tblOrders[[#This Row],[ProductID]],tblProducts[ProductID],tblProducts[UnitPrice],"not found")</f>
        <v>322.33999999999997</v>
      </c>
      <c r="K1488" t="str">
        <f>_xlfn.XLOOKUP(tblOrders[[#This Row],[ProductID]],tblProducts[ProductID],tblProducts[Supplier],"not found")</f>
        <v>Parker-Butler</v>
      </c>
      <c r="L1488" s="1" t="s">
        <v>2394</v>
      </c>
      <c r="M14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45561</v>
      </c>
      <c r="N1488">
        <v>2</v>
      </c>
      <c r="O1488">
        <v>644.67999999999995</v>
      </c>
      <c r="P1488">
        <f>tblOrders[[#This Row],[Quantity]]*tblOrders[[#This Row],[Unit Price]]</f>
        <v>644.67999999999995</v>
      </c>
      <c r="Q1488">
        <f>tblOrders[[#This Row],[TotalSales]]-tblOrders[[#This Row],[Calculated Sales]]</f>
        <v>0</v>
      </c>
    </row>
    <row r="1489" spans="1:17" x14ac:dyDescent="0.25">
      <c r="A1489">
        <v>691</v>
      </c>
      <c r="B1489">
        <v>998</v>
      </c>
      <c r="C1489" t="str">
        <f>_xlfn.XLOOKUP(tblOrders[[#This Row],[CustomerID]],tblCustomers[CustomerID],tblCustomers[CustomerName],"not found")</f>
        <v>Erica Harmon</v>
      </c>
      <c r="D1489">
        <f>_xlfn.XLOOKUP(tblOrders[[#This Row],[CustomerID]],tblCustomers[CustomerID],tblCustomers[Age],"not found")</f>
        <v>33</v>
      </c>
      <c r="E1489" t="str">
        <f>_xlfn.XLOOKUP(tblOrders[[#This Row],[CustomerID]],tblCustomers[CustomerID],tblCustomers[Gender],"not found")</f>
        <v>Female</v>
      </c>
      <c r="F1489" t="str">
        <f>_xlfn.XLOOKUP(tblOrders[[#This Row],[CustomerID]],tblCustomers[CustomerID],tblCustomers[Region],"not found")</f>
        <v>Central</v>
      </c>
      <c r="G1489">
        <v>1068</v>
      </c>
      <c r="H1489" t="str">
        <f>_xlfn.XLOOKUP(tblOrders[[#This Row],[ProductID]],tblProducts[ProductID],tblProducts[ProductName],"not found")</f>
        <v>Adult</v>
      </c>
      <c r="I1489" t="str">
        <f>_xlfn.XLOOKUP(tblOrders[[#This Row],[ProductID]],tblProducts[ProductID],tblProducts[Category],"not found")</f>
        <v>Furniture</v>
      </c>
      <c r="J1489">
        <f>_xlfn.XLOOKUP(tblOrders[[#This Row],[ProductID]],tblProducts[ProductID],tblProducts[UnitPrice],"not found")</f>
        <v>322.33999999999997</v>
      </c>
      <c r="K1489" t="str">
        <f>_xlfn.XLOOKUP(tblOrders[[#This Row],[ProductID]],tblProducts[ProductID],tblProducts[Supplier],"not found")</f>
        <v>Parker-Butler</v>
      </c>
      <c r="L1489" s="1" t="s">
        <v>2393</v>
      </c>
      <c r="M14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45076</v>
      </c>
      <c r="N1489">
        <v>8</v>
      </c>
      <c r="O1489">
        <v>2578.7199999999998</v>
      </c>
      <c r="P1489">
        <f>tblOrders[[#This Row],[Quantity]]*tblOrders[[#This Row],[Unit Price]]</f>
        <v>2578.7199999999998</v>
      </c>
      <c r="Q1489">
        <f>tblOrders[[#This Row],[TotalSales]]-tblOrders[[#This Row],[Calculated Sales]]</f>
        <v>0</v>
      </c>
    </row>
    <row r="1490" spans="1:17" x14ac:dyDescent="0.25">
      <c r="A1490">
        <v>762</v>
      </c>
      <c r="B1490">
        <v>816</v>
      </c>
      <c r="C1490" t="str">
        <f>_xlfn.XLOOKUP(tblOrders[[#This Row],[CustomerID]],tblCustomers[CustomerID],tblCustomers[CustomerName],"not found")</f>
        <v>Anna Nguyen</v>
      </c>
      <c r="D1490">
        <f>_xlfn.XLOOKUP(tblOrders[[#This Row],[CustomerID]],tblCustomers[CustomerID],tblCustomers[Age],"not found")</f>
        <v>36</v>
      </c>
      <c r="E1490" t="str">
        <f>_xlfn.XLOOKUP(tblOrders[[#This Row],[CustomerID]],tblCustomers[CustomerID],tblCustomers[Gender],"not found")</f>
        <v>Female</v>
      </c>
      <c r="F1490" t="str">
        <f>_xlfn.XLOOKUP(tblOrders[[#This Row],[CustomerID]],tblCustomers[CustomerID],tblCustomers[Region],"not found")</f>
        <v>South</v>
      </c>
      <c r="G1490">
        <v>1068</v>
      </c>
      <c r="H1490" t="str">
        <f>_xlfn.XLOOKUP(tblOrders[[#This Row],[ProductID]],tblProducts[ProductID],tblProducts[ProductName],"not found")</f>
        <v>Adult</v>
      </c>
      <c r="I1490" t="str">
        <f>_xlfn.XLOOKUP(tblOrders[[#This Row],[ProductID]],tblProducts[ProductID],tblProducts[Category],"not found")</f>
        <v>Furniture</v>
      </c>
      <c r="J1490">
        <f>_xlfn.XLOOKUP(tblOrders[[#This Row],[ProductID]],tblProducts[ProductID],tblProducts[UnitPrice],"not found")</f>
        <v>322.33999999999997</v>
      </c>
      <c r="K1490" t="str">
        <f>_xlfn.XLOOKUP(tblOrders[[#This Row],[ProductID]],tblProducts[ProductID],tblProducts[Supplier],"not found")</f>
        <v>Parker-Butler</v>
      </c>
      <c r="L1490" s="1" t="s">
        <v>2276</v>
      </c>
      <c r="M14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45125</v>
      </c>
      <c r="N1490">
        <v>4</v>
      </c>
      <c r="O1490">
        <v>1289.3599999999999</v>
      </c>
      <c r="P1490">
        <f>tblOrders[[#This Row],[Quantity]]*tblOrders[[#This Row],[Unit Price]]</f>
        <v>1289.3599999999999</v>
      </c>
      <c r="Q1490">
        <f>tblOrders[[#This Row],[TotalSales]]-tblOrders[[#This Row],[Calculated Sales]]</f>
        <v>0</v>
      </c>
    </row>
    <row r="1491" spans="1:17" x14ac:dyDescent="0.25">
      <c r="A1491">
        <v>865</v>
      </c>
      <c r="B1491">
        <v>105</v>
      </c>
      <c r="C1491" t="str">
        <f>_xlfn.XLOOKUP(tblOrders[[#This Row],[CustomerID]],tblCustomers[CustomerID],tblCustomers[CustomerName],"not found")</f>
        <v>Carolyn Harris</v>
      </c>
      <c r="D1491">
        <f>_xlfn.XLOOKUP(tblOrders[[#This Row],[CustomerID]],tblCustomers[CustomerID],tblCustomers[Age],"not found")</f>
        <v>48</v>
      </c>
      <c r="E1491" t="str">
        <f>_xlfn.XLOOKUP(tblOrders[[#This Row],[CustomerID]],tblCustomers[CustomerID],tblCustomers[Gender],"not found")</f>
        <v>Male</v>
      </c>
      <c r="F1491" t="str">
        <f>_xlfn.XLOOKUP(tblOrders[[#This Row],[CustomerID]],tblCustomers[CustomerID],tblCustomers[Region],"not found")</f>
        <v>North</v>
      </c>
      <c r="G1491">
        <v>1068</v>
      </c>
      <c r="H1491" t="str">
        <f>_xlfn.XLOOKUP(tblOrders[[#This Row],[ProductID]],tblProducts[ProductID],tblProducts[ProductName],"not found")</f>
        <v>Adult</v>
      </c>
      <c r="I1491" t="str">
        <f>_xlfn.XLOOKUP(tblOrders[[#This Row],[ProductID]],tblProducts[ProductID],tblProducts[Category],"not found")</f>
        <v>Furniture</v>
      </c>
      <c r="J1491">
        <f>_xlfn.XLOOKUP(tblOrders[[#This Row],[ProductID]],tblProducts[ProductID],tblProducts[UnitPrice],"not found")</f>
        <v>322.33999999999997</v>
      </c>
      <c r="K1491" t="str">
        <f>_xlfn.XLOOKUP(tblOrders[[#This Row],[ProductID]],tblProducts[ProductID],tblProducts[Supplier],"not found")</f>
        <v>Parker-Butler</v>
      </c>
      <c r="L1491" s="1" t="s">
        <v>2395</v>
      </c>
      <c r="M14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45525</v>
      </c>
      <c r="N1491">
        <v>8</v>
      </c>
      <c r="O1491">
        <v>2578.7199999999998</v>
      </c>
      <c r="P1491">
        <f>tblOrders[[#This Row],[Quantity]]*tblOrders[[#This Row],[Unit Price]]</f>
        <v>2578.7199999999998</v>
      </c>
      <c r="Q1491">
        <f>tblOrders[[#This Row],[TotalSales]]-tblOrders[[#This Row],[Calculated Sales]]</f>
        <v>0</v>
      </c>
    </row>
    <row r="1492" spans="1:17" x14ac:dyDescent="0.25">
      <c r="A1492">
        <v>1189</v>
      </c>
      <c r="B1492">
        <v>477</v>
      </c>
      <c r="C1492" t="str">
        <f>_xlfn.XLOOKUP(tblOrders[[#This Row],[CustomerID]],tblCustomers[CustomerID],tblCustomers[CustomerName],"not found")</f>
        <v>Ryan Mckay</v>
      </c>
      <c r="D1492">
        <f>_xlfn.XLOOKUP(tblOrders[[#This Row],[CustomerID]],tblCustomers[CustomerID],tblCustomers[Age],"not found")</f>
        <v>29</v>
      </c>
      <c r="E1492" t="str">
        <f>_xlfn.XLOOKUP(tblOrders[[#This Row],[CustomerID]],tblCustomers[CustomerID],tblCustomers[Gender],"not found")</f>
        <v>Male</v>
      </c>
      <c r="F1492" t="str">
        <f>_xlfn.XLOOKUP(tblOrders[[#This Row],[CustomerID]],tblCustomers[CustomerID],tblCustomers[Region],"not found")</f>
        <v>South</v>
      </c>
      <c r="G1492">
        <v>1068</v>
      </c>
      <c r="H1492" t="str">
        <f>_xlfn.XLOOKUP(tblOrders[[#This Row],[ProductID]],tblProducts[ProductID],tblProducts[ProductName],"not found")</f>
        <v>Adult</v>
      </c>
      <c r="I1492" t="str">
        <f>_xlfn.XLOOKUP(tblOrders[[#This Row],[ProductID]],tblProducts[ProductID],tblProducts[Category],"not found")</f>
        <v>Furniture</v>
      </c>
      <c r="J1492">
        <f>_xlfn.XLOOKUP(tblOrders[[#This Row],[ProductID]],tblProducts[ProductID],tblProducts[UnitPrice],"not found")</f>
        <v>322.33999999999997</v>
      </c>
      <c r="K1492" t="str">
        <f>_xlfn.XLOOKUP(tblOrders[[#This Row],[ProductID]],tblProducts[ProductID],tblProducts[Supplier],"not found")</f>
        <v>Parker-Butler</v>
      </c>
      <c r="L1492" s="1" t="s">
        <v>2216</v>
      </c>
      <c r="M14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45526</v>
      </c>
      <c r="N1492">
        <v>2</v>
      </c>
      <c r="O1492">
        <v>644.67999999999995</v>
      </c>
      <c r="P1492">
        <f>tblOrders[[#This Row],[Quantity]]*tblOrders[[#This Row],[Unit Price]]</f>
        <v>644.67999999999995</v>
      </c>
      <c r="Q1492">
        <f>tblOrders[[#This Row],[TotalSales]]-tblOrders[[#This Row],[Calculated Sales]]</f>
        <v>0</v>
      </c>
    </row>
    <row r="1493" spans="1:17" x14ac:dyDescent="0.25">
      <c r="A1493">
        <v>1218</v>
      </c>
      <c r="B1493">
        <v>880</v>
      </c>
      <c r="C1493" t="str">
        <f>_xlfn.XLOOKUP(tblOrders[[#This Row],[CustomerID]],tblCustomers[CustomerID],tblCustomers[CustomerName],"not found")</f>
        <v>Carlos Nichols</v>
      </c>
      <c r="D1493">
        <f>_xlfn.XLOOKUP(tblOrders[[#This Row],[CustomerID]],tblCustomers[CustomerID],tblCustomers[Age],"not found")</f>
        <v>66</v>
      </c>
      <c r="E1493" t="str">
        <f>_xlfn.XLOOKUP(tblOrders[[#This Row],[CustomerID]],tblCustomers[CustomerID],tblCustomers[Gender],"not found")</f>
        <v>Female</v>
      </c>
      <c r="F1493" t="str">
        <f>_xlfn.XLOOKUP(tblOrders[[#This Row],[CustomerID]],tblCustomers[CustomerID],tblCustomers[Region],"not found")</f>
        <v>Central</v>
      </c>
      <c r="G1493">
        <v>1068</v>
      </c>
      <c r="H1493" t="str">
        <f>_xlfn.XLOOKUP(tblOrders[[#This Row],[ProductID]],tblProducts[ProductID],tblProducts[ProductName],"not found")</f>
        <v>Adult</v>
      </c>
      <c r="I1493" t="str">
        <f>_xlfn.XLOOKUP(tblOrders[[#This Row],[ProductID]],tblProducts[ProductID],tblProducts[Category],"not found")</f>
        <v>Furniture</v>
      </c>
      <c r="J1493">
        <f>_xlfn.XLOOKUP(tblOrders[[#This Row],[ProductID]],tblProducts[ProductID],tblProducts[UnitPrice],"not found")</f>
        <v>322.33999999999997</v>
      </c>
      <c r="K1493" t="str">
        <f>_xlfn.XLOOKUP(tblOrders[[#This Row],[ProductID]],tblProducts[ProductID],tblProducts[Supplier],"not found")</f>
        <v>Parker-Butler</v>
      </c>
      <c r="L1493" s="1" t="s">
        <v>2350</v>
      </c>
      <c r="M14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44952</v>
      </c>
      <c r="N1493">
        <v>7</v>
      </c>
      <c r="O1493">
        <v>2256.38</v>
      </c>
      <c r="P1493">
        <f>tblOrders[[#This Row],[Quantity]]*tblOrders[[#This Row],[Unit Price]]</f>
        <v>2256.3799999999997</v>
      </c>
      <c r="Q1493">
        <f>tblOrders[[#This Row],[TotalSales]]-tblOrders[[#This Row],[Calculated Sales]]</f>
        <v>0</v>
      </c>
    </row>
    <row r="1494" spans="1:17" x14ac:dyDescent="0.25">
      <c r="A1494">
        <v>1227</v>
      </c>
      <c r="B1494">
        <v>146</v>
      </c>
      <c r="C1494" t="str">
        <f>_xlfn.XLOOKUP(tblOrders[[#This Row],[CustomerID]],tblCustomers[CustomerID],tblCustomers[CustomerName],"not found")</f>
        <v>Tiffany Roth</v>
      </c>
      <c r="D1494">
        <f>_xlfn.XLOOKUP(tblOrders[[#This Row],[CustomerID]],tblCustomers[CustomerID],tblCustomers[Age],"not found")</f>
        <v>41</v>
      </c>
      <c r="E1494" t="str">
        <f>_xlfn.XLOOKUP(tblOrders[[#This Row],[CustomerID]],tblCustomers[CustomerID],tblCustomers[Gender],"not found")</f>
        <v>Male</v>
      </c>
      <c r="F1494" t="str">
        <f>_xlfn.XLOOKUP(tblOrders[[#This Row],[CustomerID]],tblCustomers[CustomerID],tblCustomers[Region],"not found")</f>
        <v>West</v>
      </c>
      <c r="G1494">
        <v>1068</v>
      </c>
      <c r="H1494" t="str">
        <f>_xlfn.XLOOKUP(tblOrders[[#This Row],[ProductID]],tblProducts[ProductID],tblProducts[ProductName],"not found")</f>
        <v>Adult</v>
      </c>
      <c r="I1494" t="str">
        <f>_xlfn.XLOOKUP(tblOrders[[#This Row],[ProductID]],tblProducts[ProductID],tblProducts[Category],"not found")</f>
        <v>Furniture</v>
      </c>
      <c r="J1494">
        <f>_xlfn.XLOOKUP(tblOrders[[#This Row],[ProductID]],tblProducts[ProductID],tblProducts[UnitPrice],"not found")</f>
        <v>322.33999999999997</v>
      </c>
      <c r="K1494" t="str">
        <f>_xlfn.XLOOKUP(tblOrders[[#This Row],[ProductID]],tblProducts[ProductID],tblProducts[Supplier],"not found")</f>
        <v>Parker-Butler</v>
      </c>
      <c r="L1494" s="1" t="s">
        <v>2227</v>
      </c>
      <c r="M14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45244</v>
      </c>
      <c r="N1494">
        <v>2</v>
      </c>
      <c r="O1494">
        <v>644.67999999999995</v>
      </c>
      <c r="P1494">
        <f>tblOrders[[#This Row],[Quantity]]*tblOrders[[#This Row],[Unit Price]]</f>
        <v>644.67999999999995</v>
      </c>
      <c r="Q1494">
        <f>tblOrders[[#This Row],[TotalSales]]-tblOrders[[#This Row],[Calculated Sales]]</f>
        <v>0</v>
      </c>
    </row>
    <row r="1495" spans="1:17" x14ac:dyDescent="0.25">
      <c r="A1495">
        <v>1232</v>
      </c>
      <c r="B1495">
        <v>365</v>
      </c>
      <c r="C1495" t="str">
        <f>_xlfn.XLOOKUP(tblOrders[[#This Row],[CustomerID]],tblCustomers[CustomerID],tblCustomers[CustomerName],"not found")</f>
        <v>David Shaw</v>
      </c>
      <c r="D1495">
        <f>_xlfn.XLOOKUP(tblOrders[[#This Row],[CustomerID]],tblCustomers[CustomerID],tblCustomers[Age],"not found")</f>
        <v>38</v>
      </c>
      <c r="E1495" t="str">
        <f>_xlfn.XLOOKUP(tblOrders[[#This Row],[CustomerID]],tblCustomers[CustomerID],tblCustomers[Gender],"not found")</f>
        <v>Female</v>
      </c>
      <c r="F1495" t="str">
        <f>_xlfn.XLOOKUP(tblOrders[[#This Row],[CustomerID]],tblCustomers[CustomerID],tblCustomers[Region],"not found")</f>
        <v>East</v>
      </c>
      <c r="G1495">
        <v>1068</v>
      </c>
      <c r="H1495" t="str">
        <f>_xlfn.XLOOKUP(tblOrders[[#This Row],[ProductID]],tblProducts[ProductID],tblProducts[ProductName],"not found")</f>
        <v>Adult</v>
      </c>
      <c r="I1495" t="str">
        <f>_xlfn.XLOOKUP(tblOrders[[#This Row],[ProductID]],tblProducts[ProductID],tblProducts[Category],"not found")</f>
        <v>Furniture</v>
      </c>
      <c r="J1495">
        <f>_xlfn.XLOOKUP(tblOrders[[#This Row],[ProductID]],tblProducts[ProductID],tblProducts[UnitPrice],"not found")</f>
        <v>322.33999999999997</v>
      </c>
      <c r="K1495" t="str">
        <f>_xlfn.XLOOKUP(tblOrders[[#This Row],[ProductID]],tblProducts[ProductID],tblProducts[Supplier],"not found")</f>
        <v>Parker-Butler</v>
      </c>
      <c r="L1495" s="1" t="s">
        <v>2050</v>
      </c>
      <c r="M14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45001</v>
      </c>
      <c r="N1495">
        <v>3</v>
      </c>
      <c r="O1495">
        <v>967.02</v>
      </c>
      <c r="P1495">
        <f>tblOrders[[#This Row],[Quantity]]*tblOrders[[#This Row],[Unit Price]]</f>
        <v>967.02</v>
      </c>
      <c r="Q1495">
        <f>tblOrders[[#This Row],[TotalSales]]-tblOrders[[#This Row],[Calculated Sales]]</f>
        <v>0</v>
      </c>
    </row>
    <row r="1496" spans="1:17" x14ac:dyDescent="0.25">
      <c r="A1496">
        <v>1269</v>
      </c>
      <c r="B1496">
        <v>820</v>
      </c>
      <c r="C1496" t="str">
        <f>_xlfn.XLOOKUP(tblOrders[[#This Row],[CustomerID]],tblCustomers[CustomerID],tblCustomers[CustomerName],"not found")</f>
        <v>Roberta Jones</v>
      </c>
      <c r="D1496">
        <f>_xlfn.XLOOKUP(tblOrders[[#This Row],[CustomerID]],tblCustomers[CustomerID],tblCustomers[Age],"not found")</f>
        <v>38</v>
      </c>
      <c r="E1496" t="str">
        <f>_xlfn.XLOOKUP(tblOrders[[#This Row],[CustomerID]],tblCustomers[CustomerID],tblCustomers[Gender],"not found")</f>
        <v>Male</v>
      </c>
      <c r="F1496" t="str">
        <f>_xlfn.XLOOKUP(tblOrders[[#This Row],[CustomerID]],tblCustomers[CustomerID],tblCustomers[Region],"not found")</f>
        <v>Central</v>
      </c>
      <c r="G1496">
        <v>1068</v>
      </c>
      <c r="H1496" t="str">
        <f>_xlfn.XLOOKUP(tblOrders[[#This Row],[ProductID]],tblProducts[ProductID],tblProducts[ProductName],"not found")</f>
        <v>Adult</v>
      </c>
      <c r="I1496" t="str">
        <f>_xlfn.XLOOKUP(tblOrders[[#This Row],[ProductID]],tblProducts[ProductID],tblProducts[Category],"not found")</f>
        <v>Furniture</v>
      </c>
      <c r="J1496">
        <f>_xlfn.XLOOKUP(tblOrders[[#This Row],[ProductID]],tblProducts[ProductID],tblProducts[UnitPrice],"not found")</f>
        <v>322.33999999999997</v>
      </c>
      <c r="K1496" t="str">
        <f>_xlfn.XLOOKUP(tblOrders[[#This Row],[ProductID]],tblProducts[ProductID],tblProducts[Supplier],"not found")</f>
        <v>Parker-Butler</v>
      </c>
      <c r="L1496" s="1">
        <v>45203</v>
      </c>
      <c r="M14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45203</v>
      </c>
      <c r="N1496">
        <v>7</v>
      </c>
      <c r="O1496">
        <v>2256.38</v>
      </c>
      <c r="P1496">
        <f>tblOrders[[#This Row],[Quantity]]*tblOrders[[#This Row],[Unit Price]]</f>
        <v>2256.3799999999997</v>
      </c>
      <c r="Q1496">
        <f>tblOrders[[#This Row],[TotalSales]]-tblOrders[[#This Row],[Calculated Sales]]</f>
        <v>0</v>
      </c>
    </row>
    <row r="1497" spans="1:17" x14ac:dyDescent="0.25">
      <c r="A1497">
        <v>1830</v>
      </c>
      <c r="B1497">
        <v>673</v>
      </c>
      <c r="C1497" t="str">
        <f>_xlfn.XLOOKUP(tblOrders[[#This Row],[CustomerID]],tblCustomers[CustomerID],tblCustomers[CustomerName],"not found")</f>
        <v>Gregory Walters</v>
      </c>
      <c r="D1497">
        <f>_xlfn.XLOOKUP(tblOrders[[#This Row],[CustomerID]],tblCustomers[CustomerID],tblCustomers[Age],"not found")</f>
        <v>65</v>
      </c>
      <c r="E1497" t="str">
        <f>_xlfn.XLOOKUP(tblOrders[[#This Row],[CustomerID]],tblCustomers[CustomerID],tblCustomers[Gender],"not found")</f>
        <v>Female</v>
      </c>
      <c r="F1497" t="str">
        <f>_xlfn.XLOOKUP(tblOrders[[#This Row],[CustomerID]],tblCustomers[CustomerID],tblCustomers[Region],"not found")</f>
        <v>North</v>
      </c>
      <c r="G1497">
        <v>1068</v>
      </c>
      <c r="H1497" t="str">
        <f>_xlfn.XLOOKUP(tblOrders[[#This Row],[ProductID]],tblProducts[ProductID],tblProducts[ProductName],"not found")</f>
        <v>Adult</v>
      </c>
      <c r="I1497" t="str">
        <f>_xlfn.XLOOKUP(tblOrders[[#This Row],[ProductID]],tblProducts[ProductID],tblProducts[Category],"not found")</f>
        <v>Furniture</v>
      </c>
      <c r="J1497">
        <f>_xlfn.XLOOKUP(tblOrders[[#This Row],[ProductID]],tblProducts[ProductID],tblProducts[UnitPrice],"not found")</f>
        <v>322.33999999999997</v>
      </c>
      <c r="K1497" t="str">
        <f>_xlfn.XLOOKUP(tblOrders[[#This Row],[ProductID]],tblProducts[ProductID],tblProducts[Supplier],"not found")</f>
        <v>Parker-Butler</v>
      </c>
      <c r="L1497" s="1" t="s">
        <v>2194</v>
      </c>
      <c r="M14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45531</v>
      </c>
      <c r="N1497">
        <v>1</v>
      </c>
      <c r="O1497">
        <v>322.33999999999997</v>
      </c>
      <c r="P1497">
        <f>tblOrders[[#This Row],[Quantity]]*tblOrders[[#This Row],[Unit Price]]</f>
        <v>322.33999999999997</v>
      </c>
      <c r="Q1497">
        <f>tblOrders[[#This Row],[TotalSales]]-tblOrders[[#This Row],[Calculated Sales]]</f>
        <v>0</v>
      </c>
    </row>
    <row r="1498" spans="1:17" x14ac:dyDescent="0.25">
      <c r="A1498">
        <v>1922</v>
      </c>
      <c r="B1498">
        <v>895</v>
      </c>
      <c r="C1498" t="str">
        <f>_xlfn.XLOOKUP(tblOrders[[#This Row],[CustomerID]],tblCustomers[CustomerID],tblCustomers[CustomerName],"not found")</f>
        <v>Tommy Lambert</v>
      </c>
      <c r="D1498">
        <f>_xlfn.XLOOKUP(tblOrders[[#This Row],[CustomerID]],tblCustomers[CustomerID],tblCustomers[Age],"not found")</f>
        <v>56</v>
      </c>
      <c r="E1498" t="str">
        <f>_xlfn.XLOOKUP(tblOrders[[#This Row],[CustomerID]],tblCustomers[CustomerID],tblCustomers[Gender],"not found")</f>
        <v>Female</v>
      </c>
      <c r="F1498" t="str">
        <f>_xlfn.XLOOKUP(tblOrders[[#This Row],[CustomerID]],tblCustomers[CustomerID],tblCustomers[Region],"not found")</f>
        <v>West</v>
      </c>
      <c r="G1498">
        <v>1068</v>
      </c>
      <c r="H1498" t="str">
        <f>_xlfn.XLOOKUP(tblOrders[[#This Row],[ProductID]],tblProducts[ProductID],tblProducts[ProductName],"not found")</f>
        <v>Adult</v>
      </c>
      <c r="I1498" t="str">
        <f>_xlfn.XLOOKUP(tblOrders[[#This Row],[ProductID]],tblProducts[ProductID],tblProducts[Category],"not found")</f>
        <v>Furniture</v>
      </c>
      <c r="J1498">
        <f>_xlfn.XLOOKUP(tblOrders[[#This Row],[ProductID]],tblProducts[ProductID],tblProducts[UnitPrice],"not found")</f>
        <v>322.33999999999997</v>
      </c>
      <c r="K1498" t="str">
        <f>_xlfn.XLOOKUP(tblOrders[[#This Row],[ProductID]],tblProducts[ProductID],tblProducts[Supplier],"not found")</f>
        <v>Parker-Butler</v>
      </c>
      <c r="L1498" s="1">
        <v>45355</v>
      </c>
      <c r="M14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45355</v>
      </c>
      <c r="N1498">
        <v>4</v>
      </c>
      <c r="O1498">
        <v>1289.3599999999999</v>
      </c>
      <c r="P1498">
        <f>tblOrders[[#This Row],[Quantity]]*tblOrders[[#This Row],[Unit Price]]</f>
        <v>1289.3599999999999</v>
      </c>
      <c r="Q1498">
        <f>tblOrders[[#This Row],[TotalSales]]-tblOrders[[#This Row],[Calculated Sales]]</f>
        <v>0</v>
      </c>
    </row>
    <row r="1499" spans="1:17" x14ac:dyDescent="0.25">
      <c r="A1499">
        <v>118</v>
      </c>
      <c r="B1499">
        <v>622</v>
      </c>
      <c r="C1499" t="str">
        <f>_xlfn.XLOOKUP(tblOrders[[#This Row],[CustomerID]],tblCustomers[CustomerID],tblCustomers[CustomerName],"not found")</f>
        <v>Luke Kane</v>
      </c>
      <c r="D1499">
        <f>_xlfn.XLOOKUP(tblOrders[[#This Row],[CustomerID]],tblCustomers[CustomerID],tblCustomers[Age],"not found")</f>
        <v>53</v>
      </c>
      <c r="E1499" t="str">
        <f>_xlfn.XLOOKUP(tblOrders[[#This Row],[CustomerID]],tblCustomers[CustomerID],tblCustomers[Gender],"not found")</f>
        <v>Female</v>
      </c>
      <c r="F1499" t="str">
        <f>_xlfn.XLOOKUP(tblOrders[[#This Row],[CustomerID]],tblCustomers[CustomerID],tblCustomers[Region],"not found")</f>
        <v>South</v>
      </c>
      <c r="G1499">
        <v>1049</v>
      </c>
      <c r="H1499" t="str">
        <f>_xlfn.XLOOKUP(tblOrders[[#This Row],[ProductID]],tblProducts[ProductID],tblProducts[ProductName],"not found")</f>
        <v>Article</v>
      </c>
      <c r="I1499" t="str">
        <f>_xlfn.XLOOKUP(tblOrders[[#This Row],[ProductID]],tblProducts[ProductID],tblProducts[Category],"not found")</f>
        <v>Electronics</v>
      </c>
      <c r="J1499">
        <f>_xlfn.XLOOKUP(tblOrders[[#This Row],[ProductID]],tblProducts[ProductID],tblProducts[UnitPrice],"not found")</f>
        <v>168.28</v>
      </c>
      <c r="K1499" t="str">
        <f>_xlfn.XLOOKUP(tblOrders[[#This Row],[ProductID]],tblProducts[ProductID],tblProducts[Supplier],"not found")</f>
        <v>Hanson LLC</v>
      </c>
      <c r="L1499" s="1" t="s">
        <v>2220</v>
      </c>
      <c r="M14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45342</v>
      </c>
      <c r="N1499">
        <v>8</v>
      </c>
      <c r="O1499">
        <v>1346.24</v>
      </c>
      <c r="P1499">
        <f>tblOrders[[#This Row],[Quantity]]*tblOrders[[#This Row],[Unit Price]]</f>
        <v>1346.24</v>
      </c>
      <c r="Q1499">
        <f>tblOrders[[#This Row],[TotalSales]]-tblOrders[[#This Row],[Calculated Sales]]</f>
        <v>0</v>
      </c>
    </row>
    <row r="1500" spans="1:17" x14ac:dyDescent="0.25">
      <c r="A1500">
        <v>191</v>
      </c>
      <c r="B1500">
        <v>578</v>
      </c>
      <c r="C1500" t="str">
        <f>_xlfn.XLOOKUP(tblOrders[[#This Row],[CustomerID]],tblCustomers[CustomerID],tblCustomers[CustomerName],"not found")</f>
        <v>Heather Craig</v>
      </c>
      <c r="D1500">
        <f>_xlfn.XLOOKUP(tblOrders[[#This Row],[CustomerID]],tblCustomers[CustomerID],tblCustomers[Age],"not found")</f>
        <v>30</v>
      </c>
      <c r="E1500" t="str">
        <f>_xlfn.XLOOKUP(tblOrders[[#This Row],[CustomerID]],tblCustomers[CustomerID],tblCustomers[Gender],"not found")</f>
        <v>Female</v>
      </c>
      <c r="F1500" t="str">
        <f>_xlfn.XLOOKUP(tblOrders[[#This Row],[CustomerID]],tblCustomers[CustomerID],tblCustomers[Region],"not found")</f>
        <v>South</v>
      </c>
      <c r="G1500">
        <v>1049</v>
      </c>
      <c r="H1500" t="str">
        <f>_xlfn.XLOOKUP(tblOrders[[#This Row],[ProductID]],tblProducts[ProductID],tblProducts[ProductName],"not found")</f>
        <v>Article</v>
      </c>
      <c r="I1500" t="str">
        <f>_xlfn.XLOOKUP(tblOrders[[#This Row],[ProductID]],tblProducts[ProductID],tblProducts[Category],"not found")</f>
        <v>Electronics</v>
      </c>
      <c r="J1500">
        <f>_xlfn.XLOOKUP(tblOrders[[#This Row],[ProductID]],tblProducts[ProductID],tblProducts[UnitPrice],"not found")</f>
        <v>168.28</v>
      </c>
      <c r="K1500" t="str">
        <f>_xlfn.XLOOKUP(tblOrders[[#This Row],[ProductID]],tblProducts[ProductID],tblProducts[Supplier],"not found")</f>
        <v>Hanson LLC</v>
      </c>
      <c r="L1500" s="1">
        <v>45451</v>
      </c>
      <c r="M15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1500">
        <v>4</v>
      </c>
      <c r="O1500">
        <v>673.12</v>
      </c>
      <c r="P1500">
        <f>tblOrders[[#This Row],[Quantity]]*tblOrders[[#This Row],[Unit Price]]</f>
        <v>673.12</v>
      </c>
      <c r="Q1500">
        <f>tblOrders[[#This Row],[TotalSales]]-tblOrders[[#This Row],[Calculated Sales]]</f>
        <v>0</v>
      </c>
    </row>
    <row r="1501" spans="1:17" x14ac:dyDescent="0.25">
      <c r="A1501">
        <v>357</v>
      </c>
      <c r="B1501">
        <v>692</v>
      </c>
      <c r="C1501" t="str">
        <f>_xlfn.XLOOKUP(tblOrders[[#This Row],[CustomerID]],tblCustomers[CustomerID],tblCustomers[CustomerName],"not found")</f>
        <v>Dana Romero</v>
      </c>
      <c r="D1501">
        <f>_xlfn.XLOOKUP(tblOrders[[#This Row],[CustomerID]],tblCustomers[CustomerID],tblCustomers[Age],"not found")</f>
        <v>62</v>
      </c>
      <c r="E1501" t="str">
        <f>_xlfn.XLOOKUP(tblOrders[[#This Row],[CustomerID]],tblCustomers[CustomerID],tblCustomers[Gender],"not found")</f>
        <v>Male</v>
      </c>
      <c r="F1501" t="str">
        <f>_xlfn.XLOOKUP(tblOrders[[#This Row],[CustomerID]],tblCustomers[CustomerID],tblCustomers[Region],"not found")</f>
        <v>East</v>
      </c>
      <c r="G1501">
        <v>1049</v>
      </c>
      <c r="H1501" t="str">
        <f>_xlfn.XLOOKUP(tblOrders[[#This Row],[ProductID]],tblProducts[ProductID],tblProducts[ProductName],"not found")</f>
        <v>Article</v>
      </c>
      <c r="I1501" t="str">
        <f>_xlfn.XLOOKUP(tblOrders[[#This Row],[ProductID]],tblProducts[ProductID],tblProducts[Category],"not found")</f>
        <v>Electronics</v>
      </c>
      <c r="J1501">
        <f>_xlfn.XLOOKUP(tblOrders[[#This Row],[ProductID]],tblProducts[ProductID],tblProducts[UnitPrice],"not found")</f>
        <v>168.28</v>
      </c>
      <c r="K1501" t="str">
        <f>_xlfn.XLOOKUP(tblOrders[[#This Row],[ProductID]],tblProducts[ProductID],tblProducts[Supplier],"not found")</f>
        <v>Hanson LLC</v>
      </c>
      <c r="L1501" s="1" t="s">
        <v>2187</v>
      </c>
      <c r="M15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45553</v>
      </c>
      <c r="N1501">
        <v>5</v>
      </c>
      <c r="O1501">
        <v>841.4</v>
      </c>
      <c r="P1501">
        <f>tblOrders[[#This Row],[Quantity]]*tblOrders[[#This Row],[Unit Price]]</f>
        <v>841.4</v>
      </c>
      <c r="Q1501">
        <f>tblOrders[[#This Row],[TotalSales]]-tblOrders[[#This Row],[Calculated Sales]]</f>
        <v>0</v>
      </c>
    </row>
    <row r="1502" spans="1:17" x14ac:dyDescent="0.25">
      <c r="A1502">
        <v>504</v>
      </c>
      <c r="B1502">
        <v>372</v>
      </c>
      <c r="C1502" t="str">
        <f>_xlfn.XLOOKUP(tblOrders[[#This Row],[CustomerID]],tblCustomers[CustomerID],tblCustomers[CustomerName],"not found")</f>
        <v>Whitney Daniels</v>
      </c>
      <c r="D1502">
        <f>_xlfn.XLOOKUP(tblOrders[[#This Row],[CustomerID]],tblCustomers[CustomerID],tblCustomers[Age],"not found")</f>
        <v>50</v>
      </c>
      <c r="E1502" t="str">
        <f>_xlfn.XLOOKUP(tblOrders[[#This Row],[CustomerID]],tblCustomers[CustomerID],tblCustomers[Gender],"not found")</f>
        <v>Female</v>
      </c>
      <c r="F1502" t="str">
        <f>_xlfn.XLOOKUP(tblOrders[[#This Row],[CustomerID]],tblCustomers[CustomerID],tblCustomers[Region],"not found")</f>
        <v>Central</v>
      </c>
      <c r="G1502">
        <v>1049</v>
      </c>
      <c r="H1502" t="str">
        <f>_xlfn.XLOOKUP(tblOrders[[#This Row],[ProductID]],tblProducts[ProductID],tblProducts[ProductName],"not found")</f>
        <v>Article</v>
      </c>
      <c r="I1502" t="str">
        <f>_xlfn.XLOOKUP(tblOrders[[#This Row],[ProductID]],tblProducts[ProductID],tblProducts[Category],"not found")</f>
        <v>Electronics</v>
      </c>
      <c r="J1502">
        <f>_xlfn.XLOOKUP(tblOrders[[#This Row],[ProductID]],tblProducts[ProductID],tblProducts[UnitPrice],"not found")</f>
        <v>168.28</v>
      </c>
      <c r="K1502" t="str">
        <f>_xlfn.XLOOKUP(tblOrders[[#This Row],[ProductID]],tblProducts[ProductID],tblProducts[Supplier],"not found")</f>
        <v>Hanson LLC</v>
      </c>
      <c r="L1502" s="1" t="s">
        <v>2100</v>
      </c>
      <c r="M15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44878</v>
      </c>
      <c r="N1502">
        <v>6</v>
      </c>
      <c r="O1502">
        <v>1009.68</v>
      </c>
      <c r="P1502">
        <f>tblOrders[[#This Row],[Quantity]]*tblOrders[[#This Row],[Unit Price]]</f>
        <v>1009.6800000000001</v>
      </c>
      <c r="Q1502">
        <f>tblOrders[[#This Row],[TotalSales]]-tblOrders[[#This Row],[Calculated Sales]]</f>
        <v>0</v>
      </c>
    </row>
    <row r="1503" spans="1:17" x14ac:dyDescent="0.25">
      <c r="A1503">
        <v>505</v>
      </c>
      <c r="B1503">
        <v>426</v>
      </c>
      <c r="C1503" t="str">
        <f>_xlfn.XLOOKUP(tblOrders[[#This Row],[CustomerID]],tblCustomers[CustomerID],tblCustomers[CustomerName],"not found")</f>
        <v>Kevin Garcia</v>
      </c>
      <c r="D1503">
        <f>_xlfn.XLOOKUP(tblOrders[[#This Row],[CustomerID]],tblCustomers[CustomerID],tblCustomers[Age],"not found")</f>
        <v>53</v>
      </c>
      <c r="E1503" t="str">
        <f>_xlfn.XLOOKUP(tblOrders[[#This Row],[CustomerID]],tblCustomers[CustomerID],tblCustomers[Gender],"not found")</f>
        <v>Male</v>
      </c>
      <c r="F1503" t="str">
        <f>_xlfn.XLOOKUP(tblOrders[[#This Row],[CustomerID]],tblCustomers[CustomerID],tblCustomers[Region],"not found")</f>
        <v>South</v>
      </c>
      <c r="G1503">
        <v>1049</v>
      </c>
      <c r="H1503" t="str">
        <f>_xlfn.XLOOKUP(tblOrders[[#This Row],[ProductID]],tblProducts[ProductID],tblProducts[ProductName],"not found")</f>
        <v>Article</v>
      </c>
      <c r="I1503" t="str">
        <f>_xlfn.XLOOKUP(tblOrders[[#This Row],[ProductID]],tblProducts[ProductID],tblProducts[Category],"not found")</f>
        <v>Electronics</v>
      </c>
      <c r="J1503">
        <f>_xlfn.XLOOKUP(tblOrders[[#This Row],[ProductID]],tblProducts[ProductID],tblProducts[UnitPrice],"not found")</f>
        <v>168.28</v>
      </c>
      <c r="K1503" t="str">
        <f>_xlfn.XLOOKUP(tblOrders[[#This Row],[ProductID]],tblProducts[ProductID],tblProducts[Supplier],"not found")</f>
        <v>Hanson LLC</v>
      </c>
      <c r="L1503" s="1" t="s">
        <v>2396</v>
      </c>
      <c r="M15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45153</v>
      </c>
      <c r="N1503">
        <v>5</v>
      </c>
      <c r="O1503">
        <v>841.4</v>
      </c>
      <c r="P1503">
        <f>tblOrders[[#This Row],[Quantity]]*tblOrders[[#This Row],[Unit Price]]</f>
        <v>841.4</v>
      </c>
      <c r="Q1503">
        <f>tblOrders[[#This Row],[TotalSales]]-tblOrders[[#This Row],[Calculated Sales]]</f>
        <v>0</v>
      </c>
    </row>
    <row r="1504" spans="1:17" x14ac:dyDescent="0.25">
      <c r="A1504">
        <v>594</v>
      </c>
      <c r="B1504">
        <v>84</v>
      </c>
      <c r="C1504" t="str">
        <f>_xlfn.XLOOKUP(tblOrders[[#This Row],[CustomerID]],tblCustomers[CustomerID],tblCustomers[CustomerName],"not found")</f>
        <v>Christian Lee</v>
      </c>
      <c r="D1504">
        <f>_xlfn.XLOOKUP(tblOrders[[#This Row],[CustomerID]],tblCustomers[CustomerID],tblCustomers[Age],"not found")</f>
        <v>29</v>
      </c>
      <c r="E1504" t="str">
        <f>_xlfn.XLOOKUP(tblOrders[[#This Row],[CustomerID]],tblCustomers[CustomerID],tblCustomers[Gender],"not found")</f>
        <v>Male</v>
      </c>
      <c r="F1504" t="str">
        <f>_xlfn.XLOOKUP(tblOrders[[#This Row],[CustomerID]],tblCustomers[CustomerID],tblCustomers[Region],"not found")</f>
        <v>South</v>
      </c>
      <c r="G1504">
        <v>1049</v>
      </c>
      <c r="H1504" t="str">
        <f>_xlfn.XLOOKUP(tblOrders[[#This Row],[ProductID]],tblProducts[ProductID],tblProducts[ProductName],"not found")</f>
        <v>Article</v>
      </c>
      <c r="I1504" t="str">
        <f>_xlfn.XLOOKUP(tblOrders[[#This Row],[ProductID]],tblProducts[ProductID],tblProducts[Category],"not found")</f>
        <v>Electronics</v>
      </c>
      <c r="J1504">
        <f>_xlfn.XLOOKUP(tblOrders[[#This Row],[ProductID]],tblProducts[ProductID],tblProducts[UnitPrice],"not found")</f>
        <v>168.28</v>
      </c>
      <c r="K1504" t="str">
        <f>_xlfn.XLOOKUP(tblOrders[[#This Row],[ProductID]],tblProducts[ProductID],tblProducts[Supplier],"not found")</f>
        <v>Hanson LLC</v>
      </c>
      <c r="L1504" s="1" t="s">
        <v>2020</v>
      </c>
      <c r="M15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45565</v>
      </c>
      <c r="N1504">
        <v>4</v>
      </c>
      <c r="O1504">
        <v>673.12</v>
      </c>
      <c r="P1504">
        <f>tblOrders[[#This Row],[Quantity]]*tblOrders[[#This Row],[Unit Price]]</f>
        <v>673.12</v>
      </c>
      <c r="Q1504">
        <f>tblOrders[[#This Row],[TotalSales]]-tblOrders[[#This Row],[Calculated Sales]]</f>
        <v>0</v>
      </c>
    </row>
    <row r="1505" spans="1:17" x14ac:dyDescent="0.25">
      <c r="A1505">
        <v>612</v>
      </c>
      <c r="B1505">
        <v>764</v>
      </c>
      <c r="C1505" t="str">
        <f>_xlfn.XLOOKUP(tblOrders[[#This Row],[CustomerID]],tblCustomers[CustomerID],tblCustomers[CustomerName],"not found")</f>
        <v>Joshua Thompson</v>
      </c>
      <c r="D1505">
        <f>_xlfn.XLOOKUP(tblOrders[[#This Row],[CustomerID]],tblCustomers[CustomerID],tblCustomers[Age],"not found")</f>
        <v>62</v>
      </c>
      <c r="E1505" t="str">
        <f>_xlfn.XLOOKUP(tblOrders[[#This Row],[CustomerID]],tblCustomers[CustomerID],tblCustomers[Gender],"not found")</f>
        <v>Female</v>
      </c>
      <c r="F1505" t="str">
        <f>_xlfn.XLOOKUP(tblOrders[[#This Row],[CustomerID]],tblCustomers[CustomerID],tblCustomers[Region],"not found")</f>
        <v>East</v>
      </c>
      <c r="G1505">
        <v>1049</v>
      </c>
      <c r="H1505" t="str">
        <f>_xlfn.XLOOKUP(tblOrders[[#This Row],[ProductID]],tblProducts[ProductID],tblProducts[ProductName],"not found")</f>
        <v>Article</v>
      </c>
      <c r="I1505" t="str">
        <f>_xlfn.XLOOKUP(tblOrders[[#This Row],[ProductID]],tblProducts[ProductID],tblProducts[Category],"not found")</f>
        <v>Electronics</v>
      </c>
      <c r="J1505">
        <f>_xlfn.XLOOKUP(tblOrders[[#This Row],[ProductID]],tblProducts[ProductID],tblProducts[UnitPrice],"not found")</f>
        <v>168.28</v>
      </c>
      <c r="K1505" t="str">
        <f>_xlfn.XLOOKUP(tblOrders[[#This Row],[ProductID]],tblProducts[ProductID],tblProducts[Supplier],"not found")</f>
        <v>Hanson LLC</v>
      </c>
      <c r="L1505" s="1" t="s">
        <v>2397</v>
      </c>
      <c r="M15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45073</v>
      </c>
      <c r="N1505">
        <v>9</v>
      </c>
      <c r="O1505">
        <v>1514.52</v>
      </c>
      <c r="P1505">
        <f>tblOrders[[#This Row],[Quantity]]*tblOrders[[#This Row],[Unit Price]]</f>
        <v>1514.52</v>
      </c>
      <c r="Q1505">
        <f>tblOrders[[#This Row],[TotalSales]]-tblOrders[[#This Row],[Calculated Sales]]</f>
        <v>0</v>
      </c>
    </row>
    <row r="1506" spans="1:17" x14ac:dyDescent="0.25">
      <c r="A1506">
        <v>780</v>
      </c>
      <c r="B1506">
        <v>913</v>
      </c>
      <c r="C1506" t="str">
        <f>_xlfn.XLOOKUP(tblOrders[[#This Row],[CustomerID]],tblCustomers[CustomerID],tblCustomers[CustomerName],"not found")</f>
        <v>Johnny Howe</v>
      </c>
      <c r="D1506">
        <f>_xlfn.XLOOKUP(tblOrders[[#This Row],[CustomerID]],tblCustomers[CustomerID],tblCustomers[Age],"not found")</f>
        <v>42</v>
      </c>
      <c r="E1506" t="str">
        <f>_xlfn.XLOOKUP(tblOrders[[#This Row],[CustomerID]],tblCustomers[CustomerID],tblCustomers[Gender],"not found")</f>
        <v>Male</v>
      </c>
      <c r="F1506" t="str">
        <f>_xlfn.XLOOKUP(tblOrders[[#This Row],[CustomerID]],tblCustomers[CustomerID],tblCustomers[Region],"not found")</f>
        <v>West</v>
      </c>
      <c r="G1506">
        <v>1049</v>
      </c>
      <c r="H1506" t="str">
        <f>_xlfn.XLOOKUP(tblOrders[[#This Row],[ProductID]],tblProducts[ProductID],tblProducts[ProductName],"not found")</f>
        <v>Article</v>
      </c>
      <c r="I1506" t="str">
        <f>_xlfn.XLOOKUP(tblOrders[[#This Row],[ProductID]],tblProducts[ProductID],tblProducts[Category],"not found")</f>
        <v>Electronics</v>
      </c>
      <c r="J1506">
        <f>_xlfn.XLOOKUP(tblOrders[[#This Row],[ProductID]],tblProducts[ProductID],tblProducts[UnitPrice],"not found")</f>
        <v>168.28</v>
      </c>
      <c r="K1506" t="str">
        <f>_xlfn.XLOOKUP(tblOrders[[#This Row],[ProductID]],tblProducts[ProductID],tblProducts[Supplier],"not found")</f>
        <v>Hanson LLC</v>
      </c>
      <c r="L1506" s="1" t="s">
        <v>2080</v>
      </c>
      <c r="M15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44895</v>
      </c>
      <c r="N1506">
        <v>7</v>
      </c>
      <c r="O1506">
        <v>1177.96</v>
      </c>
      <c r="P1506">
        <f>tblOrders[[#This Row],[Quantity]]*tblOrders[[#This Row],[Unit Price]]</f>
        <v>1177.96</v>
      </c>
      <c r="Q1506">
        <f>tblOrders[[#This Row],[TotalSales]]-tblOrders[[#This Row],[Calculated Sales]]</f>
        <v>0</v>
      </c>
    </row>
    <row r="1507" spans="1:17" x14ac:dyDescent="0.25">
      <c r="A1507">
        <v>1013</v>
      </c>
      <c r="B1507">
        <v>563</v>
      </c>
      <c r="C1507" t="str">
        <f>_xlfn.XLOOKUP(tblOrders[[#This Row],[CustomerID]],tblCustomers[CustomerID],tblCustomers[CustomerName],"not found")</f>
        <v>Timothy Robertson</v>
      </c>
      <c r="D1507">
        <f>_xlfn.XLOOKUP(tblOrders[[#This Row],[CustomerID]],tblCustomers[CustomerID],tblCustomers[Age],"not found")</f>
        <v>52</v>
      </c>
      <c r="E1507" t="str">
        <f>_xlfn.XLOOKUP(tblOrders[[#This Row],[CustomerID]],tblCustomers[CustomerID],tblCustomers[Gender],"not found")</f>
        <v>Male</v>
      </c>
      <c r="F1507" t="str">
        <f>_xlfn.XLOOKUP(tblOrders[[#This Row],[CustomerID]],tblCustomers[CustomerID],tblCustomers[Region],"not found")</f>
        <v>North</v>
      </c>
      <c r="G1507">
        <v>1049</v>
      </c>
      <c r="H1507" t="str">
        <f>_xlfn.XLOOKUP(tblOrders[[#This Row],[ProductID]],tblProducts[ProductID],tblProducts[ProductName],"not found")</f>
        <v>Article</v>
      </c>
      <c r="I1507" t="str">
        <f>_xlfn.XLOOKUP(tblOrders[[#This Row],[ProductID]],tblProducts[ProductID],tblProducts[Category],"not found")</f>
        <v>Electronics</v>
      </c>
      <c r="J1507">
        <f>_xlfn.XLOOKUP(tblOrders[[#This Row],[ProductID]],tblProducts[ProductID],tblProducts[UnitPrice],"not found")</f>
        <v>168.28</v>
      </c>
      <c r="K1507" t="str">
        <f>_xlfn.XLOOKUP(tblOrders[[#This Row],[ProductID]],tblProducts[ProductID],tblProducts[Supplier],"not found")</f>
        <v>Hanson LLC</v>
      </c>
      <c r="L1507" s="1" t="s">
        <v>2115</v>
      </c>
      <c r="M15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45339</v>
      </c>
      <c r="N1507">
        <v>3</v>
      </c>
      <c r="O1507">
        <v>504.84</v>
      </c>
      <c r="P1507">
        <f>tblOrders[[#This Row],[Quantity]]*tblOrders[[#This Row],[Unit Price]]</f>
        <v>504.84000000000003</v>
      </c>
      <c r="Q1507">
        <f>tblOrders[[#This Row],[TotalSales]]-tblOrders[[#This Row],[Calculated Sales]]</f>
        <v>0</v>
      </c>
    </row>
    <row r="1508" spans="1:17" x14ac:dyDescent="0.25">
      <c r="A1508">
        <v>1124</v>
      </c>
      <c r="B1508">
        <v>25</v>
      </c>
      <c r="C1508" t="str">
        <f>_xlfn.XLOOKUP(tblOrders[[#This Row],[CustomerID]],tblCustomers[CustomerID],tblCustomers[CustomerName],"not found")</f>
        <v>Ashley Collins</v>
      </c>
      <c r="D1508">
        <f>_xlfn.XLOOKUP(tblOrders[[#This Row],[CustomerID]],tblCustomers[CustomerID],tblCustomers[Age],"not found")</f>
        <v>41</v>
      </c>
      <c r="E1508" t="str">
        <f>_xlfn.XLOOKUP(tblOrders[[#This Row],[CustomerID]],tblCustomers[CustomerID],tblCustomers[Gender],"not found")</f>
        <v>Female</v>
      </c>
      <c r="F1508" t="str">
        <f>_xlfn.XLOOKUP(tblOrders[[#This Row],[CustomerID]],tblCustomers[CustomerID],tblCustomers[Region],"not found")</f>
        <v>Central</v>
      </c>
      <c r="G1508">
        <v>1049</v>
      </c>
      <c r="H1508" t="str">
        <f>_xlfn.XLOOKUP(tblOrders[[#This Row],[ProductID]],tblProducts[ProductID],tblProducts[ProductName],"not found")</f>
        <v>Article</v>
      </c>
      <c r="I1508" t="str">
        <f>_xlfn.XLOOKUP(tblOrders[[#This Row],[ProductID]],tblProducts[ProductID],tblProducts[Category],"not found")</f>
        <v>Electronics</v>
      </c>
      <c r="J1508">
        <f>_xlfn.XLOOKUP(tblOrders[[#This Row],[ProductID]],tblProducts[ProductID],tblProducts[UnitPrice],"not found")</f>
        <v>168.28</v>
      </c>
      <c r="K1508" t="str">
        <f>_xlfn.XLOOKUP(tblOrders[[#This Row],[ProductID]],tblProducts[ProductID],tblProducts[Supplier],"not found")</f>
        <v>Hanson LLC</v>
      </c>
      <c r="L1508" s="1" t="s">
        <v>2118</v>
      </c>
      <c r="M15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45247</v>
      </c>
      <c r="N1508">
        <v>4</v>
      </c>
      <c r="O1508">
        <v>673.12</v>
      </c>
      <c r="P1508">
        <f>tblOrders[[#This Row],[Quantity]]*tblOrders[[#This Row],[Unit Price]]</f>
        <v>673.12</v>
      </c>
      <c r="Q1508">
        <f>tblOrders[[#This Row],[TotalSales]]-tblOrders[[#This Row],[Calculated Sales]]</f>
        <v>0</v>
      </c>
    </row>
    <row r="1509" spans="1:17" x14ac:dyDescent="0.25">
      <c r="A1509">
        <v>1168</v>
      </c>
      <c r="B1509">
        <v>555</v>
      </c>
      <c r="C1509" t="str">
        <f>_xlfn.XLOOKUP(tblOrders[[#This Row],[CustomerID]],tblCustomers[CustomerID],tblCustomers[CustomerName],"not found")</f>
        <v>Sharon Vincent</v>
      </c>
      <c r="D1509">
        <f>_xlfn.XLOOKUP(tblOrders[[#This Row],[CustomerID]],tblCustomers[CustomerID],tblCustomers[Age],"not found")</f>
        <v>24</v>
      </c>
      <c r="E1509" t="str">
        <f>_xlfn.XLOOKUP(tblOrders[[#This Row],[CustomerID]],tblCustomers[CustomerID],tblCustomers[Gender],"not found")</f>
        <v>Female</v>
      </c>
      <c r="F1509" t="str">
        <f>_xlfn.XLOOKUP(tblOrders[[#This Row],[CustomerID]],tblCustomers[CustomerID],tblCustomers[Region],"not found")</f>
        <v>West</v>
      </c>
      <c r="G1509">
        <v>1049</v>
      </c>
      <c r="H1509" t="str">
        <f>_xlfn.XLOOKUP(tblOrders[[#This Row],[ProductID]],tblProducts[ProductID],tblProducts[ProductName],"not found")</f>
        <v>Article</v>
      </c>
      <c r="I1509" t="str">
        <f>_xlfn.XLOOKUP(tblOrders[[#This Row],[ProductID]],tblProducts[ProductID],tblProducts[Category],"not found")</f>
        <v>Electronics</v>
      </c>
      <c r="J1509">
        <f>_xlfn.XLOOKUP(tblOrders[[#This Row],[ProductID]],tblProducts[ProductID],tblProducts[UnitPrice],"not found")</f>
        <v>168.28</v>
      </c>
      <c r="K1509" t="str">
        <f>_xlfn.XLOOKUP(tblOrders[[#This Row],[ProductID]],tblProducts[ProductID],tblProducts[Supplier],"not found")</f>
        <v>Hanson LLC</v>
      </c>
      <c r="L1509" s="1" t="s">
        <v>2277</v>
      </c>
      <c r="M15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45230</v>
      </c>
      <c r="N1509">
        <v>9</v>
      </c>
      <c r="O1509">
        <v>1514.52</v>
      </c>
      <c r="P1509">
        <f>tblOrders[[#This Row],[Quantity]]*tblOrders[[#This Row],[Unit Price]]</f>
        <v>1514.52</v>
      </c>
      <c r="Q1509">
        <f>tblOrders[[#This Row],[TotalSales]]-tblOrders[[#This Row],[Calculated Sales]]</f>
        <v>0</v>
      </c>
    </row>
    <row r="1510" spans="1:17" x14ac:dyDescent="0.25">
      <c r="A1510">
        <v>1375</v>
      </c>
      <c r="B1510">
        <v>309</v>
      </c>
      <c r="C1510" t="str">
        <f>_xlfn.XLOOKUP(tblOrders[[#This Row],[CustomerID]],tblCustomers[CustomerID],tblCustomers[CustomerName],"not found")</f>
        <v>Carrie Rowe</v>
      </c>
      <c r="D1510">
        <f>_xlfn.XLOOKUP(tblOrders[[#This Row],[CustomerID]],tblCustomers[CustomerID],tblCustomers[Age],"not found")</f>
        <v>35</v>
      </c>
      <c r="E1510" t="str">
        <f>_xlfn.XLOOKUP(tblOrders[[#This Row],[CustomerID]],tblCustomers[CustomerID],tblCustomers[Gender],"not found")</f>
        <v>Female</v>
      </c>
      <c r="F1510" t="str">
        <f>_xlfn.XLOOKUP(tblOrders[[#This Row],[CustomerID]],tblCustomers[CustomerID],tblCustomers[Region],"not found")</f>
        <v>West</v>
      </c>
      <c r="G1510">
        <v>1049</v>
      </c>
      <c r="H1510" t="str">
        <f>_xlfn.XLOOKUP(tblOrders[[#This Row],[ProductID]],tblProducts[ProductID],tblProducts[ProductName],"not found")</f>
        <v>Article</v>
      </c>
      <c r="I1510" t="str">
        <f>_xlfn.XLOOKUP(tblOrders[[#This Row],[ProductID]],tblProducts[ProductID],tblProducts[Category],"not found")</f>
        <v>Electronics</v>
      </c>
      <c r="J1510">
        <f>_xlfn.XLOOKUP(tblOrders[[#This Row],[ProductID]],tblProducts[ProductID],tblProducts[UnitPrice],"not found")</f>
        <v>168.28</v>
      </c>
      <c r="K1510" t="str">
        <f>_xlfn.XLOOKUP(tblOrders[[#This Row],[ProductID]],tblProducts[ProductID],tblProducts[Supplier],"not found")</f>
        <v>Hanson LLC</v>
      </c>
      <c r="L1510" s="1" t="s">
        <v>2253</v>
      </c>
      <c r="M15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45007</v>
      </c>
      <c r="N1510">
        <v>2</v>
      </c>
      <c r="O1510">
        <v>336.56</v>
      </c>
      <c r="P1510">
        <f>tblOrders[[#This Row],[Quantity]]*tblOrders[[#This Row],[Unit Price]]</f>
        <v>336.56</v>
      </c>
      <c r="Q1510">
        <f>tblOrders[[#This Row],[TotalSales]]-tblOrders[[#This Row],[Calculated Sales]]</f>
        <v>0</v>
      </c>
    </row>
    <row r="1511" spans="1:17" x14ac:dyDescent="0.25">
      <c r="A1511">
        <v>1445</v>
      </c>
      <c r="B1511">
        <v>529</v>
      </c>
      <c r="C1511" t="str">
        <f>_xlfn.XLOOKUP(tblOrders[[#This Row],[CustomerID]],tblCustomers[CustomerID],tblCustomers[CustomerName],"not found")</f>
        <v>Sean Phillips</v>
      </c>
      <c r="D1511">
        <f>_xlfn.XLOOKUP(tblOrders[[#This Row],[CustomerID]],tblCustomers[CustomerID],tblCustomers[Age],"not found")</f>
        <v>57</v>
      </c>
      <c r="E1511" t="str">
        <f>_xlfn.XLOOKUP(tblOrders[[#This Row],[CustomerID]],tblCustomers[CustomerID],tblCustomers[Gender],"not found")</f>
        <v>Female</v>
      </c>
      <c r="F1511" t="str">
        <f>_xlfn.XLOOKUP(tblOrders[[#This Row],[CustomerID]],tblCustomers[CustomerID],tblCustomers[Region],"not found")</f>
        <v>Central</v>
      </c>
      <c r="G1511">
        <v>1049</v>
      </c>
      <c r="H1511" t="str">
        <f>_xlfn.XLOOKUP(tblOrders[[#This Row],[ProductID]],tblProducts[ProductID],tblProducts[ProductName],"not found")</f>
        <v>Article</v>
      </c>
      <c r="I1511" t="str">
        <f>_xlfn.XLOOKUP(tblOrders[[#This Row],[ProductID]],tblProducts[ProductID],tblProducts[Category],"not found")</f>
        <v>Electronics</v>
      </c>
      <c r="J1511">
        <f>_xlfn.XLOOKUP(tblOrders[[#This Row],[ProductID]],tblProducts[ProductID],tblProducts[UnitPrice],"not found")</f>
        <v>168.28</v>
      </c>
      <c r="K1511" t="str">
        <f>_xlfn.XLOOKUP(tblOrders[[#This Row],[ProductID]],tblProducts[ProductID],tblProducts[Supplier],"not found")</f>
        <v>Hanson LLC</v>
      </c>
      <c r="L1511" s="1" t="s">
        <v>2398</v>
      </c>
      <c r="M15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45564</v>
      </c>
      <c r="N1511">
        <v>9</v>
      </c>
      <c r="O1511">
        <v>1514.52</v>
      </c>
      <c r="P1511">
        <f>tblOrders[[#This Row],[Quantity]]*tblOrders[[#This Row],[Unit Price]]</f>
        <v>1514.52</v>
      </c>
      <c r="Q1511">
        <f>tblOrders[[#This Row],[TotalSales]]-tblOrders[[#This Row],[Calculated Sales]]</f>
        <v>0</v>
      </c>
    </row>
    <row r="1512" spans="1:17" x14ac:dyDescent="0.25">
      <c r="A1512">
        <v>1469</v>
      </c>
      <c r="B1512">
        <v>930</v>
      </c>
      <c r="C1512" t="str">
        <f>_xlfn.XLOOKUP(tblOrders[[#This Row],[CustomerID]],tblCustomers[CustomerID],tblCustomers[CustomerName],"not found")</f>
        <v>Mary Edwards</v>
      </c>
      <c r="D1512">
        <f>_xlfn.XLOOKUP(tblOrders[[#This Row],[CustomerID]],tblCustomers[CustomerID],tblCustomers[Age],"not found")</f>
        <v>20</v>
      </c>
      <c r="E1512" t="str">
        <f>_xlfn.XLOOKUP(tblOrders[[#This Row],[CustomerID]],tblCustomers[CustomerID],tblCustomers[Gender],"not found")</f>
        <v>Male</v>
      </c>
      <c r="F1512" t="str">
        <f>_xlfn.XLOOKUP(tblOrders[[#This Row],[CustomerID]],tblCustomers[CustomerID],tblCustomers[Region],"not found")</f>
        <v>South</v>
      </c>
      <c r="G1512">
        <v>1049</v>
      </c>
      <c r="H1512" t="str">
        <f>_xlfn.XLOOKUP(tblOrders[[#This Row],[ProductID]],tblProducts[ProductID],tblProducts[ProductName],"not found")</f>
        <v>Article</v>
      </c>
      <c r="I1512" t="str">
        <f>_xlfn.XLOOKUP(tblOrders[[#This Row],[ProductID]],tblProducts[ProductID],tblProducts[Category],"not found")</f>
        <v>Electronics</v>
      </c>
      <c r="J1512">
        <f>_xlfn.XLOOKUP(tblOrders[[#This Row],[ProductID]],tblProducts[ProductID],tblProducts[UnitPrice],"not found")</f>
        <v>168.28</v>
      </c>
      <c r="K1512" t="str">
        <f>_xlfn.XLOOKUP(tblOrders[[#This Row],[ProductID]],tblProducts[ProductID],tblProducts[Supplier],"not found")</f>
        <v>Hanson LLC</v>
      </c>
      <c r="L1512" s="1">
        <v>45150</v>
      </c>
      <c r="M15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45150</v>
      </c>
      <c r="N1512">
        <v>1</v>
      </c>
      <c r="O1512">
        <v>168.28</v>
      </c>
      <c r="P1512">
        <f>tblOrders[[#This Row],[Quantity]]*tblOrders[[#This Row],[Unit Price]]</f>
        <v>168.28</v>
      </c>
      <c r="Q1512">
        <f>tblOrders[[#This Row],[TotalSales]]-tblOrders[[#This Row],[Calculated Sales]]</f>
        <v>0</v>
      </c>
    </row>
    <row r="1513" spans="1:17" x14ac:dyDescent="0.25">
      <c r="A1513">
        <v>1493</v>
      </c>
      <c r="B1513">
        <v>784</v>
      </c>
      <c r="C1513" t="str">
        <f>_xlfn.XLOOKUP(tblOrders[[#This Row],[CustomerID]],tblCustomers[CustomerID],tblCustomers[CustomerName],"not found")</f>
        <v>Matthew Henderson</v>
      </c>
      <c r="D1513">
        <f>_xlfn.XLOOKUP(tblOrders[[#This Row],[CustomerID]],tblCustomers[CustomerID],tblCustomers[Age],"not found")</f>
        <v>26</v>
      </c>
      <c r="E1513" t="str">
        <f>_xlfn.XLOOKUP(tblOrders[[#This Row],[CustomerID]],tblCustomers[CustomerID],tblCustomers[Gender],"not found")</f>
        <v>Female</v>
      </c>
      <c r="F1513" t="str">
        <f>_xlfn.XLOOKUP(tblOrders[[#This Row],[CustomerID]],tblCustomers[CustomerID],tblCustomers[Region],"not found")</f>
        <v>Central</v>
      </c>
      <c r="G1513">
        <v>1049</v>
      </c>
      <c r="H1513" t="str">
        <f>_xlfn.XLOOKUP(tblOrders[[#This Row],[ProductID]],tblProducts[ProductID],tblProducts[ProductName],"not found")</f>
        <v>Article</v>
      </c>
      <c r="I1513" t="str">
        <f>_xlfn.XLOOKUP(tblOrders[[#This Row],[ProductID]],tblProducts[ProductID],tblProducts[Category],"not found")</f>
        <v>Electronics</v>
      </c>
      <c r="J1513">
        <f>_xlfn.XLOOKUP(tblOrders[[#This Row],[ProductID]],tblProducts[ProductID],tblProducts[UnitPrice],"not found")</f>
        <v>168.28</v>
      </c>
      <c r="K1513" t="str">
        <f>_xlfn.XLOOKUP(tblOrders[[#This Row],[ProductID]],tblProducts[ProductID],tblProducts[Supplier],"not found")</f>
        <v>Hanson LLC</v>
      </c>
      <c r="L1513" s="1" t="s">
        <v>2210</v>
      </c>
      <c r="M15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45374</v>
      </c>
      <c r="N1513">
        <v>4</v>
      </c>
      <c r="O1513">
        <v>673.12</v>
      </c>
      <c r="P1513">
        <f>tblOrders[[#This Row],[Quantity]]*tblOrders[[#This Row],[Unit Price]]</f>
        <v>673.12</v>
      </c>
      <c r="Q1513">
        <f>tblOrders[[#This Row],[TotalSales]]-tblOrders[[#This Row],[Calculated Sales]]</f>
        <v>0</v>
      </c>
    </row>
    <row r="1514" spans="1:17" x14ac:dyDescent="0.25">
      <c r="A1514">
        <v>1723</v>
      </c>
      <c r="B1514">
        <v>698</v>
      </c>
      <c r="C1514" t="str">
        <f>_xlfn.XLOOKUP(tblOrders[[#This Row],[CustomerID]],tblCustomers[CustomerID],tblCustomers[CustomerName],"not found")</f>
        <v>Matthew Thomas</v>
      </c>
      <c r="D1514">
        <f>_xlfn.XLOOKUP(tblOrders[[#This Row],[CustomerID]],tblCustomers[CustomerID],tblCustomers[Age],"not found")</f>
        <v>35</v>
      </c>
      <c r="E1514" t="str">
        <f>_xlfn.XLOOKUP(tblOrders[[#This Row],[CustomerID]],tblCustomers[CustomerID],tblCustomers[Gender],"not found")</f>
        <v>Male</v>
      </c>
      <c r="F1514" t="str">
        <f>_xlfn.XLOOKUP(tblOrders[[#This Row],[CustomerID]],tblCustomers[CustomerID],tblCustomers[Region],"not found")</f>
        <v>North</v>
      </c>
      <c r="G1514">
        <v>1049</v>
      </c>
      <c r="H1514" t="str">
        <f>_xlfn.XLOOKUP(tblOrders[[#This Row],[ProductID]],tblProducts[ProductID],tblProducts[ProductName],"not found")</f>
        <v>Article</v>
      </c>
      <c r="I1514" t="str">
        <f>_xlfn.XLOOKUP(tblOrders[[#This Row],[ProductID]],tblProducts[ProductID],tblProducts[Category],"not found")</f>
        <v>Electronics</v>
      </c>
      <c r="J1514">
        <f>_xlfn.XLOOKUP(tblOrders[[#This Row],[ProductID]],tblProducts[ProductID],tblProducts[UnitPrice],"not found")</f>
        <v>168.28</v>
      </c>
      <c r="K1514" t="str">
        <f>_xlfn.XLOOKUP(tblOrders[[#This Row],[ProductID]],tblProducts[ProductID],tblProducts[Supplier],"not found")</f>
        <v>Hanson LLC</v>
      </c>
      <c r="L1514" s="1" t="s">
        <v>2024</v>
      </c>
      <c r="M15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44941</v>
      </c>
      <c r="N1514">
        <v>1</v>
      </c>
      <c r="O1514">
        <v>168.28</v>
      </c>
      <c r="P1514">
        <f>tblOrders[[#This Row],[Quantity]]*tblOrders[[#This Row],[Unit Price]]</f>
        <v>168.28</v>
      </c>
      <c r="Q1514">
        <f>tblOrders[[#This Row],[TotalSales]]-tblOrders[[#This Row],[Calculated Sales]]</f>
        <v>0</v>
      </c>
    </row>
    <row r="1515" spans="1:17" x14ac:dyDescent="0.25">
      <c r="A1515">
        <v>1823</v>
      </c>
      <c r="B1515">
        <v>283</v>
      </c>
      <c r="C1515" t="str">
        <f>_xlfn.XLOOKUP(tblOrders[[#This Row],[CustomerID]],tblCustomers[CustomerID],tblCustomers[CustomerName],"not found")</f>
        <v>Michael Payne</v>
      </c>
      <c r="D1515">
        <f>_xlfn.XLOOKUP(tblOrders[[#This Row],[CustomerID]],tblCustomers[CustomerID],tblCustomers[Age],"not found")</f>
        <v>25</v>
      </c>
      <c r="E1515" t="str">
        <f>_xlfn.XLOOKUP(tblOrders[[#This Row],[CustomerID]],tblCustomers[CustomerID],tblCustomers[Gender],"not found")</f>
        <v>Female</v>
      </c>
      <c r="F1515" t="str">
        <f>_xlfn.XLOOKUP(tblOrders[[#This Row],[CustomerID]],tblCustomers[CustomerID],tblCustomers[Region],"not found")</f>
        <v>East</v>
      </c>
      <c r="G1515">
        <v>1049</v>
      </c>
      <c r="H1515" t="str">
        <f>_xlfn.XLOOKUP(tblOrders[[#This Row],[ProductID]],tblProducts[ProductID],tblProducts[ProductName],"not found")</f>
        <v>Article</v>
      </c>
      <c r="I1515" t="str">
        <f>_xlfn.XLOOKUP(tblOrders[[#This Row],[ProductID]],tblProducts[ProductID],tblProducts[Category],"not found")</f>
        <v>Electronics</v>
      </c>
      <c r="J1515">
        <f>_xlfn.XLOOKUP(tblOrders[[#This Row],[ProductID]],tblProducts[ProductID],tblProducts[UnitPrice],"not found")</f>
        <v>168.28</v>
      </c>
      <c r="K1515" t="str">
        <f>_xlfn.XLOOKUP(tblOrders[[#This Row],[ProductID]],tblProducts[ProductID],tblProducts[Supplier],"not found")</f>
        <v>Hanson LLC</v>
      </c>
      <c r="L1515" s="1">
        <v>45482</v>
      </c>
      <c r="M15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45482</v>
      </c>
      <c r="N1515">
        <v>7</v>
      </c>
      <c r="O1515">
        <v>1177.96</v>
      </c>
      <c r="P1515">
        <f>tblOrders[[#This Row],[Quantity]]*tblOrders[[#This Row],[Unit Price]]</f>
        <v>1177.96</v>
      </c>
      <c r="Q1515">
        <f>tblOrders[[#This Row],[TotalSales]]-tblOrders[[#This Row],[Calculated Sales]]</f>
        <v>0</v>
      </c>
    </row>
    <row r="1516" spans="1:17" x14ac:dyDescent="0.25">
      <c r="A1516">
        <v>119</v>
      </c>
      <c r="B1516">
        <v>972</v>
      </c>
      <c r="C1516" t="str">
        <f>_xlfn.XLOOKUP(tblOrders[[#This Row],[CustomerID]],tblCustomers[CustomerID],tblCustomers[CustomerName],"not found")</f>
        <v>Steven Francis</v>
      </c>
      <c r="D1516">
        <f>_xlfn.XLOOKUP(tblOrders[[#This Row],[CustomerID]],tblCustomers[CustomerID],tblCustomers[Age],"not found")</f>
        <v>35</v>
      </c>
      <c r="E1516" t="str">
        <f>_xlfn.XLOOKUP(tblOrders[[#This Row],[CustomerID]],tblCustomers[CustomerID],tblCustomers[Gender],"not found")</f>
        <v>Female</v>
      </c>
      <c r="F1516" t="str">
        <f>_xlfn.XLOOKUP(tblOrders[[#This Row],[CustomerID]],tblCustomers[CustomerID],tblCustomers[Region],"not found")</f>
        <v>East</v>
      </c>
      <c r="G1516">
        <v>1018</v>
      </c>
      <c r="H1516" t="str">
        <f>_xlfn.XLOOKUP(tblOrders[[#This Row],[ProductID]],tblProducts[ProductID],tblProducts[ProductName],"not found")</f>
        <v>Memory</v>
      </c>
      <c r="I1516" t="str">
        <f>_xlfn.XLOOKUP(tblOrders[[#This Row],[ProductID]],tblProducts[ProductID],tblProducts[Category],"not found")</f>
        <v>Beauty</v>
      </c>
      <c r="J1516">
        <f>_xlfn.XLOOKUP(tblOrders[[#This Row],[ProductID]],tblProducts[ProductID],tblProducts[UnitPrice],"not found")</f>
        <v>352.12</v>
      </c>
      <c r="K1516" t="str">
        <f>_xlfn.XLOOKUP(tblOrders[[#This Row],[ProductID]],tblProducts[ProductID],tblProducts[Supplier],"not found")</f>
        <v>Ellis and Sons</v>
      </c>
      <c r="L1516" s="1" t="s">
        <v>2111</v>
      </c>
      <c r="M15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45343</v>
      </c>
      <c r="N1516">
        <v>2</v>
      </c>
      <c r="O1516">
        <v>704.24</v>
      </c>
      <c r="P1516">
        <f>tblOrders[[#This Row],[Quantity]]*tblOrders[[#This Row],[Unit Price]]</f>
        <v>704.24</v>
      </c>
      <c r="Q1516">
        <f>tblOrders[[#This Row],[TotalSales]]-tblOrders[[#This Row],[Calculated Sales]]</f>
        <v>0</v>
      </c>
    </row>
    <row r="1517" spans="1:17" x14ac:dyDescent="0.25">
      <c r="A1517">
        <v>274</v>
      </c>
      <c r="B1517">
        <v>727</v>
      </c>
      <c r="C1517" t="str">
        <f>_xlfn.XLOOKUP(tblOrders[[#This Row],[CustomerID]],tblCustomers[CustomerID],tblCustomers[CustomerName],"not found")</f>
        <v>Megan Holmes</v>
      </c>
      <c r="D1517">
        <f>_xlfn.XLOOKUP(tblOrders[[#This Row],[CustomerID]],tblCustomers[CustomerID],tblCustomers[Age],"not found")</f>
        <v>67</v>
      </c>
      <c r="E1517" t="str">
        <f>_xlfn.XLOOKUP(tblOrders[[#This Row],[CustomerID]],tblCustomers[CustomerID],tblCustomers[Gender],"not found")</f>
        <v>Male</v>
      </c>
      <c r="F1517" t="str">
        <f>_xlfn.XLOOKUP(tblOrders[[#This Row],[CustomerID]],tblCustomers[CustomerID],tblCustomers[Region],"not found")</f>
        <v>North</v>
      </c>
      <c r="G1517">
        <v>1018</v>
      </c>
      <c r="H1517" t="str">
        <f>_xlfn.XLOOKUP(tblOrders[[#This Row],[ProductID]],tblProducts[ProductID],tblProducts[ProductName],"not found")</f>
        <v>Memory</v>
      </c>
      <c r="I1517" t="str">
        <f>_xlfn.XLOOKUP(tblOrders[[#This Row],[ProductID]],tblProducts[ProductID],tblProducts[Category],"not found")</f>
        <v>Beauty</v>
      </c>
      <c r="J1517">
        <f>_xlfn.XLOOKUP(tblOrders[[#This Row],[ProductID]],tblProducts[ProductID],tblProducts[UnitPrice],"not found")</f>
        <v>352.12</v>
      </c>
      <c r="K1517" t="str">
        <f>_xlfn.XLOOKUP(tblOrders[[#This Row],[ProductID]],tblProducts[ProductID],tblProducts[Supplier],"not found")</f>
        <v>Ellis and Sons</v>
      </c>
      <c r="L1517" s="1">
        <v>45173</v>
      </c>
      <c r="M15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45173</v>
      </c>
      <c r="N1517">
        <v>9</v>
      </c>
      <c r="O1517">
        <v>3169.08</v>
      </c>
      <c r="P1517">
        <f>tblOrders[[#This Row],[Quantity]]*tblOrders[[#This Row],[Unit Price]]</f>
        <v>3169.08</v>
      </c>
      <c r="Q1517">
        <f>tblOrders[[#This Row],[TotalSales]]-tblOrders[[#This Row],[Calculated Sales]]</f>
        <v>0</v>
      </c>
    </row>
    <row r="1518" spans="1:17" x14ac:dyDescent="0.25">
      <c r="A1518">
        <v>286</v>
      </c>
      <c r="B1518">
        <v>692</v>
      </c>
      <c r="C1518" t="str">
        <f>_xlfn.XLOOKUP(tblOrders[[#This Row],[CustomerID]],tblCustomers[CustomerID],tblCustomers[CustomerName],"not found")</f>
        <v>Dana Romero</v>
      </c>
      <c r="D1518">
        <f>_xlfn.XLOOKUP(tblOrders[[#This Row],[CustomerID]],tblCustomers[CustomerID],tblCustomers[Age],"not found")</f>
        <v>62</v>
      </c>
      <c r="E1518" t="str">
        <f>_xlfn.XLOOKUP(tblOrders[[#This Row],[CustomerID]],tblCustomers[CustomerID],tblCustomers[Gender],"not found")</f>
        <v>Male</v>
      </c>
      <c r="F1518" t="str">
        <f>_xlfn.XLOOKUP(tblOrders[[#This Row],[CustomerID]],tblCustomers[CustomerID],tblCustomers[Region],"not found")</f>
        <v>East</v>
      </c>
      <c r="G1518">
        <v>1018</v>
      </c>
      <c r="H1518" t="str">
        <f>_xlfn.XLOOKUP(tblOrders[[#This Row],[ProductID]],tblProducts[ProductID],tblProducts[ProductName],"not found")</f>
        <v>Memory</v>
      </c>
      <c r="I1518" t="str">
        <f>_xlfn.XLOOKUP(tblOrders[[#This Row],[ProductID]],tblProducts[ProductID],tblProducts[Category],"not found")</f>
        <v>Beauty</v>
      </c>
      <c r="J1518">
        <f>_xlfn.XLOOKUP(tblOrders[[#This Row],[ProductID]],tblProducts[ProductID],tblProducts[UnitPrice],"not found")</f>
        <v>352.12</v>
      </c>
      <c r="K1518" t="str">
        <f>_xlfn.XLOOKUP(tblOrders[[#This Row],[ProductID]],tblProducts[ProductID],tblProducts[Supplier],"not found")</f>
        <v>Ellis and Sons</v>
      </c>
      <c r="L1518" s="1" t="s">
        <v>2335</v>
      </c>
      <c r="M15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45549</v>
      </c>
      <c r="N1518">
        <v>6</v>
      </c>
      <c r="O1518">
        <v>2112.7199999999998</v>
      </c>
      <c r="P1518">
        <f>tblOrders[[#This Row],[Quantity]]*tblOrders[[#This Row],[Unit Price]]</f>
        <v>2112.7200000000003</v>
      </c>
      <c r="Q1518">
        <f>tblOrders[[#This Row],[TotalSales]]-tblOrders[[#This Row],[Calculated Sales]]</f>
        <v>0</v>
      </c>
    </row>
    <row r="1519" spans="1:17" x14ac:dyDescent="0.25">
      <c r="A1519">
        <v>358</v>
      </c>
      <c r="B1519">
        <v>322</v>
      </c>
      <c r="C1519" t="str">
        <f>_xlfn.XLOOKUP(tblOrders[[#This Row],[CustomerID]],tblCustomers[CustomerID],tblCustomers[CustomerName],"not found")</f>
        <v>Michelle Hart</v>
      </c>
      <c r="D1519">
        <f>_xlfn.XLOOKUP(tblOrders[[#This Row],[CustomerID]],tblCustomers[CustomerID],tblCustomers[Age],"not found")</f>
        <v>37</v>
      </c>
      <c r="E1519" t="str">
        <f>_xlfn.XLOOKUP(tblOrders[[#This Row],[CustomerID]],tblCustomers[CustomerID],tblCustomers[Gender],"not found")</f>
        <v>Male</v>
      </c>
      <c r="F1519" t="str">
        <f>_xlfn.XLOOKUP(tblOrders[[#This Row],[CustomerID]],tblCustomers[CustomerID],tblCustomers[Region],"not found")</f>
        <v>South</v>
      </c>
      <c r="G1519">
        <v>1018</v>
      </c>
      <c r="H1519" t="str">
        <f>_xlfn.XLOOKUP(tblOrders[[#This Row],[ProductID]],tblProducts[ProductID],tblProducts[ProductName],"not found")</f>
        <v>Memory</v>
      </c>
      <c r="I1519" t="str">
        <f>_xlfn.XLOOKUP(tblOrders[[#This Row],[ProductID]],tblProducts[ProductID],tblProducts[Category],"not found")</f>
        <v>Beauty</v>
      </c>
      <c r="J1519">
        <f>_xlfn.XLOOKUP(tblOrders[[#This Row],[ProductID]],tblProducts[ProductID],tblProducts[UnitPrice],"not found")</f>
        <v>352.12</v>
      </c>
      <c r="K1519" t="str">
        <f>_xlfn.XLOOKUP(tblOrders[[#This Row],[ProductID]],tblProducts[ProductID],tblProducts[Supplier],"not found")</f>
        <v>Ellis and Sons</v>
      </c>
      <c r="L1519" s="1">
        <v>45017</v>
      </c>
      <c r="M15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45017</v>
      </c>
      <c r="N1519">
        <v>7</v>
      </c>
      <c r="O1519">
        <v>2464.84</v>
      </c>
      <c r="P1519">
        <f>tblOrders[[#This Row],[Quantity]]*tblOrders[[#This Row],[Unit Price]]</f>
        <v>2464.84</v>
      </c>
      <c r="Q1519">
        <f>tblOrders[[#This Row],[TotalSales]]-tblOrders[[#This Row],[Calculated Sales]]</f>
        <v>0</v>
      </c>
    </row>
    <row r="1520" spans="1:17" x14ac:dyDescent="0.25">
      <c r="A1520">
        <v>452</v>
      </c>
      <c r="B1520">
        <v>276</v>
      </c>
      <c r="C1520" t="str">
        <f>_xlfn.XLOOKUP(tblOrders[[#This Row],[CustomerID]],tblCustomers[CustomerID],tblCustomers[CustomerName],"not found")</f>
        <v>Javier Ochoa</v>
      </c>
      <c r="D1520">
        <f>_xlfn.XLOOKUP(tblOrders[[#This Row],[CustomerID]],tblCustomers[CustomerID],tblCustomers[Age],"not found")</f>
        <v>47</v>
      </c>
      <c r="E1520" t="str">
        <f>_xlfn.XLOOKUP(tblOrders[[#This Row],[CustomerID]],tblCustomers[CustomerID],tblCustomers[Gender],"not found")</f>
        <v>Male</v>
      </c>
      <c r="F1520" t="str">
        <f>_xlfn.XLOOKUP(tblOrders[[#This Row],[CustomerID]],tblCustomers[CustomerID],tblCustomers[Region],"not found")</f>
        <v>East</v>
      </c>
      <c r="G1520">
        <v>1018</v>
      </c>
      <c r="H1520" t="str">
        <f>_xlfn.XLOOKUP(tblOrders[[#This Row],[ProductID]],tblProducts[ProductID],tblProducts[ProductName],"not found")</f>
        <v>Memory</v>
      </c>
      <c r="I1520" t="str">
        <f>_xlfn.XLOOKUP(tblOrders[[#This Row],[ProductID]],tblProducts[ProductID],tblProducts[Category],"not found")</f>
        <v>Beauty</v>
      </c>
      <c r="J1520">
        <f>_xlfn.XLOOKUP(tblOrders[[#This Row],[ProductID]],tblProducts[ProductID],tblProducts[UnitPrice],"not found")</f>
        <v>352.12</v>
      </c>
      <c r="K1520" t="str">
        <f>_xlfn.XLOOKUP(tblOrders[[#This Row],[ProductID]],tblProducts[ProductID],tblProducts[Supplier],"not found")</f>
        <v>Ellis and Sons</v>
      </c>
      <c r="L1520" s="1" t="s">
        <v>2389</v>
      </c>
      <c r="M15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45580</v>
      </c>
      <c r="N1520">
        <v>1</v>
      </c>
      <c r="O1520">
        <v>352.12</v>
      </c>
      <c r="P1520">
        <f>tblOrders[[#This Row],[Quantity]]*tblOrders[[#This Row],[Unit Price]]</f>
        <v>352.12</v>
      </c>
      <c r="Q1520">
        <f>tblOrders[[#This Row],[TotalSales]]-tblOrders[[#This Row],[Calculated Sales]]</f>
        <v>0</v>
      </c>
    </row>
    <row r="1521" spans="1:17" x14ac:dyDescent="0.25">
      <c r="A1521">
        <v>600</v>
      </c>
      <c r="B1521">
        <v>772</v>
      </c>
      <c r="C1521" t="str">
        <f>_xlfn.XLOOKUP(tblOrders[[#This Row],[CustomerID]],tblCustomers[CustomerID],tblCustomers[CustomerName],"not found")</f>
        <v>Veronica Smith</v>
      </c>
      <c r="D1521">
        <f>_xlfn.XLOOKUP(tblOrders[[#This Row],[CustomerID]],tblCustomers[CustomerID],tblCustomers[Age],"not found")</f>
        <v>65</v>
      </c>
      <c r="E1521" t="str">
        <f>_xlfn.XLOOKUP(tblOrders[[#This Row],[CustomerID]],tblCustomers[CustomerID],tblCustomers[Gender],"not found")</f>
        <v>Female</v>
      </c>
      <c r="F1521" t="str">
        <f>_xlfn.XLOOKUP(tblOrders[[#This Row],[CustomerID]],tblCustomers[CustomerID],tblCustomers[Region],"not found")</f>
        <v>North</v>
      </c>
      <c r="G1521">
        <v>1018</v>
      </c>
      <c r="H1521" t="str">
        <f>_xlfn.XLOOKUP(tblOrders[[#This Row],[ProductID]],tblProducts[ProductID],tblProducts[ProductName],"not found")</f>
        <v>Memory</v>
      </c>
      <c r="I1521" t="str">
        <f>_xlfn.XLOOKUP(tblOrders[[#This Row],[ProductID]],tblProducts[ProductID],tblProducts[Category],"not found")</f>
        <v>Beauty</v>
      </c>
      <c r="J1521">
        <f>_xlfn.XLOOKUP(tblOrders[[#This Row],[ProductID]],tblProducts[ProductID],tblProducts[UnitPrice],"not found")</f>
        <v>352.12</v>
      </c>
      <c r="K1521" t="str">
        <f>_xlfn.XLOOKUP(tblOrders[[#This Row],[ProductID]],tblProducts[ProductID],tblProducts[Supplier],"not found")</f>
        <v>Ellis and Sons</v>
      </c>
      <c r="L1521" s="1" t="s">
        <v>2255</v>
      </c>
      <c r="M15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45121</v>
      </c>
      <c r="N1521">
        <v>4</v>
      </c>
      <c r="O1521">
        <v>1408.48</v>
      </c>
      <c r="P1521">
        <f>tblOrders[[#This Row],[Quantity]]*tblOrders[[#This Row],[Unit Price]]</f>
        <v>1408.48</v>
      </c>
      <c r="Q1521">
        <f>tblOrders[[#This Row],[TotalSales]]-tblOrders[[#This Row],[Calculated Sales]]</f>
        <v>0</v>
      </c>
    </row>
    <row r="1522" spans="1:17" x14ac:dyDescent="0.25">
      <c r="A1522">
        <v>955</v>
      </c>
      <c r="B1522">
        <v>684</v>
      </c>
      <c r="C1522" t="str">
        <f>_xlfn.XLOOKUP(tblOrders[[#This Row],[CustomerID]],tblCustomers[CustomerID],tblCustomers[CustomerName],"not found")</f>
        <v>Bryan Mendez Jr.</v>
      </c>
      <c r="D1522">
        <f>_xlfn.XLOOKUP(tblOrders[[#This Row],[CustomerID]],tblCustomers[CustomerID],tblCustomers[Age],"not found")</f>
        <v>67</v>
      </c>
      <c r="E1522" t="str">
        <f>_xlfn.XLOOKUP(tblOrders[[#This Row],[CustomerID]],tblCustomers[CustomerID],tblCustomers[Gender],"not found")</f>
        <v>Male</v>
      </c>
      <c r="F1522" t="str">
        <f>_xlfn.XLOOKUP(tblOrders[[#This Row],[CustomerID]],tblCustomers[CustomerID],tblCustomers[Region],"not found")</f>
        <v>Central</v>
      </c>
      <c r="G1522">
        <v>1018</v>
      </c>
      <c r="H1522" t="str">
        <f>_xlfn.XLOOKUP(tblOrders[[#This Row],[ProductID]],tblProducts[ProductID],tblProducts[ProductName],"not found")</f>
        <v>Memory</v>
      </c>
      <c r="I1522" t="str">
        <f>_xlfn.XLOOKUP(tblOrders[[#This Row],[ProductID]],tblProducts[ProductID],tblProducts[Category],"not found")</f>
        <v>Beauty</v>
      </c>
      <c r="J1522">
        <f>_xlfn.XLOOKUP(tblOrders[[#This Row],[ProductID]],tblProducts[ProductID],tblProducts[UnitPrice],"not found")</f>
        <v>352.12</v>
      </c>
      <c r="K1522" t="str">
        <f>_xlfn.XLOOKUP(tblOrders[[#This Row],[ProductID]],tblProducts[ProductID],tblProducts[Supplier],"not found")</f>
        <v>Ellis and Sons</v>
      </c>
      <c r="L1522" s="1" t="s">
        <v>2239</v>
      </c>
      <c r="M15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45155</v>
      </c>
      <c r="N1522">
        <v>6</v>
      </c>
      <c r="O1522">
        <v>2112.7199999999998</v>
      </c>
      <c r="P1522">
        <f>tblOrders[[#This Row],[Quantity]]*tblOrders[[#This Row],[Unit Price]]</f>
        <v>2112.7200000000003</v>
      </c>
      <c r="Q1522">
        <f>tblOrders[[#This Row],[TotalSales]]-tblOrders[[#This Row],[Calculated Sales]]</f>
        <v>0</v>
      </c>
    </row>
    <row r="1523" spans="1:17" x14ac:dyDescent="0.25">
      <c r="A1523">
        <v>963</v>
      </c>
      <c r="B1523">
        <v>494</v>
      </c>
      <c r="C1523" t="str">
        <f>_xlfn.XLOOKUP(tblOrders[[#This Row],[CustomerID]],tblCustomers[CustomerID],tblCustomers[CustomerName],"not found")</f>
        <v>Rachel Leon</v>
      </c>
      <c r="D1523">
        <f>_xlfn.XLOOKUP(tblOrders[[#This Row],[CustomerID]],tblCustomers[CustomerID],tblCustomers[Age],"not found")</f>
        <v>68</v>
      </c>
      <c r="E1523" t="str">
        <f>_xlfn.XLOOKUP(tblOrders[[#This Row],[CustomerID]],tblCustomers[CustomerID],tblCustomers[Gender],"not found")</f>
        <v>Female</v>
      </c>
      <c r="F1523" t="str">
        <f>_xlfn.XLOOKUP(tblOrders[[#This Row],[CustomerID]],tblCustomers[CustomerID],tblCustomers[Region],"not found")</f>
        <v>North</v>
      </c>
      <c r="G1523">
        <v>1018</v>
      </c>
      <c r="H1523" t="str">
        <f>_xlfn.XLOOKUP(tblOrders[[#This Row],[ProductID]],tblProducts[ProductID],tblProducts[ProductName],"not found")</f>
        <v>Memory</v>
      </c>
      <c r="I1523" t="str">
        <f>_xlfn.XLOOKUP(tblOrders[[#This Row],[ProductID]],tblProducts[ProductID],tblProducts[Category],"not found")</f>
        <v>Beauty</v>
      </c>
      <c r="J1523">
        <f>_xlfn.XLOOKUP(tblOrders[[#This Row],[ProductID]],tblProducts[ProductID],tblProducts[UnitPrice],"not found")</f>
        <v>352.12</v>
      </c>
      <c r="K1523" t="str">
        <f>_xlfn.XLOOKUP(tblOrders[[#This Row],[ProductID]],tblProducts[ProductID],tblProducts[Supplier],"not found")</f>
        <v>Ellis and Sons</v>
      </c>
      <c r="L1523" s="1">
        <v>45270</v>
      </c>
      <c r="M15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45270</v>
      </c>
      <c r="N1523">
        <v>5</v>
      </c>
      <c r="O1523">
        <v>1760.6</v>
      </c>
      <c r="P1523">
        <f>tblOrders[[#This Row],[Quantity]]*tblOrders[[#This Row],[Unit Price]]</f>
        <v>1760.6</v>
      </c>
      <c r="Q1523">
        <f>tblOrders[[#This Row],[TotalSales]]-tblOrders[[#This Row],[Calculated Sales]]</f>
        <v>0</v>
      </c>
    </row>
    <row r="1524" spans="1:17" x14ac:dyDescent="0.25">
      <c r="A1524">
        <v>1074</v>
      </c>
      <c r="B1524">
        <v>534</v>
      </c>
      <c r="C1524" t="str">
        <f>_xlfn.XLOOKUP(tblOrders[[#This Row],[CustomerID]],tblCustomers[CustomerID],tblCustomers[CustomerName],"not found")</f>
        <v>Brett Solis</v>
      </c>
      <c r="D1524">
        <f>_xlfn.XLOOKUP(tblOrders[[#This Row],[CustomerID]],tblCustomers[CustomerID],tblCustomers[Age],"not found")</f>
        <v>33</v>
      </c>
      <c r="E1524" t="str">
        <f>_xlfn.XLOOKUP(tblOrders[[#This Row],[CustomerID]],tblCustomers[CustomerID],tblCustomers[Gender],"not found")</f>
        <v>Male</v>
      </c>
      <c r="F1524" t="str">
        <f>_xlfn.XLOOKUP(tblOrders[[#This Row],[CustomerID]],tblCustomers[CustomerID],tblCustomers[Region],"not found")</f>
        <v>West</v>
      </c>
      <c r="G1524">
        <v>1018</v>
      </c>
      <c r="H1524" t="str">
        <f>_xlfn.XLOOKUP(tblOrders[[#This Row],[ProductID]],tblProducts[ProductID],tblProducts[ProductName],"not found")</f>
        <v>Memory</v>
      </c>
      <c r="I1524" t="str">
        <f>_xlfn.XLOOKUP(tblOrders[[#This Row],[ProductID]],tblProducts[ProductID],tblProducts[Category],"not found")</f>
        <v>Beauty</v>
      </c>
      <c r="J1524">
        <f>_xlfn.XLOOKUP(tblOrders[[#This Row],[ProductID]],tblProducts[ProductID],tblProducts[UnitPrice],"not found")</f>
        <v>352.12</v>
      </c>
      <c r="K1524" t="str">
        <f>_xlfn.XLOOKUP(tblOrders[[#This Row],[ProductID]],tblProducts[ProductID],tblProducts[Supplier],"not found")</f>
        <v>Ellis and Sons</v>
      </c>
      <c r="L1524" s="1">
        <v>44785</v>
      </c>
      <c r="M15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44785</v>
      </c>
      <c r="N1524">
        <v>2</v>
      </c>
      <c r="O1524">
        <v>704.24</v>
      </c>
      <c r="P1524">
        <f>tblOrders[[#This Row],[Quantity]]*tblOrders[[#This Row],[Unit Price]]</f>
        <v>704.24</v>
      </c>
      <c r="Q1524">
        <f>tblOrders[[#This Row],[TotalSales]]-tblOrders[[#This Row],[Calculated Sales]]</f>
        <v>0</v>
      </c>
    </row>
    <row r="1525" spans="1:17" x14ac:dyDescent="0.25">
      <c r="A1525">
        <v>1264</v>
      </c>
      <c r="B1525">
        <v>397</v>
      </c>
      <c r="C1525" t="str">
        <f>_xlfn.XLOOKUP(tblOrders[[#This Row],[CustomerID]],tblCustomers[CustomerID],tblCustomers[CustomerName],"not found")</f>
        <v>Robert Evans</v>
      </c>
      <c r="D1525">
        <f>_xlfn.XLOOKUP(tblOrders[[#This Row],[CustomerID]],tblCustomers[CustomerID],tblCustomers[Age],"not found")</f>
        <v>31</v>
      </c>
      <c r="E1525" t="str">
        <f>_xlfn.XLOOKUP(tblOrders[[#This Row],[CustomerID]],tblCustomers[CustomerID],tblCustomers[Gender],"not found")</f>
        <v>Female</v>
      </c>
      <c r="F1525" t="str">
        <f>_xlfn.XLOOKUP(tblOrders[[#This Row],[CustomerID]],tblCustomers[CustomerID],tblCustomers[Region],"not found")</f>
        <v>East</v>
      </c>
      <c r="G1525">
        <v>1018</v>
      </c>
      <c r="H1525" t="str">
        <f>_xlfn.XLOOKUP(tblOrders[[#This Row],[ProductID]],tblProducts[ProductID],tblProducts[ProductName],"not found")</f>
        <v>Memory</v>
      </c>
      <c r="I1525" t="str">
        <f>_xlfn.XLOOKUP(tblOrders[[#This Row],[ProductID]],tblProducts[ProductID],tblProducts[Category],"not found")</f>
        <v>Beauty</v>
      </c>
      <c r="J1525">
        <f>_xlfn.XLOOKUP(tblOrders[[#This Row],[ProductID]],tblProducts[ProductID],tblProducts[UnitPrice],"not found")</f>
        <v>352.12</v>
      </c>
      <c r="K1525" t="str">
        <f>_xlfn.XLOOKUP(tblOrders[[#This Row],[ProductID]],tblProducts[ProductID],tblProducts[Supplier],"not found")</f>
        <v>Ellis and Sons</v>
      </c>
      <c r="L1525" s="1" t="s">
        <v>2302</v>
      </c>
      <c r="M15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45336</v>
      </c>
      <c r="N1525">
        <v>7</v>
      </c>
      <c r="O1525">
        <v>2464.84</v>
      </c>
      <c r="P1525">
        <f>tblOrders[[#This Row],[Quantity]]*tblOrders[[#This Row],[Unit Price]]</f>
        <v>2464.84</v>
      </c>
      <c r="Q1525">
        <f>tblOrders[[#This Row],[TotalSales]]-tblOrders[[#This Row],[Calculated Sales]]</f>
        <v>0</v>
      </c>
    </row>
    <row r="1526" spans="1:17" x14ac:dyDescent="0.25">
      <c r="A1526">
        <v>1303</v>
      </c>
      <c r="B1526">
        <v>977</v>
      </c>
      <c r="C1526" t="str">
        <f>_xlfn.XLOOKUP(tblOrders[[#This Row],[CustomerID]],tblCustomers[CustomerID],tblCustomers[CustomerName],"not found")</f>
        <v>Christian Johnston</v>
      </c>
      <c r="D1526">
        <f>_xlfn.XLOOKUP(tblOrders[[#This Row],[CustomerID]],tblCustomers[CustomerID],tblCustomers[Age],"not found")</f>
        <v>20</v>
      </c>
      <c r="E1526" t="str">
        <f>_xlfn.XLOOKUP(tblOrders[[#This Row],[CustomerID]],tblCustomers[CustomerID],tblCustomers[Gender],"not found")</f>
        <v>Male</v>
      </c>
      <c r="F1526" t="str">
        <f>_xlfn.XLOOKUP(tblOrders[[#This Row],[CustomerID]],tblCustomers[CustomerID],tblCustomers[Region],"not found")</f>
        <v>South</v>
      </c>
      <c r="G1526">
        <v>1018</v>
      </c>
      <c r="H1526" t="str">
        <f>_xlfn.XLOOKUP(tblOrders[[#This Row],[ProductID]],tblProducts[ProductID],tblProducts[ProductName],"not found")</f>
        <v>Memory</v>
      </c>
      <c r="I1526" t="str">
        <f>_xlfn.XLOOKUP(tblOrders[[#This Row],[ProductID]],tblProducts[ProductID],tblProducts[Category],"not found")</f>
        <v>Beauty</v>
      </c>
      <c r="J1526">
        <f>_xlfn.XLOOKUP(tblOrders[[#This Row],[ProductID]],tblProducts[ProductID],tblProducts[UnitPrice],"not found")</f>
        <v>352.12</v>
      </c>
      <c r="K1526" t="str">
        <f>_xlfn.XLOOKUP(tblOrders[[#This Row],[ProductID]],tblProducts[ProductID],tblProducts[Supplier],"not found")</f>
        <v>Ellis and Sons</v>
      </c>
      <c r="L1526" s="1" t="s">
        <v>2381</v>
      </c>
      <c r="M15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44949</v>
      </c>
      <c r="N1526">
        <v>5</v>
      </c>
      <c r="O1526">
        <v>1760.6</v>
      </c>
      <c r="P1526">
        <f>tblOrders[[#This Row],[Quantity]]*tblOrders[[#This Row],[Unit Price]]</f>
        <v>1760.6</v>
      </c>
      <c r="Q1526">
        <f>tblOrders[[#This Row],[TotalSales]]-tblOrders[[#This Row],[Calculated Sales]]</f>
        <v>0</v>
      </c>
    </row>
    <row r="1527" spans="1:17" x14ac:dyDescent="0.25">
      <c r="A1527">
        <v>1372</v>
      </c>
      <c r="B1527">
        <v>408</v>
      </c>
      <c r="C1527" t="str">
        <f>_xlfn.XLOOKUP(tblOrders[[#This Row],[CustomerID]],tblCustomers[CustomerID],tblCustomers[CustomerName],"not found")</f>
        <v>Alan Parks</v>
      </c>
      <c r="D1527">
        <f>_xlfn.XLOOKUP(tblOrders[[#This Row],[CustomerID]],tblCustomers[CustomerID],tblCustomers[Age],"not found")</f>
        <v>66</v>
      </c>
      <c r="E1527" t="str">
        <f>_xlfn.XLOOKUP(tblOrders[[#This Row],[CustomerID]],tblCustomers[CustomerID],tblCustomers[Gender],"not found")</f>
        <v>Female</v>
      </c>
      <c r="F1527" t="str">
        <f>_xlfn.XLOOKUP(tblOrders[[#This Row],[CustomerID]],tblCustomers[CustomerID],tblCustomers[Region],"not found")</f>
        <v>Central</v>
      </c>
      <c r="G1527">
        <v>1018</v>
      </c>
      <c r="H1527" t="str">
        <f>_xlfn.XLOOKUP(tblOrders[[#This Row],[ProductID]],tblProducts[ProductID],tblProducts[ProductName],"not found")</f>
        <v>Memory</v>
      </c>
      <c r="I1527" t="str">
        <f>_xlfn.XLOOKUP(tblOrders[[#This Row],[ProductID]],tblProducts[ProductID],tblProducts[Category],"not found")</f>
        <v>Beauty</v>
      </c>
      <c r="J1527">
        <f>_xlfn.XLOOKUP(tblOrders[[#This Row],[ProductID]],tblProducts[ProductID],tblProducts[UnitPrice],"not found")</f>
        <v>352.12</v>
      </c>
      <c r="K1527" t="str">
        <f>_xlfn.XLOOKUP(tblOrders[[#This Row],[ProductID]],tblProducts[ProductID],tblProducts[Supplier],"not found")</f>
        <v>Ellis and Sons</v>
      </c>
      <c r="L1527" s="1">
        <v>45140</v>
      </c>
      <c r="M15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45140</v>
      </c>
      <c r="N1527">
        <v>1</v>
      </c>
      <c r="O1527">
        <v>352.12</v>
      </c>
      <c r="P1527">
        <f>tblOrders[[#This Row],[Quantity]]*tblOrders[[#This Row],[Unit Price]]</f>
        <v>352.12</v>
      </c>
      <c r="Q1527">
        <f>tblOrders[[#This Row],[TotalSales]]-tblOrders[[#This Row],[Calculated Sales]]</f>
        <v>0</v>
      </c>
    </row>
    <row r="1528" spans="1:17" x14ac:dyDescent="0.25">
      <c r="A1528">
        <v>1553</v>
      </c>
      <c r="B1528">
        <v>456</v>
      </c>
      <c r="C1528" t="str">
        <f>_xlfn.XLOOKUP(tblOrders[[#This Row],[CustomerID]],tblCustomers[CustomerID],tblCustomers[CustomerName],"not found")</f>
        <v>Valerie Mays</v>
      </c>
      <c r="D1528">
        <f>_xlfn.XLOOKUP(tblOrders[[#This Row],[CustomerID]],tblCustomers[CustomerID],tblCustomers[Age],"not found")</f>
        <v>50</v>
      </c>
      <c r="E1528" t="str">
        <f>_xlfn.XLOOKUP(tblOrders[[#This Row],[CustomerID]],tblCustomers[CustomerID],tblCustomers[Gender],"not found")</f>
        <v>Male</v>
      </c>
      <c r="F1528" t="str">
        <f>_xlfn.XLOOKUP(tblOrders[[#This Row],[CustomerID]],tblCustomers[CustomerID],tblCustomers[Region],"not found")</f>
        <v>West</v>
      </c>
      <c r="G1528">
        <v>1018</v>
      </c>
      <c r="H1528" t="str">
        <f>_xlfn.XLOOKUP(tblOrders[[#This Row],[ProductID]],tblProducts[ProductID],tblProducts[ProductName],"not found")</f>
        <v>Memory</v>
      </c>
      <c r="I1528" t="str">
        <f>_xlfn.XLOOKUP(tblOrders[[#This Row],[ProductID]],tblProducts[ProductID],tblProducts[Category],"not found")</f>
        <v>Beauty</v>
      </c>
      <c r="J1528">
        <f>_xlfn.XLOOKUP(tblOrders[[#This Row],[ProductID]],tblProducts[ProductID],tblProducts[UnitPrice],"not found")</f>
        <v>352.12</v>
      </c>
      <c r="K1528" t="str">
        <f>_xlfn.XLOOKUP(tblOrders[[#This Row],[ProductID]],tblProducts[ProductID],tblProducts[Supplier],"not found")</f>
        <v>Ellis and Sons</v>
      </c>
      <c r="L1528" s="1">
        <v>45605</v>
      </c>
      <c r="M15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45605</v>
      </c>
      <c r="N1528">
        <v>1</v>
      </c>
      <c r="O1528">
        <v>352.12</v>
      </c>
      <c r="P1528">
        <f>tblOrders[[#This Row],[Quantity]]*tblOrders[[#This Row],[Unit Price]]</f>
        <v>352.12</v>
      </c>
      <c r="Q1528">
        <f>tblOrders[[#This Row],[TotalSales]]-tblOrders[[#This Row],[Calculated Sales]]</f>
        <v>0</v>
      </c>
    </row>
    <row r="1529" spans="1:17" x14ac:dyDescent="0.25">
      <c r="A1529">
        <v>1554</v>
      </c>
      <c r="B1529">
        <v>966</v>
      </c>
      <c r="C1529" t="str">
        <f>_xlfn.XLOOKUP(tblOrders[[#This Row],[CustomerID]],tblCustomers[CustomerID],tblCustomers[CustomerName],"not found")</f>
        <v>Alexa Erickson</v>
      </c>
      <c r="D1529">
        <f>_xlfn.XLOOKUP(tblOrders[[#This Row],[CustomerID]],tblCustomers[CustomerID],tblCustomers[Age],"not found")</f>
        <v>51</v>
      </c>
      <c r="E1529" t="str">
        <f>_xlfn.XLOOKUP(tblOrders[[#This Row],[CustomerID]],tblCustomers[CustomerID],tblCustomers[Gender],"not found")</f>
        <v>Female</v>
      </c>
      <c r="F1529" t="str">
        <f>_xlfn.XLOOKUP(tblOrders[[#This Row],[CustomerID]],tblCustomers[CustomerID],tblCustomers[Region],"not found")</f>
        <v>North</v>
      </c>
      <c r="G1529">
        <v>1018</v>
      </c>
      <c r="H1529" t="str">
        <f>_xlfn.XLOOKUP(tblOrders[[#This Row],[ProductID]],tblProducts[ProductID],tblProducts[ProductName],"not found")</f>
        <v>Memory</v>
      </c>
      <c r="I1529" t="str">
        <f>_xlfn.XLOOKUP(tblOrders[[#This Row],[ProductID]],tblProducts[ProductID],tblProducts[Category],"not found")</f>
        <v>Beauty</v>
      </c>
      <c r="J1529">
        <f>_xlfn.XLOOKUP(tblOrders[[#This Row],[ProductID]],tblProducts[ProductID],tblProducts[UnitPrice],"not found")</f>
        <v>352.12</v>
      </c>
      <c r="K1529" t="str">
        <f>_xlfn.XLOOKUP(tblOrders[[#This Row],[ProductID]],tblProducts[ProductID],tblProducts[Supplier],"not found")</f>
        <v>Ellis and Sons</v>
      </c>
      <c r="L1529" s="1" t="s">
        <v>2257</v>
      </c>
      <c r="M15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1529">
        <v>1</v>
      </c>
      <c r="O1529">
        <v>352.12</v>
      </c>
      <c r="P1529">
        <f>tblOrders[[#This Row],[Quantity]]*tblOrders[[#This Row],[Unit Price]]</f>
        <v>352.12</v>
      </c>
      <c r="Q1529">
        <f>tblOrders[[#This Row],[TotalSales]]-tblOrders[[#This Row],[Calculated Sales]]</f>
        <v>0</v>
      </c>
    </row>
    <row r="1530" spans="1:17" x14ac:dyDescent="0.25">
      <c r="A1530">
        <v>1579</v>
      </c>
      <c r="B1530">
        <v>234</v>
      </c>
      <c r="C1530" t="str">
        <f>_xlfn.XLOOKUP(tblOrders[[#This Row],[CustomerID]],tblCustomers[CustomerID],tblCustomers[CustomerName],"not found")</f>
        <v>Shannon Johnson</v>
      </c>
      <c r="D1530">
        <f>_xlfn.XLOOKUP(tblOrders[[#This Row],[CustomerID]],tblCustomers[CustomerID],tblCustomers[Age],"not found")</f>
        <v>34</v>
      </c>
      <c r="E1530" t="str">
        <f>_xlfn.XLOOKUP(tblOrders[[#This Row],[CustomerID]],tblCustomers[CustomerID],tblCustomers[Gender],"not found")</f>
        <v>Female</v>
      </c>
      <c r="F1530" t="str">
        <f>_xlfn.XLOOKUP(tblOrders[[#This Row],[CustomerID]],tblCustomers[CustomerID],tblCustomers[Region],"not found")</f>
        <v>South</v>
      </c>
      <c r="G1530">
        <v>1018</v>
      </c>
      <c r="H1530" t="str">
        <f>_xlfn.XLOOKUP(tblOrders[[#This Row],[ProductID]],tblProducts[ProductID],tblProducts[ProductName],"not found")</f>
        <v>Memory</v>
      </c>
      <c r="I1530" t="str">
        <f>_xlfn.XLOOKUP(tblOrders[[#This Row],[ProductID]],tblProducts[ProductID],tblProducts[Category],"not found")</f>
        <v>Beauty</v>
      </c>
      <c r="J1530">
        <f>_xlfn.XLOOKUP(tblOrders[[#This Row],[ProductID]],tblProducts[ProductID],tblProducts[UnitPrice],"not found")</f>
        <v>352.12</v>
      </c>
      <c r="K1530" t="str">
        <f>_xlfn.XLOOKUP(tblOrders[[#This Row],[ProductID]],tblProducts[ProductID],tblProducts[Supplier],"not found")</f>
        <v>Ellis and Sons</v>
      </c>
      <c r="L1530" s="1">
        <v>45018</v>
      </c>
      <c r="M15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1530">
        <v>6</v>
      </c>
      <c r="O1530">
        <v>2112.7199999999998</v>
      </c>
      <c r="P1530">
        <f>tblOrders[[#This Row],[Quantity]]*tblOrders[[#This Row],[Unit Price]]</f>
        <v>2112.7200000000003</v>
      </c>
      <c r="Q1530">
        <f>tblOrders[[#This Row],[TotalSales]]-tblOrders[[#This Row],[Calculated Sales]]</f>
        <v>0</v>
      </c>
    </row>
    <row r="1531" spans="1:17" x14ac:dyDescent="0.25">
      <c r="A1531">
        <v>1598</v>
      </c>
      <c r="B1531">
        <v>508</v>
      </c>
      <c r="C1531" t="str">
        <f>_xlfn.XLOOKUP(tblOrders[[#This Row],[CustomerID]],tblCustomers[CustomerID],tblCustomers[CustomerName],"not found")</f>
        <v>George Kidd</v>
      </c>
      <c r="D1531">
        <f>_xlfn.XLOOKUP(tblOrders[[#This Row],[CustomerID]],tblCustomers[CustomerID],tblCustomers[Age],"not found")</f>
        <v>58</v>
      </c>
      <c r="E1531" t="str">
        <f>_xlfn.XLOOKUP(tblOrders[[#This Row],[CustomerID]],tblCustomers[CustomerID],tblCustomers[Gender],"not found")</f>
        <v>Female</v>
      </c>
      <c r="F1531" t="str">
        <f>_xlfn.XLOOKUP(tblOrders[[#This Row],[CustomerID]],tblCustomers[CustomerID],tblCustomers[Region],"not found")</f>
        <v>South</v>
      </c>
      <c r="G1531">
        <v>1018</v>
      </c>
      <c r="H1531" t="str">
        <f>_xlfn.XLOOKUP(tblOrders[[#This Row],[ProductID]],tblProducts[ProductID],tblProducts[ProductName],"not found")</f>
        <v>Memory</v>
      </c>
      <c r="I1531" t="str">
        <f>_xlfn.XLOOKUP(tblOrders[[#This Row],[ProductID]],tblProducts[ProductID],tblProducts[Category],"not found")</f>
        <v>Beauty</v>
      </c>
      <c r="J1531">
        <f>_xlfn.XLOOKUP(tblOrders[[#This Row],[ProductID]],tblProducts[ProductID],tblProducts[UnitPrice],"not found")</f>
        <v>352.12</v>
      </c>
      <c r="K1531" t="str">
        <f>_xlfn.XLOOKUP(tblOrders[[#This Row],[ProductID]],tblProducts[ProductID],tblProducts[Supplier],"not found")</f>
        <v>Ellis and Sons</v>
      </c>
      <c r="L1531" s="1">
        <v>45604</v>
      </c>
      <c r="M15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45604</v>
      </c>
      <c r="N1531">
        <v>2</v>
      </c>
      <c r="O1531">
        <v>704.24</v>
      </c>
      <c r="P1531">
        <f>tblOrders[[#This Row],[Quantity]]*tblOrders[[#This Row],[Unit Price]]</f>
        <v>704.24</v>
      </c>
      <c r="Q1531">
        <f>tblOrders[[#This Row],[TotalSales]]-tblOrders[[#This Row],[Calculated Sales]]</f>
        <v>0</v>
      </c>
    </row>
    <row r="1532" spans="1:17" x14ac:dyDescent="0.25">
      <c r="A1532">
        <v>1636</v>
      </c>
      <c r="B1532">
        <v>78</v>
      </c>
      <c r="C1532" t="str">
        <f>_xlfn.XLOOKUP(tblOrders[[#This Row],[CustomerID]],tblCustomers[CustomerID],tblCustomers[CustomerName],"not found")</f>
        <v>Kimberly Walton</v>
      </c>
      <c r="D1532">
        <f>_xlfn.XLOOKUP(tblOrders[[#This Row],[CustomerID]],tblCustomers[CustomerID],tblCustomers[Age],"not found")</f>
        <v>28</v>
      </c>
      <c r="E1532" t="str">
        <f>_xlfn.XLOOKUP(tblOrders[[#This Row],[CustomerID]],tblCustomers[CustomerID],tblCustomers[Gender],"not found")</f>
        <v>Female</v>
      </c>
      <c r="F1532" t="str">
        <f>_xlfn.XLOOKUP(tblOrders[[#This Row],[CustomerID]],tblCustomers[CustomerID],tblCustomers[Region],"not found")</f>
        <v>Central</v>
      </c>
      <c r="G1532">
        <v>1018</v>
      </c>
      <c r="H1532" t="str">
        <f>_xlfn.XLOOKUP(tblOrders[[#This Row],[ProductID]],tblProducts[ProductID],tblProducts[ProductName],"not found")</f>
        <v>Memory</v>
      </c>
      <c r="I1532" t="str">
        <f>_xlfn.XLOOKUP(tblOrders[[#This Row],[ProductID]],tblProducts[ProductID],tblProducts[Category],"not found")</f>
        <v>Beauty</v>
      </c>
      <c r="J1532">
        <f>_xlfn.XLOOKUP(tblOrders[[#This Row],[ProductID]],tblProducts[ProductID],tblProducts[UnitPrice],"not found")</f>
        <v>352.12</v>
      </c>
      <c r="K1532" t="str">
        <f>_xlfn.XLOOKUP(tblOrders[[#This Row],[ProductID]],tblProducts[ProductID],tblProducts[Supplier],"not found")</f>
        <v>Ellis and Sons</v>
      </c>
      <c r="L1532" s="1">
        <v>45605</v>
      </c>
      <c r="M15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45605</v>
      </c>
      <c r="N1532">
        <v>7</v>
      </c>
      <c r="O1532">
        <v>2464.84</v>
      </c>
      <c r="P1532">
        <f>tblOrders[[#This Row],[Quantity]]*tblOrders[[#This Row],[Unit Price]]</f>
        <v>2464.84</v>
      </c>
      <c r="Q1532">
        <f>tblOrders[[#This Row],[TotalSales]]-tblOrders[[#This Row],[Calculated Sales]]</f>
        <v>0</v>
      </c>
    </row>
    <row r="1533" spans="1:17" x14ac:dyDescent="0.25">
      <c r="A1533">
        <v>1812</v>
      </c>
      <c r="B1533">
        <v>919</v>
      </c>
      <c r="C1533" t="str">
        <f>_xlfn.XLOOKUP(tblOrders[[#This Row],[CustomerID]],tblCustomers[CustomerID],tblCustomers[CustomerName],"not found")</f>
        <v>Gabriella Johnson</v>
      </c>
      <c r="D1533">
        <f>_xlfn.XLOOKUP(tblOrders[[#This Row],[CustomerID]],tblCustomers[CustomerID],tblCustomers[Age],"not found")</f>
        <v>25</v>
      </c>
      <c r="E1533" t="str">
        <f>_xlfn.XLOOKUP(tblOrders[[#This Row],[CustomerID]],tblCustomers[CustomerID],tblCustomers[Gender],"not found")</f>
        <v>Male</v>
      </c>
      <c r="F1533" t="str">
        <f>_xlfn.XLOOKUP(tblOrders[[#This Row],[CustomerID]],tblCustomers[CustomerID],tblCustomers[Region],"not found")</f>
        <v>West</v>
      </c>
      <c r="G1533">
        <v>1018</v>
      </c>
      <c r="H1533" t="str">
        <f>_xlfn.XLOOKUP(tblOrders[[#This Row],[ProductID]],tblProducts[ProductID],tblProducts[ProductName],"not found")</f>
        <v>Memory</v>
      </c>
      <c r="I1533" t="str">
        <f>_xlfn.XLOOKUP(tblOrders[[#This Row],[ProductID]],tblProducts[ProductID],tblProducts[Category],"not found")</f>
        <v>Beauty</v>
      </c>
      <c r="J1533">
        <f>_xlfn.XLOOKUP(tblOrders[[#This Row],[ProductID]],tblProducts[ProductID],tblProducts[UnitPrice],"not found")</f>
        <v>352.12</v>
      </c>
      <c r="K1533" t="str">
        <f>_xlfn.XLOOKUP(tblOrders[[#This Row],[ProductID]],tblProducts[ProductID],tblProducts[Supplier],"not found")</f>
        <v>Ellis and Sons</v>
      </c>
      <c r="L1533" s="1">
        <v>44990</v>
      </c>
      <c r="M15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44990</v>
      </c>
      <c r="N1533">
        <v>6</v>
      </c>
      <c r="O1533">
        <v>2112.7199999999998</v>
      </c>
      <c r="P1533">
        <f>tblOrders[[#This Row],[Quantity]]*tblOrders[[#This Row],[Unit Price]]</f>
        <v>2112.7200000000003</v>
      </c>
      <c r="Q1533">
        <f>tblOrders[[#This Row],[TotalSales]]-tblOrders[[#This Row],[Calculated Sales]]</f>
        <v>0</v>
      </c>
    </row>
    <row r="1534" spans="1:17" x14ac:dyDescent="0.25">
      <c r="A1534">
        <v>1838</v>
      </c>
      <c r="B1534">
        <v>807</v>
      </c>
      <c r="C1534" t="str">
        <f>_xlfn.XLOOKUP(tblOrders[[#This Row],[CustomerID]],tblCustomers[CustomerID],tblCustomers[CustomerName],"not found")</f>
        <v>Ronald Wilson</v>
      </c>
      <c r="D1534">
        <f>_xlfn.XLOOKUP(tblOrders[[#This Row],[CustomerID]],tblCustomers[CustomerID],tblCustomers[Age],"not found")</f>
        <v>32</v>
      </c>
      <c r="E1534" t="str">
        <f>_xlfn.XLOOKUP(tblOrders[[#This Row],[CustomerID]],tblCustomers[CustomerID],tblCustomers[Gender],"not found")</f>
        <v>Male</v>
      </c>
      <c r="F1534" t="str">
        <f>_xlfn.XLOOKUP(tblOrders[[#This Row],[CustomerID]],tblCustomers[CustomerID],tblCustomers[Region],"not found")</f>
        <v>East</v>
      </c>
      <c r="G1534">
        <v>1018</v>
      </c>
      <c r="H1534" t="str">
        <f>_xlfn.XLOOKUP(tblOrders[[#This Row],[ProductID]],tblProducts[ProductID],tblProducts[ProductName],"not found")</f>
        <v>Memory</v>
      </c>
      <c r="I1534" t="str">
        <f>_xlfn.XLOOKUP(tblOrders[[#This Row],[ProductID]],tblProducts[ProductID],tblProducts[Category],"not found")</f>
        <v>Beauty</v>
      </c>
      <c r="J1534">
        <f>_xlfn.XLOOKUP(tblOrders[[#This Row],[ProductID]],tblProducts[ProductID],tblProducts[UnitPrice],"not found")</f>
        <v>352.12</v>
      </c>
      <c r="K1534" t="str">
        <f>_xlfn.XLOOKUP(tblOrders[[#This Row],[ProductID]],tblProducts[ProductID],tblProducts[Supplier],"not found")</f>
        <v>Ellis and Sons</v>
      </c>
      <c r="L1534" s="1" t="s">
        <v>2053</v>
      </c>
      <c r="M15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45281</v>
      </c>
      <c r="N1534">
        <v>5</v>
      </c>
      <c r="O1534">
        <v>1760.6</v>
      </c>
      <c r="P1534">
        <f>tblOrders[[#This Row],[Quantity]]*tblOrders[[#This Row],[Unit Price]]</f>
        <v>1760.6</v>
      </c>
      <c r="Q1534">
        <f>tblOrders[[#This Row],[TotalSales]]-tblOrders[[#This Row],[Calculated Sales]]</f>
        <v>0</v>
      </c>
    </row>
    <row r="1535" spans="1:17" x14ac:dyDescent="0.25">
      <c r="A1535">
        <v>1840</v>
      </c>
      <c r="B1535">
        <v>569</v>
      </c>
      <c r="C1535" t="str">
        <f>_xlfn.XLOOKUP(tblOrders[[#This Row],[CustomerID]],tblCustomers[CustomerID],tblCustomers[CustomerName],"not found")</f>
        <v>Denise Ford</v>
      </c>
      <c r="D1535">
        <f>_xlfn.XLOOKUP(tblOrders[[#This Row],[CustomerID]],tblCustomers[CustomerID],tblCustomers[Age],"not found")</f>
        <v>36</v>
      </c>
      <c r="E1535" t="str">
        <f>_xlfn.XLOOKUP(tblOrders[[#This Row],[CustomerID]],tblCustomers[CustomerID],tblCustomers[Gender],"not found")</f>
        <v>Female</v>
      </c>
      <c r="F1535" t="str">
        <f>_xlfn.XLOOKUP(tblOrders[[#This Row],[CustomerID]],tblCustomers[CustomerID],tblCustomers[Region],"not found")</f>
        <v>West</v>
      </c>
      <c r="G1535">
        <v>1018</v>
      </c>
      <c r="H1535" t="str">
        <f>_xlfn.XLOOKUP(tblOrders[[#This Row],[ProductID]],tblProducts[ProductID],tblProducts[ProductName],"not found")</f>
        <v>Memory</v>
      </c>
      <c r="I1535" t="str">
        <f>_xlfn.XLOOKUP(tblOrders[[#This Row],[ProductID]],tblProducts[ProductID],tblProducts[Category],"not found")</f>
        <v>Beauty</v>
      </c>
      <c r="J1535">
        <f>_xlfn.XLOOKUP(tblOrders[[#This Row],[ProductID]],tblProducts[ProductID],tblProducts[UnitPrice],"not found")</f>
        <v>352.12</v>
      </c>
      <c r="K1535" t="str">
        <f>_xlfn.XLOOKUP(tblOrders[[#This Row],[ProductID]],tblProducts[ProductID],tblProducts[Supplier],"not found")</f>
        <v>Ellis and Sons</v>
      </c>
      <c r="L1535" s="1">
        <v>45298</v>
      </c>
      <c r="M15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45298</v>
      </c>
      <c r="N1535">
        <v>2</v>
      </c>
      <c r="O1535">
        <v>704.24</v>
      </c>
      <c r="P1535">
        <f>tblOrders[[#This Row],[Quantity]]*tblOrders[[#This Row],[Unit Price]]</f>
        <v>704.24</v>
      </c>
      <c r="Q1535">
        <f>tblOrders[[#This Row],[TotalSales]]-tblOrders[[#This Row],[Calculated Sales]]</f>
        <v>0</v>
      </c>
    </row>
    <row r="1536" spans="1:17" x14ac:dyDescent="0.25">
      <c r="A1536">
        <v>1945</v>
      </c>
      <c r="B1536">
        <v>721</v>
      </c>
      <c r="C1536" t="str">
        <f>_xlfn.XLOOKUP(tblOrders[[#This Row],[CustomerID]],tblCustomers[CustomerID],tblCustomers[CustomerName],"not found")</f>
        <v>Mary Parker</v>
      </c>
      <c r="D1536">
        <f>_xlfn.XLOOKUP(tblOrders[[#This Row],[CustomerID]],tblCustomers[CustomerID],tblCustomers[Age],"not found")</f>
        <v>30</v>
      </c>
      <c r="E1536" t="str">
        <f>_xlfn.XLOOKUP(tblOrders[[#This Row],[CustomerID]],tblCustomers[CustomerID],tblCustomers[Gender],"not found")</f>
        <v>Male</v>
      </c>
      <c r="F1536" t="str">
        <f>_xlfn.XLOOKUP(tblOrders[[#This Row],[CustomerID]],tblCustomers[CustomerID],tblCustomers[Region],"not found")</f>
        <v>East</v>
      </c>
      <c r="G1536">
        <v>1018</v>
      </c>
      <c r="H1536" t="str">
        <f>_xlfn.XLOOKUP(tblOrders[[#This Row],[ProductID]],tblProducts[ProductID],tblProducts[ProductName],"not found")</f>
        <v>Memory</v>
      </c>
      <c r="I1536" t="str">
        <f>_xlfn.XLOOKUP(tblOrders[[#This Row],[ProductID]],tblProducts[ProductID],tblProducts[Category],"not found")</f>
        <v>Beauty</v>
      </c>
      <c r="J1536">
        <f>_xlfn.XLOOKUP(tblOrders[[#This Row],[ProductID]],tblProducts[ProductID],tblProducts[UnitPrice],"not found")</f>
        <v>352.12</v>
      </c>
      <c r="K1536" t="str">
        <f>_xlfn.XLOOKUP(tblOrders[[#This Row],[ProductID]],tblProducts[ProductID],tblProducts[Supplier],"not found")</f>
        <v>Ellis and Sons</v>
      </c>
      <c r="L1536" s="1" t="s">
        <v>2311</v>
      </c>
      <c r="M15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45033</v>
      </c>
      <c r="N1536">
        <v>8</v>
      </c>
      <c r="O1536">
        <v>2816.96</v>
      </c>
      <c r="P1536">
        <f>tblOrders[[#This Row],[Quantity]]*tblOrders[[#This Row],[Unit Price]]</f>
        <v>2816.96</v>
      </c>
      <c r="Q1536">
        <f>tblOrders[[#This Row],[TotalSales]]-tblOrders[[#This Row],[Calculated Sales]]</f>
        <v>0</v>
      </c>
    </row>
    <row r="1537" spans="1:17" x14ac:dyDescent="0.25">
      <c r="A1537">
        <v>121</v>
      </c>
      <c r="B1537">
        <v>719</v>
      </c>
      <c r="C1537" t="str">
        <f>_xlfn.XLOOKUP(tblOrders[[#This Row],[CustomerID]],tblCustomers[CustomerID],tblCustomers[CustomerName],"not found")</f>
        <v>Natasha Quinn</v>
      </c>
      <c r="D1537">
        <f>_xlfn.XLOOKUP(tblOrders[[#This Row],[CustomerID]],tblCustomers[CustomerID],tblCustomers[Age],"not found")</f>
        <v>47</v>
      </c>
      <c r="E1537" t="str">
        <f>_xlfn.XLOOKUP(tblOrders[[#This Row],[CustomerID]],tblCustomers[CustomerID],tblCustomers[Gender],"not found")</f>
        <v>Female</v>
      </c>
      <c r="F1537" t="str">
        <f>_xlfn.XLOOKUP(tblOrders[[#This Row],[CustomerID]],tblCustomers[CustomerID],tblCustomers[Region],"not found")</f>
        <v>North</v>
      </c>
      <c r="G1537">
        <v>1040</v>
      </c>
      <c r="H1537" t="str">
        <f>_xlfn.XLOOKUP(tblOrders[[#This Row],[ProductID]],tblProducts[ProductID],tblProducts[ProductName],"not found")</f>
        <v>Interesting</v>
      </c>
      <c r="I1537" t="str">
        <f>_xlfn.XLOOKUP(tblOrders[[#This Row],[ProductID]],tblProducts[ProductID],tblProducts[Category],"not found")</f>
        <v>Apparel</v>
      </c>
      <c r="J1537">
        <f>_xlfn.XLOOKUP(tblOrders[[#This Row],[ProductID]],tblProducts[ProductID],tblProducts[UnitPrice],"not found")</f>
        <v>490.48</v>
      </c>
      <c r="K1537" t="str">
        <f>_xlfn.XLOOKUP(tblOrders[[#This Row],[ProductID]],tblProducts[ProductID],tblProducts[Supplier],"not found")</f>
        <v>Brock, Garcia and Hernandez</v>
      </c>
      <c r="L1537" s="1" t="s">
        <v>2399</v>
      </c>
      <c r="M15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45094</v>
      </c>
      <c r="N1537">
        <v>8</v>
      </c>
      <c r="O1537">
        <v>3923.84</v>
      </c>
      <c r="P1537">
        <f>tblOrders[[#This Row],[Quantity]]*tblOrders[[#This Row],[Unit Price]]</f>
        <v>3923.84</v>
      </c>
      <c r="Q1537">
        <f>tblOrders[[#This Row],[TotalSales]]-tblOrders[[#This Row],[Calculated Sales]]</f>
        <v>0</v>
      </c>
    </row>
    <row r="1538" spans="1:17" x14ac:dyDescent="0.25">
      <c r="A1538">
        <v>234</v>
      </c>
      <c r="B1538">
        <v>298</v>
      </c>
      <c r="C1538" t="str">
        <f>_xlfn.XLOOKUP(tblOrders[[#This Row],[CustomerID]],tblCustomers[CustomerID],tblCustomers[CustomerName],"not found")</f>
        <v>Jon Johnson</v>
      </c>
      <c r="D1538">
        <f>_xlfn.XLOOKUP(tblOrders[[#This Row],[CustomerID]],tblCustomers[CustomerID],tblCustomers[Age],"not found")</f>
        <v>21</v>
      </c>
      <c r="E1538" t="str">
        <f>_xlfn.XLOOKUP(tblOrders[[#This Row],[CustomerID]],tblCustomers[CustomerID],tblCustomers[Gender],"not found")</f>
        <v>Female</v>
      </c>
      <c r="F1538" t="str">
        <f>_xlfn.XLOOKUP(tblOrders[[#This Row],[CustomerID]],tblCustomers[CustomerID],tblCustomers[Region],"not found")</f>
        <v>Central</v>
      </c>
      <c r="G1538">
        <v>1040</v>
      </c>
      <c r="H1538" t="str">
        <f>_xlfn.XLOOKUP(tblOrders[[#This Row],[ProductID]],tblProducts[ProductID],tblProducts[ProductName],"not found")</f>
        <v>Interesting</v>
      </c>
      <c r="I1538" t="str">
        <f>_xlfn.XLOOKUP(tblOrders[[#This Row],[ProductID]],tblProducts[ProductID],tblProducts[Category],"not found")</f>
        <v>Apparel</v>
      </c>
      <c r="J1538">
        <f>_xlfn.XLOOKUP(tblOrders[[#This Row],[ProductID]],tblProducts[ProductID],tblProducts[UnitPrice],"not found")</f>
        <v>490.48</v>
      </c>
      <c r="K1538" t="str">
        <f>_xlfn.XLOOKUP(tblOrders[[#This Row],[ProductID]],tblProducts[ProductID],tblProducts[Supplier],"not found")</f>
        <v>Brock, Garcia and Hernandez</v>
      </c>
      <c r="L1538" s="1">
        <v>45449</v>
      </c>
      <c r="M15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45449</v>
      </c>
      <c r="N1538">
        <v>8</v>
      </c>
      <c r="O1538">
        <v>3923.84</v>
      </c>
      <c r="P1538">
        <f>tblOrders[[#This Row],[Quantity]]*tblOrders[[#This Row],[Unit Price]]</f>
        <v>3923.84</v>
      </c>
      <c r="Q1538">
        <f>tblOrders[[#This Row],[TotalSales]]-tblOrders[[#This Row],[Calculated Sales]]</f>
        <v>0</v>
      </c>
    </row>
    <row r="1539" spans="1:17" x14ac:dyDescent="0.25">
      <c r="A1539">
        <v>266</v>
      </c>
      <c r="B1539">
        <v>957</v>
      </c>
      <c r="C1539" t="str">
        <f>_xlfn.XLOOKUP(tblOrders[[#This Row],[CustomerID]],tblCustomers[CustomerID],tblCustomers[CustomerName],"not found")</f>
        <v>Martha Miller</v>
      </c>
      <c r="D1539">
        <f>_xlfn.XLOOKUP(tblOrders[[#This Row],[CustomerID]],tblCustomers[CustomerID],tblCustomers[Age],"not found")</f>
        <v>59</v>
      </c>
      <c r="E1539" t="str">
        <f>_xlfn.XLOOKUP(tblOrders[[#This Row],[CustomerID]],tblCustomers[CustomerID],tblCustomers[Gender],"not found")</f>
        <v>Male</v>
      </c>
      <c r="F1539" t="str">
        <f>_xlfn.XLOOKUP(tblOrders[[#This Row],[CustomerID]],tblCustomers[CustomerID],tblCustomers[Region],"not found")</f>
        <v>North</v>
      </c>
      <c r="G1539">
        <v>1040</v>
      </c>
      <c r="H1539" t="str">
        <f>_xlfn.XLOOKUP(tblOrders[[#This Row],[ProductID]],tblProducts[ProductID],tblProducts[ProductName],"not found")</f>
        <v>Interesting</v>
      </c>
      <c r="I1539" t="str">
        <f>_xlfn.XLOOKUP(tblOrders[[#This Row],[ProductID]],tblProducts[ProductID],tblProducts[Category],"not found")</f>
        <v>Apparel</v>
      </c>
      <c r="J1539">
        <f>_xlfn.XLOOKUP(tblOrders[[#This Row],[ProductID]],tblProducts[ProductID],tblProducts[UnitPrice],"not found")</f>
        <v>490.48</v>
      </c>
      <c r="K1539" t="str">
        <f>_xlfn.XLOOKUP(tblOrders[[#This Row],[ProductID]],tblProducts[ProductID],tblProducts[Supplier],"not found")</f>
        <v>Brock, Garcia and Hernandez</v>
      </c>
      <c r="L1539" s="1">
        <v>45514</v>
      </c>
      <c r="M15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45514</v>
      </c>
      <c r="N1539">
        <v>4</v>
      </c>
      <c r="O1539">
        <v>1961.92</v>
      </c>
      <c r="P1539">
        <f>tblOrders[[#This Row],[Quantity]]*tblOrders[[#This Row],[Unit Price]]</f>
        <v>1961.92</v>
      </c>
      <c r="Q1539">
        <f>tblOrders[[#This Row],[TotalSales]]-tblOrders[[#This Row],[Calculated Sales]]</f>
        <v>0</v>
      </c>
    </row>
    <row r="1540" spans="1:17" x14ac:dyDescent="0.25">
      <c r="A1540">
        <v>270</v>
      </c>
      <c r="B1540">
        <v>825</v>
      </c>
      <c r="C1540" t="str">
        <f>_xlfn.XLOOKUP(tblOrders[[#This Row],[CustomerID]],tblCustomers[CustomerID],tblCustomers[CustomerName],"not found")</f>
        <v>Francisco Ramos</v>
      </c>
      <c r="D1540">
        <f>_xlfn.XLOOKUP(tblOrders[[#This Row],[CustomerID]],tblCustomers[CustomerID],tblCustomers[Age],"not found")</f>
        <v>66</v>
      </c>
      <c r="E1540" t="str">
        <f>_xlfn.XLOOKUP(tblOrders[[#This Row],[CustomerID]],tblCustomers[CustomerID],tblCustomers[Gender],"not found")</f>
        <v>Female</v>
      </c>
      <c r="F1540" t="str">
        <f>_xlfn.XLOOKUP(tblOrders[[#This Row],[CustomerID]],tblCustomers[CustomerID],tblCustomers[Region],"not found")</f>
        <v>North</v>
      </c>
      <c r="G1540">
        <v>1040</v>
      </c>
      <c r="H1540" t="str">
        <f>_xlfn.XLOOKUP(tblOrders[[#This Row],[ProductID]],tblProducts[ProductID],tblProducts[ProductName],"not found")</f>
        <v>Interesting</v>
      </c>
      <c r="I1540" t="str">
        <f>_xlfn.XLOOKUP(tblOrders[[#This Row],[ProductID]],tblProducts[ProductID],tblProducts[Category],"not found")</f>
        <v>Apparel</v>
      </c>
      <c r="J1540">
        <f>_xlfn.XLOOKUP(tblOrders[[#This Row],[ProductID]],tblProducts[ProductID],tblProducts[UnitPrice],"not found")</f>
        <v>490.48</v>
      </c>
      <c r="K1540" t="str">
        <f>_xlfn.XLOOKUP(tblOrders[[#This Row],[ProductID]],tblProducts[ProductID],tblProducts[Supplier],"not found")</f>
        <v>Brock, Garcia and Hernandez</v>
      </c>
      <c r="L1540" s="1" t="s">
        <v>2353</v>
      </c>
      <c r="M15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45059</v>
      </c>
      <c r="N1540">
        <v>6</v>
      </c>
      <c r="O1540">
        <v>2942.88</v>
      </c>
      <c r="P1540">
        <f>tblOrders[[#This Row],[Quantity]]*tblOrders[[#This Row],[Unit Price]]</f>
        <v>2942.88</v>
      </c>
      <c r="Q1540">
        <f>tblOrders[[#This Row],[TotalSales]]-tblOrders[[#This Row],[Calculated Sales]]</f>
        <v>0</v>
      </c>
    </row>
    <row r="1541" spans="1:17" x14ac:dyDescent="0.25">
      <c r="A1541">
        <v>298</v>
      </c>
      <c r="B1541">
        <v>235</v>
      </c>
      <c r="C1541" t="str">
        <f>_xlfn.XLOOKUP(tblOrders[[#This Row],[CustomerID]],tblCustomers[CustomerID],tblCustomers[CustomerName],"not found")</f>
        <v>Clinton Moore</v>
      </c>
      <c r="D1541">
        <f>_xlfn.XLOOKUP(tblOrders[[#This Row],[CustomerID]],tblCustomers[CustomerID],tblCustomers[Age],"not found")</f>
        <v>21</v>
      </c>
      <c r="E1541" t="str">
        <f>_xlfn.XLOOKUP(tblOrders[[#This Row],[CustomerID]],tblCustomers[CustomerID],tblCustomers[Gender],"not found")</f>
        <v>Male</v>
      </c>
      <c r="F1541" t="str">
        <f>_xlfn.XLOOKUP(tblOrders[[#This Row],[CustomerID]],tblCustomers[CustomerID],tblCustomers[Region],"not found")</f>
        <v>South</v>
      </c>
      <c r="G1541">
        <v>1040</v>
      </c>
      <c r="H1541" t="str">
        <f>_xlfn.XLOOKUP(tblOrders[[#This Row],[ProductID]],tblProducts[ProductID],tblProducts[ProductName],"not found")</f>
        <v>Interesting</v>
      </c>
      <c r="I1541" t="str">
        <f>_xlfn.XLOOKUP(tblOrders[[#This Row],[ProductID]],tblProducts[ProductID],tblProducts[Category],"not found")</f>
        <v>Apparel</v>
      </c>
      <c r="J1541">
        <f>_xlfn.XLOOKUP(tblOrders[[#This Row],[ProductID]],tblProducts[ProductID],tblProducts[UnitPrice],"not found")</f>
        <v>490.48</v>
      </c>
      <c r="K1541" t="str">
        <f>_xlfn.XLOOKUP(tblOrders[[#This Row],[ProductID]],tblProducts[ProductID],tblProducts[Supplier],"not found")</f>
        <v>Brock, Garcia and Hernandez</v>
      </c>
      <c r="L1541" s="1" t="s">
        <v>2228</v>
      </c>
      <c r="M15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45159</v>
      </c>
      <c r="N1541">
        <v>9</v>
      </c>
      <c r="O1541">
        <v>4414.32</v>
      </c>
      <c r="P1541">
        <f>tblOrders[[#This Row],[Quantity]]*tblOrders[[#This Row],[Unit Price]]</f>
        <v>4414.32</v>
      </c>
      <c r="Q1541">
        <f>tblOrders[[#This Row],[TotalSales]]-tblOrders[[#This Row],[Calculated Sales]]</f>
        <v>0</v>
      </c>
    </row>
    <row r="1542" spans="1:17" x14ac:dyDescent="0.25">
      <c r="A1542">
        <v>340</v>
      </c>
      <c r="B1542">
        <v>522</v>
      </c>
      <c r="C1542" t="str">
        <f>_xlfn.XLOOKUP(tblOrders[[#This Row],[CustomerID]],tblCustomers[CustomerID],tblCustomers[CustomerName],"not found")</f>
        <v>Gina Hood</v>
      </c>
      <c r="D1542">
        <f>_xlfn.XLOOKUP(tblOrders[[#This Row],[CustomerID]],tblCustomers[CustomerID],tblCustomers[Age],"not found")</f>
        <v>36</v>
      </c>
      <c r="E1542" t="str">
        <f>_xlfn.XLOOKUP(tblOrders[[#This Row],[CustomerID]],tblCustomers[CustomerID],tblCustomers[Gender],"not found")</f>
        <v>Male</v>
      </c>
      <c r="F1542" t="str">
        <f>_xlfn.XLOOKUP(tblOrders[[#This Row],[CustomerID]],tblCustomers[CustomerID],tblCustomers[Region],"not found")</f>
        <v>East</v>
      </c>
      <c r="G1542">
        <v>1040</v>
      </c>
      <c r="H1542" t="str">
        <f>_xlfn.XLOOKUP(tblOrders[[#This Row],[ProductID]],tblProducts[ProductID],tblProducts[ProductName],"not found")</f>
        <v>Interesting</v>
      </c>
      <c r="I1542" t="str">
        <f>_xlfn.XLOOKUP(tblOrders[[#This Row],[ProductID]],tblProducts[ProductID],tblProducts[Category],"not found")</f>
        <v>Apparel</v>
      </c>
      <c r="J1542">
        <f>_xlfn.XLOOKUP(tblOrders[[#This Row],[ProductID]],tblProducts[ProductID],tblProducts[UnitPrice],"not found")</f>
        <v>490.48</v>
      </c>
      <c r="K1542" t="str">
        <f>_xlfn.XLOOKUP(tblOrders[[#This Row],[ProductID]],tblProducts[ProductID],tblProducts[Supplier],"not found")</f>
        <v>Brock, Garcia and Hernandez</v>
      </c>
      <c r="L1542" s="1" t="s">
        <v>2017</v>
      </c>
      <c r="M15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45129</v>
      </c>
      <c r="N1542">
        <v>9</v>
      </c>
      <c r="O1542">
        <v>4414.32</v>
      </c>
      <c r="P1542">
        <f>tblOrders[[#This Row],[Quantity]]*tblOrders[[#This Row],[Unit Price]]</f>
        <v>4414.32</v>
      </c>
      <c r="Q1542">
        <f>tblOrders[[#This Row],[TotalSales]]-tblOrders[[#This Row],[Calculated Sales]]</f>
        <v>0</v>
      </c>
    </row>
    <row r="1543" spans="1:17" x14ac:dyDescent="0.25">
      <c r="A1543">
        <v>377</v>
      </c>
      <c r="B1543">
        <v>754</v>
      </c>
      <c r="C1543" t="str">
        <f>_xlfn.XLOOKUP(tblOrders[[#This Row],[CustomerID]],tblCustomers[CustomerID],tblCustomers[CustomerName],"not found")</f>
        <v>Jermaine Potter</v>
      </c>
      <c r="D1543">
        <f>_xlfn.XLOOKUP(tblOrders[[#This Row],[CustomerID]],tblCustomers[CustomerID],tblCustomers[Age],"not found")</f>
        <v>63</v>
      </c>
      <c r="E1543" t="str">
        <f>_xlfn.XLOOKUP(tblOrders[[#This Row],[CustomerID]],tblCustomers[CustomerID],tblCustomers[Gender],"not found")</f>
        <v>Female</v>
      </c>
      <c r="F1543" t="str">
        <f>_xlfn.XLOOKUP(tblOrders[[#This Row],[CustomerID]],tblCustomers[CustomerID],tblCustomers[Region],"not found")</f>
        <v>North</v>
      </c>
      <c r="G1543">
        <v>1040</v>
      </c>
      <c r="H1543" t="str">
        <f>_xlfn.XLOOKUP(tblOrders[[#This Row],[ProductID]],tblProducts[ProductID],tblProducts[ProductName],"not found")</f>
        <v>Interesting</v>
      </c>
      <c r="I1543" t="str">
        <f>_xlfn.XLOOKUP(tblOrders[[#This Row],[ProductID]],tblProducts[ProductID],tblProducts[Category],"not found")</f>
        <v>Apparel</v>
      </c>
      <c r="J1543">
        <f>_xlfn.XLOOKUP(tblOrders[[#This Row],[ProductID]],tblProducts[ProductID],tblProducts[UnitPrice],"not found")</f>
        <v>490.48</v>
      </c>
      <c r="K1543" t="str">
        <f>_xlfn.XLOOKUP(tblOrders[[#This Row],[ProductID]],tblProducts[ProductID],tblProducts[Supplier],"not found")</f>
        <v>Brock, Garcia and Hernandez</v>
      </c>
      <c r="L1543" s="1" t="s">
        <v>2399</v>
      </c>
      <c r="M15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45094</v>
      </c>
      <c r="N1543">
        <v>4</v>
      </c>
      <c r="O1543">
        <v>1961.92</v>
      </c>
      <c r="P1543">
        <f>tblOrders[[#This Row],[Quantity]]*tblOrders[[#This Row],[Unit Price]]</f>
        <v>1961.92</v>
      </c>
      <c r="Q1543">
        <f>tblOrders[[#This Row],[TotalSales]]-tblOrders[[#This Row],[Calculated Sales]]</f>
        <v>0</v>
      </c>
    </row>
    <row r="1544" spans="1:17" x14ac:dyDescent="0.25">
      <c r="A1544">
        <v>392</v>
      </c>
      <c r="B1544">
        <v>164</v>
      </c>
      <c r="C1544" t="str">
        <f>_xlfn.XLOOKUP(tblOrders[[#This Row],[CustomerID]],tblCustomers[CustomerID],tblCustomers[CustomerName],"not found")</f>
        <v>Kathryn Graves</v>
      </c>
      <c r="D1544">
        <f>_xlfn.XLOOKUP(tblOrders[[#This Row],[CustomerID]],tblCustomers[CustomerID],tblCustomers[Age],"not found")</f>
        <v>51</v>
      </c>
      <c r="E1544" t="str">
        <f>_xlfn.XLOOKUP(tblOrders[[#This Row],[CustomerID]],tblCustomers[CustomerID],tblCustomers[Gender],"not found")</f>
        <v>Male</v>
      </c>
      <c r="F1544" t="str">
        <f>_xlfn.XLOOKUP(tblOrders[[#This Row],[CustomerID]],tblCustomers[CustomerID],tblCustomers[Region],"not found")</f>
        <v>West</v>
      </c>
      <c r="G1544">
        <v>1040</v>
      </c>
      <c r="H1544" t="str">
        <f>_xlfn.XLOOKUP(tblOrders[[#This Row],[ProductID]],tblProducts[ProductID],tblProducts[ProductName],"not found")</f>
        <v>Interesting</v>
      </c>
      <c r="I1544" t="str">
        <f>_xlfn.XLOOKUP(tblOrders[[#This Row],[ProductID]],tblProducts[ProductID],tblProducts[Category],"not found")</f>
        <v>Apparel</v>
      </c>
      <c r="J1544">
        <f>_xlfn.XLOOKUP(tblOrders[[#This Row],[ProductID]],tblProducts[ProductID],tblProducts[UnitPrice],"not found")</f>
        <v>490.48</v>
      </c>
      <c r="K1544" t="str">
        <f>_xlfn.XLOOKUP(tblOrders[[#This Row],[ProductID]],tblProducts[ProductID],tblProducts[Supplier],"not found")</f>
        <v>Brock, Garcia and Hernandez</v>
      </c>
      <c r="L1544" s="1" t="s">
        <v>2161</v>
      </c>
      <c r="M15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45499</v>
      </c>
      <c r="N1544">
        <v>5</v>
      </c>
      <c r="O1544">
        <v>2452.4</v>
      </c>
      <c r="P1544">
        <f>tblOrders[[#This Row],[Quantity]]*tblOrders[[#This Row],[Unit Price]]</f>
        <v>2452.4</v>
      </c>
      <c r="Q1544">
        <f>tblOrders[[#This Row],[TotalSales]]-tblOrders[[#This Row],[Calculated Sales]]</f>
        <v>0</v>
      </c>
    </row>
    <row r="1545" spans="1:17" x14ac:dyDescent="0.25">
      <c r="A1545">
        <v>561</v>
      </c>
      <c r="B1545">
        <v>392</v>
      </c>
      <c r="C1545" t="str">
        <f>_xlfn.XLOOKUP(tblOrders[[#This Row],[CustomerID]],tblCustomers[CustomerID],tblCustomers[CustomerName],"not found")</f>
        <v>Kristen Barajas</v>
      </c>
      <c r="D1545">
        <f>_xlfn.XLOOKUP(tblOrders[[#This Row],[CustomerID]],tblCustomers[CustomerID],tblCustomers[Age],"not found")</f>
        <v>29</v>
      </c>
      <c r="E1545" t="str">
        <f>_xlfn.XLOOKUP(tblOrders[[#This Row],[CustomerID]],tblCustomers[CustomerID],tblCustomers[Gender],"not found")</f>
        <v>Female</v>
      </c>
      <c r="F1545" t="str">
        <f>_xlfn.XLOOKUP(tblOrders[[#This Row],[CustomerID]],tblCustomers[CustomerID],tblCustomers[Region],"not found")</f>
        <v>East</v>
      </c>
      <c r="G1545">
        <v>1040</v>
      </c>
      <c r="H1545" t="str">
        <f>_xlfn.XLOOKUP(tblOrders[[#This Row],[ProductID]],tblProducts[ProductID],tblProducts[ProductName],"not found")</f>
        <v>Interesting</v>
      </c>
      <c r="I1545" t="str">
        <f>_xlfn.XLOOKUP(tblOrders[[#This Row],[ProductID]],tblProducts[ProductID],tblProducts[Category],"not found")</f>
        <v>Apparel</v>
      </c>
      <c r="J1545">
        <f>_xlfn.XLOOKUP(tblOrders[[#This Row],[ProductID]],tblProducts[ProductID],tblProducts[UnitPrice],"not found")</f>
        <v>490.48</v>
      </c>
      <c r="K1545" t="str">
        <f>_xlfn.XLOOKUP(tblOrders[[#This Row],[ProductID]],tblProducts[ProductID],tblProducts[Supplier],"not found")</f>
        <v>Brock, Garcia and Hernandez</v>
      </c>
      <c r="L1545" s="1" t="s">
        <v>2315</v>
      </c>
      <c r="M15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45182</v>
      </c>
      <c r="N1545">
        <v>6</v>
      </c>
      <c r="O1545">
        <v>2942.88</v>
      </c>
      <c r="P1545">
        <f>tblOrders[[#This Row],[Quantity]]*tblOrders[[#This Row],[Unit Price]]</f>
        <v>2942.88</v>
      </c>
      <c r="Q1545">
        <f>tblOrders[[#This Row],[TotalSales]]-tblOrders[[#This Row],[Calculated Sales]]</f>
        <v>0</v>
      </c>
    </row>
    <row r="1546" spans="1:17" x14ac:dyDescent="0.25">
      <c r="A1546">
        <v>625</v>
      </c>
      <c r="B1546">
        <v>55</v>
      </c>
      <c r="C1546" t="str">
        <f>_xlfn.XLOOKUP(tblOrders[[#This Row],[CustomerID]],tblCustomers[CustomerID],tblCustomers[CustomerName],"not found")</f>
        <v>Barbara Payne</v>
      </c>
      <c r="D1546">
        <f>_xlfn.XLOOKUP(tblOrders[[#This Row],[CustomerID]],tblCustomers[CustomerID],tblCustomers[Age],"not found")</f>
        <v>55</v>
      </c>
      <c r="E1546" t="str">
        <f>_xlfn.XLOOKUP(tblOrders[[#This Row],[CustomerID]],tblCustomers[CustomerID],tblCustomers[Gender],"not found")</f>
        <v>Female</v>
      </c>
      <c r="F1546" t="str">
        <f>_xlfn.XLOOKUP(tblOrders[[#This Row],[CustomerID]],tblCustomers[CustomerID],tblCustomers[Region],"not found")</f>
        <v>North</v>
      </c>
      <c r="G1546">
        <v>1040</v>
      </c>
      <c r="H1546" t="str">
        <f>_xlfn.XLOOKUP(tblOrders[[#This Row],[ProductID]],tblProducts[ProductID],tblProducts[ProductName],"not found")</f>
        <v>Interesting</v>
      </c>
      <c r="I1546" t="str">
        <f>_xlfn.XLOOKUP(tblOrders[[#This Row],[ProductID]],tblProducts[ProductID],tblProducts[Category],"not found")</f>
        <v>Apparel</v>
      </c>
      <c r="J1546">
        <f>_xlfn.XLOOKUP(tblOrders[[#This Row],[ProductID]],tblProducts[ProductID],tblProducts[UnitPrice],"not found")</f>
        <v>490.48</v>
      </c>
      <c r="K1546" t="str">
        <f>_xlfn.XLOOKUP(tblOrders[[#This Row],[ProductID]],tblProducts[ProductID],tblProducts[Supplier],"not found")</f>
        <v>Brock, Garcia and Hernandez</v>
      </c>
      <c r="L1546" s="1">
        <v>45331</v>
      </c>
      <c r="M15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45331</v>
      </c>
      <c r="N1546">
        <v>2</v>
      </c>
      <c r="O1546">
        <v>980.96</v>
      </c>
      <c r="P1546">
        <f>tblOrders[[#This Row],[Quantity]]*tblOrders[[#This Row],[Unit Price]]</f>
        <v>980.96</v>
      </c>
      <c r="Q1546">
        <f>tblOrders[[#This Row],[TotalSales]]-tblOrders[[#This Row],[Calculated Sales]]</f>
        <v>0</v>
      </c>
    </row>
    <row r="1547" spans="1:17" x14ac:dyDescent="0.25">
      <c r="A1547">
        <v>767</v>
      </c>
      <c r="B1547">
        <v>625</v>
      </c>
      <c r="C1547" t="str">
        <f>_xlfn.XLOOKUP(tblOrders[[#This Row],[CustomerID]],tblCustomers[CustomerID],tblCustomers[CustomerName],"not found")</f>
        <v>Michael Whitehead</v>
      </c>
      <c r="D1547">
        <f>_xlfn.XLOOKUP(tblOrders[[#This Row],[CustomerID]],tblCustomers[CustomerID],tblCustomers[Age],"not found")</f>
        <v>22</v>
      </c>
      <c r="E1547" t="str">
        <f>_xlfn.XLOOKUP(tblOrders[[#This Row],[CustomerID]],tblCustomers[CustomerID],tblCustomers[Gender],"not found")</f>
        <v>Male</v>
      </c>
      <c r="F1547" t="str">
        <f>_xlfn.XLOOKUP(tblOrders[[#This Row],[CustomerID]],tblCustomers[CustomerID],tblCustomers[Region],"not found")</f>
        <v>North</v>
      </c>
      <c r="G1547">
        <v>1040</v>
      </c>
      <c r="H1547" t="str">
        <f>_xlfn.XLOOKUP(tblOrders[[#This Row],[ProductID]],tblProducts[ProductID],tblProducts[ProductName],"not found")</f>
        <v>Interesting</v>
      </c>
      <c r="I1547" t="str">
        <f>_xlfn.XLOOKUP(tblOrders[[#This Row],[ProductID]],tblProducts[ProductID],tblProducts[Category],"not found")</f>
        <v>Apparel</v>
      </c>
      <c r="J1547">
        <f>_xlfn.XLOOKUP(tblOrders[[#This Row],[ProductID]],tblProducts[ProductID],tblProducts[UnitPrice],"not found")</f>
        <v>490.48</v>
      </c>
      <c r="K1547" t="str">
        <f>_xlfn.XLOOKUP(tblOrders[[#This Row],[ProductID]],tblProducts[ProductID],tblProducts[Supplier],"not found")</f>
        <v>Brock, Garcia and Hernandez</v>
      </c>
      <c r="L1547" s="1">
        <v>45298</v>
      </c>
      <c r="M15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45298</v>
      </c>
      <c r="N1547">
        <v>7</v>
      </c>
      <c r="O1547">
        <v>3433.36</v>
      </c>
      <c r="P1547">
        <f>tblOrders[[#This Row],[Quantity]]*tblOrders[[#This Row],[Unit Price]]</f>
        <v>3433.36</v>
      </c>
      <c r="Q1547">
        <f>tblOrders[[#This Row],[TotalSales]]-tblOrders[[#This Row],[Calculated Sales]]</f>
        <v>0</v>
      </c>
    </row>
    <row r="1548" spans="1:17" x14ac:dyDescent="0.25">
      <c r="A1548">
        <v>806</v>
      </c>
      <c r="B1548">
        <v>252</v>
      </c>
      <c r="C1548" t="str">
        <f>_xlfn.XLOOKUP(tblOrders[[#This Row],[CustomerID]],tblCustomers[CustomerID],tblCustomers[CustomerName],"not found")</f>
        <v>Robert Gonzales</v>
      </c>
      <c r="D1548">
        <f>_xlfn.XLOOKUP(tblOrders[[#This Row],[CustomerID]],tblCustomers[CustomerID],tblCustomers[Age],"not found")</f>
        <v>36</v>
      </c>
      <c r="E1548" t="str">
        <f>_xlfn.XLOOKUP(tblOrders[[#This Row],[CustomerID]],tblCustomers[CustomerID],tblCustomers[Gender],"not found")</f>
        <v>Female</v>
      </c>
      <c r="F1548" t="str">
        <f>_xlfn.XLOOKUP(tblOrders[[#This Row],[CustomerID]],tblCustomers[CustomerID],tblCustomers[Region],"not found")</f>
        <v>West</v>
      </c>
      <c r="G1548">
        <v>1040</v>
      </c>
      <c r="H1548" t="str">
        <f>_xlfn.XLOOKUP(tblOrders[[#This Row],[ProductID]],tblProducts[ProductID],tblProducts[ProductName],"not found")</f>
        <v>Interesting</v>
      </c>
      <c r="I1548" t="str">
        <f>_xlfn.XLOOKUP(tblOrders[[#This Row],[ProductID]],tblProducts[ProductID],tblProducts[Category],"not found")</f>
        <v>Apparel</v>
      </c>
      <c r="J1548">
        <f>_xlfn.XLOOKUP(tblOrders[[#This Row],[ProductID]],tblProducts[ProductID],tblProducts[UnitPrice],"not found")</f>
        <v>490.48</v>
      </c>
      <c r="K1548" t="str">
        <f>_xlfn.XLOOKUP(tblOrders[[#This Row],[ProductID]],tblProducts[ProductID],tblProducts[Supplier],"not found")</f>
        <v>Brock, Garcia and Hernandez</v>
      </c>
      <c r="L1548" s="1">
        <v>45356</v>
      </c>
      <c r="M15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45356</v>
      </c>
      <c r="N1548">
        <v>5</v>
      </c>
      <c r="O1548">
        <v>2452.4</v>
      </c>
      <c r="P1548">
        <f>tblOrders[[#This Row],[Quantity]]*tblOrders[[#This Row],[Unit Price]]</f>
        <v>2452.4</v>
      </c>
      <c r="Q1548">
        <f>tblOrders[[#This Row],[TotalSales]]-tblOrders[[#This Row],[Calculated Sales]]</f>
        <v>0</v>
      </c>
    </row>
    <row r="1549" spans="1:17" x14ac:dyDescent="0.25">
      <c r="A1549">
        <v>813</v>
      </c>
      <c r="B1549">
        <v>460</v>
      </c>
      <c r="C1549" t="str">
        <f>_xlfn.XLOOKUP(tblOrders[[#This Row],[CustomerID]],tblCustomers[CustomerID],tblCustomers[CustomerName],"not found")</f>
        <v>Jason Owen</v>
      </c>
      <c r="D1549">
        <f>_xlfn.XLOOKUP(tblOrders[[#This Row],[CustomerID]],tblCustomers[CustomerID],tblCustomers[Age],"not found")</f>
        <v>56</v>
      </c>
      <c r="E1549" t="str">
        <f>_xlfn.XLOOKUP(tblOrders[[#This Row],[CustomerID]],tblCustomers[CustomerID],tblCustomers[Gender],"not found")</f>
        <v>Male</v>
      </c>
      <c r="F1549" t="str">
        <f>_xlfn.XLOOKUP(tblOrders[[#This Row],[CustomerID]],tblCustomers[CustomerID],tblCustomers[Region],"not found")</f>
        <v>North</v>
      </c>
      <c r="G1549">
        <v>1040</v>
      </c>
      <c r="H1549" t="str">
        <f>_xlfn.XLOOKUP(tblOrders[[#This Row],[ProductID]],tblProducts[ProductID],tblProducts[ProductName],"not found")</f>
        <v>Interesting</v>
      </c>
      <c r="I1549" t="str">
        <f>_xlfn.XLOOKUP(tblOrders[[#This Row],[ProductID]],tblProducts[ProductID],tblProducts[Category],"not found")</f>
        <v>Apparel</v>
      </c>
      <c r="J1549">
        <f>_xlfn.XLOOKUP(tblOrders[[#This Row],[ProductID]],tblProducts[ProductID],tblProducts[UnitPrice],"not found")</f>
        <v>490.48</v>
      </c>
      <c r="K1549" t="str">
        <f>_xlfn.XLOOKUP(tblOrders[[#This Row],[ProductID]],tblProducts[ProductID],tblProducts[Supplier],"not found")</f>
        <v>Brock, Garcia and Hernandez</v>
      </c>
      <c r="L1549" s="1" t="s">
        <v>2013</v>
      </c>
      <c r="M15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45319</v>
      </c>
      <c r="N1549">
        <v>9</v>
      </c>
      <c r="O1549">
        <v>4414.32</v>
      </c>
      <c r="P1549">
        <f>tblOrders[[#This Row],[Quantity]]*tblOrders[[#This Row],[Unit Price]]</f>
        <v>4414.32</v>
      </c>
      <c r="Q1549">
        <f>tblOrders[[#This Row],[TotalSales]]-tblOrders[[#This Row],[Calculated Sales]]</f>
        <v>0</v>
      </c>
    </row>
    <row r="1550" spans="1:17" x14ac:dyDescent="0.25">
      <c r="A1550">
        <v>869</v>
      </c>
      <c r="B1550">
        <v>129</v>
      </c>
      <c r="C1550" t="str">
        <f>_xlfn.XLOOKUP(tblOrders[[#This Row],[CustomerID]],tblCustomers[CustomerID],tblCustomers[CustomerName],"not found")</f>
        <v>Calvin Garcia</v>
      </c>
      <c r="D1550">
        <f>_xlfn.XLOOKUP(tblOrders[[#This Row],[CustomerID]],tblCustomers[CustomerID],tblCustomers[Age],"not found")</f>
        <v>37</v>
      </c>
      <c r="E1550" t="str">
        <f>_xlfn.XLOOKUP(tblOrders[[#This Row],[CustomerID]],tblCustomers[CustomerID],tblCustomers[Gender],"not found")</f>
        <v>Female</v>
      </c>
      <c r="F1550" t="str">
        <f>_xlfn.XLOOKUP(tblOrders[[#This Row],[CustomerID]],tblCustomers[CustomerID],tblCustomers[Region],"not found")</f>
        <v>West</v>
      </c>
      <c r="G1550">
        <v>1040</v>
      </c>
      <c r="H1550" t="str">
        <f>_xlfn.XLOOKUP(tblOrders[[#This Row],[ProductID]],tblProducts[ProductID],tblProducts[ProductName],"not found")</f>
        <v>Interesting</v>
      </c>
      <c r="I1550" t="str">
        <f>_xlfn.XLOOKUP(tblOrders[[#This Row],[ProductID]],tblProducts[ProductID],tblProducts[Category],"not found")</f>
        <v>Apparel</v>
      </c>
      <c r="J1550">
        <f>_xlfn.XLOOKUP(tblOrders[[#This Row],[ProductID]],tblProducts[ProductID],tblProducts[UnitPrice],"not found")</f>
        <v>490.48</v>
      </c>
      <c r="K1550" t="str">
        <f>_xlfn.XLOOKUP(tblOrders[[#This Row],[ProductID]],tblProducts[ProductID],tblProducts[Supplier],"not found")</f>
        <v>Brock, Garcia and Hernandez</v>
      </c>
      <c r="L1550" s="1">
        <v>45356</v>
      </c>
      <c r="M15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45356</v>
      </c>
      <c r="N1550">
        <v>8</v>
      </c>
      <c r="O1550">
        <v>3923.84</v>
      </c>
      <c r="P1550">
        <f>tblOrders[[#This Row],[Quantity]]*tblOrders[[#This Row],[Unit Price]]</f>
        <v>3923.84</v>
      </c>
      <c r="Q1550">
        <f>tblOrders[[#This Row],[TotalSales]]-tblOrders[[#This Row],[Calculated Sales]]</f>
        <v>0</v>
      </c>
    </row>
    <row r="1551" spans="1:17" x14ac:dyDescent="0.25">
      <c r="A1551">
        <v>939</v>
      </c>
      <c r="B1551">
        <v>894</v>
      </c>
      <c r="C1551" t="str">
        <f>_xlfn.XLOOKUP(tblOrders[[#This Row],[CustomerID]],tblCustomers[CustomerID],tblCustomers[CustomerName],"not found")</f>
        <v>James Moreno</v>
      </c>
      <c r="D1551">
        <f>_xlfn.XLOOKUP(tblOrders[[#This Row],[CustomerID]],tblCustomers[CustomerID],tblCustomers[Age],"not found")</f>
        <v>53</v>
      </c>
      <c r="E1551" t="str">
        <f>_xlfn.XLOOKUP(tblOrders[[#This Row],[CustomerID]],tblCustomers[CustomerID],tblCustomers[Gender],"not found")</f>
        <v>Male</v>
      </c>
      <c r="F1551" t="str">
        <f>_xlfn.XLOOKUP(tblOrders[[#This Row],[CustomerID]],tblCustomers[CustomerID],tblCustomers[Region],"not found")</f>
        <v>Central</v>
      </c>
      <c r="G1551">
        <v>1040</v>
      </c>
      <c r="H1551" t="str">
        <f>_xlfn.XLOOKUP(tblOrders[[#This Row],[ProductID]],tblProducts[ProductID],tblProducts[ProductName],"not found")</f>
        <v>Interesting</v>
      </c>
      <c r="I1551" t="str">
        <f>_xlfn.XLOOKUP(tblOrders[[#This Row],[ProductID]],tblProducts[ProductID],tblProducts[Category],"not found")</f>
        <v>Apparel</v>
      </c>
      <c r="J1551">
        <f>_xlfn.XLOOKUP(tblOrders[[#This Row],[ProductID]],tblProducts[ProductID],tblProducts[UnitPrice],"not found")</f>
        <v>490.48</v>
      </c>
      <c r="K1551" t="str">
        <f>_xlfn.XLOOKUP(tblOrders[[#This Row],[ProductID]],tblProducts[ProductID],tblProducts[Supplier],"not found")</f>
        <v>Brock, Garcia and Hernandez</v>
      </c>
      <c r="L1551" s="1" t="s">
        <v>2119</v>
      </c>
      <c r="M15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44979</v>
      </c>
      <c r="N1551">
        <v>7</v>
      </c>
      <c r="O1551">
        <v>3433.36</v>
      </c>
      <c r="P1551">
        <f>tblOrders[[#This Row],[Quantity]]*tblOrders[[#This Row],[Unit Price]]</f>
        <v>3433.36</v>
      </c>
      <c r="Q1551">
        <f>tblOrders[[#This Row],[TotalSales]]-tblOrders[[#This Row],[Calculated Sales]]</f>
        <v>0</v>
      </c>
    </row>
    <row r="1552" spans="1:17" x14ac:dyDescent="0.25">
      <c r="A1552">
        <v>1068</v>
      </c>
      <c r="B1552">
        <v>135</v>
      </c>
      <c r="C1552" t="str">
        <f>_xlfn.XLOOKUP(tblOrders[[#This Row],[CustomerID]],tblCustomers[CustomerID],tblCustomers[CustomerName],"not found")</f>
        <v>Rita King</v>
      </c>
      <c r="D1552">
        <f>_xlfn.XLOOKUP(tblOrders[[#This Row],[CustomerID]],tblCustomers[CustomerID],tblCustomers[Age],"not found")</f>
        <v>56</v>
      </c>
      <c r="E1552" t="str">
        <f>_xlfn.XLOOKUP(tblOrders[[#This Row],[CustomerID]],tblCustomers[CustomerID],tblCustomers[Gender],"not found")</f>
        <v>Male</v>
      </c>
      <c r="F1552" t="str">
        <f>_xlfn.XLOOKUP(tblOrders[[#This Row],[CustomerID]],tblCustomers[CustomerID],tblCustomers[Region],"not found")</f>
        <v>South</v>
      </c>
      <c r="G1552">
        <v>1040</v>
      </c>
      <c r="H1552" t="str">
        <f>_xlfn.XLOOKUP(tblOrders[[#This Row],[ProductID]],tblProducts[ProductID],tblProducts[ProductName],"not found")</f>
        <v>Interesting</v>
      </c>
      <c r="I1552" t="str">
        <f>_xlfn.XLOOKUP(tblOrders[[#This Row],[ProductID]],tblProducts[ProductID],tblProducts[Category],"not found")</f>
        <v>Apparel</v>
      </c>
      <c r="J1552">
        <f>_xlfn.XLOOKUP(tblOrders[[#This Row],[ProductID]],tblProducts[ProductID],tblProducts[UnitPrice],"not found")</f>
        <v>490.48</v>
      </c>
      <c r="K1552" t="str">
        <f>_xlfn.XLOOKUP(tblOrders[[#This Row],[ProductID]],tblProducts[ProductID],tblProducts[Supplier],"not found")</f>
        <v>Brock, Garcia and Hernandez</v>
      </c>
      <c r="L1552" s="1" t="s">
        <v>2400</v>
      </c>
      <c r="M15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45274</v>
      </c>
      <c r="N1552">
        <v>5</v>
      </c>
      <c r="O1552">
        <v>2452.4</v>
      </c>
      <c r="P1552">
        <f>tblOrders[[#This Row],[Quantity]]*tblOrders[[#This Row],[Unit Price]]</f>
        <v>2452.4</v>
      </c>
      <c r="Q1552">
        <f>tblOrders[[#This Row],[TotalSales]]-tblOrders[[#This Row],[Calculated Sales]]</f>
        <v>0</v>
      </c>
    </row>
    <row r="1553" spans="1:17" x14ac:dyDescent="0.25">
      <c r="A1553">
        <v>1167</v>
      </c>
      <c r="B1553">
        <v>723</v>
      </c>
      <c r="C1553" t="str">
        <f>_xlfn.XLOOKUP(tblOrders[[#This Row],[CustomerID]],tblCustomers[CustomerID],tblCustomers[CustomerName],"not found")</f>
        <v>Lindsay Gomez</v>
      </c>
      <c r="D1553">
        <f>_xlfn.XLOOKUP(tblOrders[[#This Row],[CustomerID]],tblCustomers[CustomerID],tblCustomers[Age],"not found")</f>
        <v>46</v>
      </c>
      <c r="E1553" t="str">
        <f>_xlfn.XLOOKUP(tblOrders[[#This Row],[CustomerID]],tblCustomers[CustomerID],tblCustomers[Gender],"not found")</f>
        <v>Male</v>
      </c>
      <c r="F1553" t="str">
        <f>_xlfn.XLOOKUP(tblOrders[[#This Row],[CustomerID]],tblCustomers[CustomerID],tblCustomers[Region],"not found")</f>
        <v>Central</v>
      </c>
      <c r="G1553">
        <v>1040</v>
      </c>
      <c r="H1553" t="str">
        <f>_xlfn.XLOOKUP(tblOrders[[#This Row],[ProductID]],tblProducts[ProductID],tblProducts[ProductName],"not found")</f>
        <v>Interesting</v>
      </c>
      <c r="I1553" t="str">
        <f>_xlfn.XLOOKUP(tblOrders[[#This Row],[ProductID]],tblProducts[ProductID],tblProducts[Category],"not found")</f>
        <v>Apparel</v>
      </c>
      <c r="J1553">
        <f>_xlfn.XLOOKUP(tblOrders[[#This Row],[ProductID]],tblProducts[ProductID],tblProducts[UnitPrice],"not found")</f>
        <v>490.48</v>
      </c>
      <c r="K1553" t="str">
        <f>_xlfn.XLOOKUP(tblOrders[[#This Row],[ProductID]],tblProducts[ProductID],tblProducts[Supplier],"not found")</f>
        <v>Brock, Garcia and Hernandez</v>
      </c>
      <c r="L1553" s="1" t="s">
        <v>2401</v>
      </c>
      <c r="M15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44887</v>
      </c>
      <c r="N1553">
        <v>8</v>
      </c>
      <c r="O1553">
        <v>3923.84</v>
      </c>
      <c r="P1553">
        <f>tblOrders[[#This Row],[Quantity]]*tblOrders[[#This Row],[Unit Price]]</f>
        <v>3923.84</v>
      </c>
      <c r="Q1553">
        <f>tblOrders[[#This Row],[TotalSales]]-tblOrders[[#This Row],[Calculated Sales]]</f>
        <v>0</v>
      </c>
    </row>
    <row r="1554" spans="1:17" x14ac:dyDescent="0.25">
      <c r="A1554">
        <v>1192</v>
      </c>
      <c r="B1554">
        <v>665</v>
      </c>
      <c r="C1554" t="str">
        <f>_xlfn.XLOOKUP(tblOrders[[#This Row],[CustomerID]],tblCustomers[CustomerID],tblCustomers[CustomerName],"not found")</f>
        <v>Brandon Anderson</v>
      </c>
      <c r="D1554">
        <f>_xlfn.XLOOKUP(tblOrders[[#This Row],[CustomerID]],tblCustomers[CustomerID],tblCustomers[Age],"not found")</f>
        <v>38</v>
      </c>
      <c r="E1554" t="str">
        <f>_xlfn.XLOOKUP(tblOrders[[#This Row],[CustomerID]],tblCustomers[CustomerID],tblCustomers[Gender],"not found")</f>
        <v>Female</v>
      </c>
      <c r="F1554" t="str">
        <f>_xlfn.XLOOKUP(tblOrders[[#This Row],[CustomerID]],tblCustomers[CustomerID],tblCustomers[Region],"not found")</f>
        <v>North</v>
      </c>
      <c r="G1554">
        <v>1040</v>
      </c>
      <c r="H1554" t="str">
        <f>_xlfn.XLOOKUP(tblOrders[[#This Row],[ProductID]],tblProducts[ProductID],tblProducts[ProductName],"not found")</f>
        <v>Interesting</v>
      </c>
      <c r="I1554" t="str">
        <f>_xlfn.XLOOKUP(tblOrders[[#This Row],[ProductID]],tblProducts[ProductID],tblProducts[Category],"not found")</f>
        <v>Apparel</v>
      </c>
      <c r="J1554">
        <f>_xlfn.XLOOKUP(tblOrders[[#This Row],[ProductID]],tblProducts[ProductID],tblProducts[UnitPrice],"not found")</f>
        <v>490.48</v>
      </c>
      <c r="K1554" t="str">
        <f>_xlfn.XLOOKUP(tblOrders[[#This Row],[ProductID]],tblProducts[ProductID],tblProducts[Supplier],"not found")</f>
        <v>Brock, Garcia and Hernandez</v>
      </c>
      <c r="L1554" s="1" t="s">
        <v>2281</v>
      </c>
      <c r="M15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45014</v>
      </c>
      <c r="N1554">
        <v>1</v>
      </c>
      <c r="O1554">
        <v>490.48</v>
      </c>
      <c r="P1554">
        <f>tblOrders[[#This Row],[Quantity]]*tblOrders[[#This Row],[Unit Price]]</f>
        <v>490.48</v>
      </c>
      <c r="Q1554">
        <f>tblOrders[[#This Row],[TotalSales]]-tblOrders[[#This Row],[Calculated Sales]]</f>
        <v>0</v>
      </c>
    </row>
    <row r="1555" spans="1:17" x14ac:dyDescent="0.25">
      <c r="A1555">
        <v>1231</v>
      </c>
      <c r="B1555">
        <v>865</v>
      </c>
      <c r="C1555" t="str">
        <f>_xlfn.XLOOKUP(tblOrders[[#This Row],[CustomerID]],tblCustomers[CustomerID],tblCustomers[CustomerName],"not found")</f>
        <v>Barbara Lindsey</v>
      </c>
      <c r="D1555">
        <f>_xlfn.XLOOKUP(tblOrders[[#This Row],[CustomerID]],tblCustomers[CustomerID],tblCustomers[Age],"not found")</f>
        <v>54</v>
      </c>
      <c r="E1555" t="str">
        <f>_xlfn.XLOOKUP(tblOrders[[#This Row],[CustomerID]],tblCustomers[CustomerID],tblCustomers[Gender],"not found")</f>
        <v>Female</v>
      </c>
      <c r="F1555" t="str">
        <f>_xlfn.XLOOKUP(tblOrders[[#This Row],[CustomerID]],tblCustomers[CustomerID],tblCustomers[Region],"not found")</f>
        <v>South</v>
      </c>
      <c r="G1555">
        <v>1040</v>
      </c>
      <c r="H1555" t="str">
        <f>_xlfn.XLOOKUP(tblOrders[[#This Row],[ProductID]],tblProducts[ProductID],tblProducts[ProductName],"not found")</f>
        <v>Interesting</v>
      </c>
      <c r="I1555" t="str">
        <f>_xlfn.XLOOKUP(tblOrders[[#This Row],[ProductID]],tblProducts[ProductID],tblProducts[Category],"not found")</f>
        <v>Apparel</v>
      </c>
      <c r="J1555">
        <f>_xlfn.XLOOKUP(tblOrders[[#This Row],[ProductID]],tblProducts[ProductID],tblProducts[UnitPrice],"not found")</f>
        <v>490.48</v>
      </c>
      <c r="K1555" t="str">
        <f>_xlfn.XLOOKUP(tblOrders[[#This Row],[ProductID]],tblProducts[ProductID],tblProducts[Supplier],"not found")</f>
        <v>Brock, Garcia and Hernandez</v>
      </c>
      <c r="L1555" s="1">
        <v>45508</v>
      </c>
      <c r="M15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45508</v>
      </c>
      <c r="N1555">
        <v>3</v>
      </c>
      <c r="O1555">
        <v>1471.44</v>
      </c>
      <c r="P1555">
        <f>tblOrders[[#This Row],[Quantity]]*tblOrders[[#This Row],[Unit Price]]</f>
        <v>1471.44</v>
      </c>
      <c r="Q1555">
        <f>tblOrders[[#This Row],[TotalSales]]-tblOrders[[#This Row],[Calculated Sales]]</f>
        <v>0</v>
      </c>
    </row>
    <row r="1556" spans="1:17" x14ac:dyDescent="0.25">
      <c r="A1556">
        <v>1298</v>
      </c>
      <c r="B1556">
        <v>444</v>
      </c>
      <c r="C1556" t="str">
        <f>_xlfn.XLOOKUP(tblOrders[[#This Row],[CustomerID]],tblCustomers[CustomerID],tblCustomers[CustomerName],"not found")</f>
        <v>Lisa Stevens</v>
      </c>
      <c r="D1556">
        <f>_xlfn.XLOOKUP(tblOrders[[#This Row],[CustomerID]],tblCustomers[CustomerID],tblCustomers[Age],"not found")</f>
        <v>33</v>
      </c>
      <c r="E1556" t="str">
        <f>_xlfn.XLOOKUP(tblOrders[[#This Row],[CustomerID]],tblCustomers[CustomerID],tblCustomers[Gender],"not found")</f>
        <v>Female</v>
      </c>
      <c r="F1556" t="str">
        <f>_xlfn.XLOOKUP(tblOrders[[#This Row],[CustomerID]],tblCustomers[CustomerID],tblCustomers[Region],"not found")</f>
        <v>North</v>
      </c>
      <c r="G1556">
        <v>1040</v>
      </c>
      <c r="H1556" t="str">
        <f>_xlfn.XLOOKUP(tblOrders[[#This Row],[ProductID]],tblProducts[ProductID],tblProducts[ProductName],"not found")</f>
        <v>Interesting</v>
      </c>
      <c r="I1556" t="str">
        <f>_xlfn.XLOOKUP(tblOrders[[#This Row],[ProductID]],tblProducts[ProductID],tblProducts[Category],"not found")</f>
        <v>Apparel</v>
      </c>
      <c r="J1556">
        <f>_xlfn.XLOOKUP(tblOrders[[#This Row],[ProductID]],tblProducts[ProductID],tblProducts[UnitPrice],"not found")</f>
        <v>490.48</v>
      </c>
      <c r="K1556" t="str">
        <f>_xlfn.XLOOKUP(tblOrders[[#This Row],[ProductID]],tblProducts[ProductID],tblProducts[Supplier],"not found")</f>
        <v>Brock, Garcia and Hernandez</v>
      </c>
      <c r="L1556" s="1" t="s">
        <v>2058</v>
      </c>
      <c r="M15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45563</v>
      </c>
      <c r="N1556">
        <v>2</v>
      </c>
      <c r="O1556">
        <v>980.96</v>
      </c>
      <c r="P1556">
        <f>tblOrders[[#This Row],[Quantity]]*tblOrders[[#This Row],[Unit Price]]</f>
        <v>980.96</v>
      </c>
      <c r="Q1556">
        <f>tblOrders[[#This Row],[TotalSales]]-tblOrders[[#This Row],[Calculated Sales]]</f>
        <v>0</v>
      </c>
    </row>
    <row r="1557" spans="1:17" x14ac:dyDescent="0.25">
      <c r="A1557">
        <v>1403</v>
      </c>
      <c r="B1557">
        <v>834</v>
      </c>
      <c r="C1557" t="str">
        <f>_xlfn.XLOOKUP(tblOrders[[#This Row],[CustomerID]],tblCustomers[CustomerID],tblCustomers[CustomerName],"not found")</f>
        <v>Randy Taylor</v>
      </c>
      <c r="D1557">
        <f>_xlfn.XLOOKUP(tblOrders[[#This Row],[CustomerID]],tblCustomers[CustomerID],tblCustomers[Age],"not found")</f>
        <v>18</v>
      </c>
      <c r="E1557" t="str">
        <f>_xlfn.XLOOKUP(tblOrders[[#This Row],[CustomerID]],tblCustomers[CustomerID],tblCustomers[Gender],"not found")</f>
        <v>Male</v>
      </c>
      <c r="F1557" t="str">
        <f>_xlfn.XLOOKUP(tblOrders[[#This Row],[CustomerID]],tblCustomers[CustomerID],tblCustomers[Region],"not found")</f>
        <v>North</v>
      </c>
      <c r="G1557">
        <v>1040</v>
      </c>
      <c r="H1557" t="str">
        <f>_xlfn.XLOOKUP(tblOrders[[#This Row],[ProductID]],tblProducts[ProductID],tblProducts[ProductName],"not found")</f>
        <v>Interesting</v>
      </c>
      <c r="I1557" t="str">
        <f>_xlfn.XLOOKUP(tblOrders[[#This Row],[ProductID]],tblProducts[ProductID],tblProducts[Category],"not found")</f>
        <v>Apparel</v>
      </c>
      <c r="J1557">
        <f>_xlfn.XLOOKUP(tblOrders[[#This Row],[ProductID]],tblProducts[ProductID],tblProducts[UnitPrice],"not found")</f>
        <v>490.48</v>
      </c>
      <c r="K1557" t="str">
        <f>_xlfn.XLOOKUP(tblOrders[[#This Row],[ProductID]],tblProducts[ProductID],tblProducts[Supplier],"not found")</f>
        <v>Brock, Garcia and Hernandez</v>
      </c>
      <c r="L1557" s="1" t="s">
        <v>2109</v>
      </c>
      <c r="M15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45101</v>
      </c>
      <c r="N1557">
        <v>3</v>
      </c>
      <c r="O1557">
        <v>1471.44</v>
      </c>
      <c r="P1557">
        <f>tblOrders[[#This Row],[Quantity]]*tblOrders[[#This Row],[Unit Price]]</f>
        <v>1471.44</v>
      </c>
      <c r="Q1557">
        <f>tblOrders[[#This Row],[TotalSales]]-tblOrders[[#This Row],[Calculated Sales]]</f>
        <v>0</v>
      </c>
    </row>
    <row r="1558" spans="1:17" x14ac:dyDescent="0.25">
      <c r="A1558">
        <v>1415</v>
      </c>
      <c r="B1558">
        <v>924</v>
      </c>
      <c r="C1558" t="str">
        <f>_xlfn.XLOOKUP(tblOrders[[#This Row],[CustomerID]],tblCustomers[CustomerID],tblCustomers[CustomerName],"not found")</f>
        <v>Morgan Hunt</v>
      </c>
      <c r="D1558">
        <f>_xlfn.XLOOKUP(tblOrders[[#This Row],[CustomerID]],tblCustomers[CustomerID],tblCustomers[Age],"not found")</f>
        <v>39</v>
      </c>
      <c r="E1558" t="str">
        <f>_xlfn.XLOOKUP(tblOrders[[#This Row],[CustomerID]],tblCustomers[CustomerID],tblCustomers[Gender],"not found")</f>
        <v>Male</v>
      </c>
      <c r="F1558" t="str">
        <f>_xlfn.XLOOKUP(tblOrders[[#This Row],[CustomerID]],tblCustomers[CustomerID],tblCustomers[Region],"not found")</f>
        <v>Central</v>
      </c>
      <c r="G1558">
        <v>1040</v>
      </c>
      <c r="H1558" t="str">
        <f>_xlfn.XLOOKUP(tblOrders[[#This Row],[ProductID]],tblProducts[ProductID],tblProducts[ProductName],"not found")</f>
        <v>Interesting</v>
      </c>
      <c r="I1558" t="str">
        <f>_xlfn.XLOOKUP(tblOrders[[#This Row],[ProductID]],tblProducts[ProductID],tblProducts[Category],"not found")</f>
        <v>Apparel</v>
      </c>
      <c r="J1558">
        <f>_xlfn.XLOOKUP(tblOrders[[#This Row],[ProductID]],tblProducts[ProductID],tblProducts[UnitPrice],"not found")</f>
        <v>490.48</v>
      </c>
      <c r="K1558" t="str">
        <f>_xlfn.XLOOKUP(tblOrders[[#This Row],[ProductID]],tblProducts[ProductID],tblProducts[Supplier],"not found")</f>
        <v>Brock, Garcia and Hernandez</v>
      </c>
      <c r="L1558" s="1">
        <v>45414</v>
      </c>
      <c r="M15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45414</v>
      </c>
      <c r="N1558">
        <v>9</v>
      </c>
      <c r="O1558">
        <v>4414.32</v>
      </c>
      <c r="P1558">
        <f>tblOrders[[#This Row],[Quantity]]*tblOrders[[#This Row],[Unit Price]]</f>
        <v>4414.32</v>
      </c>
      <c r="Q1558">
        <f>tblOrders[[#This Row],[TotalSales]]-tblOrders[[#This Row],[Calculated Sales]]</f>
        <v>0</v>
      </c>
    </row>
    <row r="1559" spans="1:17" x14ac:dyDescent="0.25">
      <c r="A1559">
        <v>1457</v>
      </c>
      <c r="B1559">
        <v>307</v>
      </c>
      <c r="C1559" t="str">
        <f>_xlfn.XLOOKUP(tblOrders[[#This Row],[CustomerID]],tblCustomers[CustomerID],tblCustomers[CustomerName],"not found")</f>
        <v>Theresa Edwards</v>
      </c>
      <c r="D1559">
        <f>_xlfn.XLOOKUP(tblOrders[[#This Row],[CustomerID]],tblCustomers[CustomerID],tblCustomers[Age],"not found")</f>
        <v>20</v>
      </c>
      <c r="E1559" t="str">
        <f>_xlfn.XLOOKUP(tblOrders[[#This Row],[CustomerID]],tblCustomers[CustomerID],tblCustomers[Gender],"not found")</f>
        <v>Male</v>
      </c>
      <c r="F1559" t="str">
        <f>_xlfn.XLOOKUP(tblOrders[[#This Row],[CustomerID]],tblCustomers[CustomerID],tblCustomers[Region],"not found")</f>
        <v>South</v>
      </c>
      <c r="G1559">
        <v>1040</v>
      </c>
      <c r="H1559" t="str">
        <f>_xlfn.XLOOKUP(tblOrders[[#This Row],[ProductID]],tblProducts[ProductID],tblProducts[ProductName],"not found")</f>
        <v>Interesting</v>
      </c>
      <c r="I1559" t="str">
        <f>_xlfn.XLOOKUP(tblOrders[[#This Row],[ProductID]],tblProducts[ProductID],tblProducts[Category],"not found")</f>
        <v>Apparel</v>
      </c>
      <c r="J1559">
        <f>_xlfn.XLOOKUP(tblOrders[[#This Row],[ProductID]],tblProducts[ProductID],tblProducts[UnitPrice],"not found")</f>
        <v>490.48</v>
      </c>
      <c r="K1559" t="str">
        <f>_xlfn.XLOOKUP(tblOrders[[#This Row],[ProductID]],tblProducts[ProductID],tblProducts[Supplier],"not found")</f>
        <v>Brock, Garcia and Hernandez</v>
      </c>
      <c r="L1559" s="1">
        <v>44927</v>
      </c>
      <c r="M15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44927</v>
      </c>
      <c r="N1559">
        <v>5</v>
      </c>
      <c r="O1559">
        <v>2452.4</v>
      </c>
      <c r="P1559">
        <f>tblOrders[[#This Row],[Quantity]]*tblOrders[[#This Row],[Unit Price]]</f>
        <v>2452.4</v>
      </c>
      <c r="Q1559">
        <f>tblOrders[[#This Row],[TotalSales]]-tblOrders[[#This Row],[Calculated Sales]]</f>
        <v>0</v>
      </c>
    </row>
    <row r="1560" spans="1:17" x14ac:dyDescent="0.25">
      <c r="A1560">
        <v>123</v>
      </c>
      <c r="B1560">
        <v>227</v>
      </c>
      <c r="C1560" t="str">
        <f>_xlfn.XLOOKUP(tblOrders[[#This Row],[CustomerID]],tblCustomers[CustomerID],tblCustomers[CustomerName],"not found")</f>
        <v>Bridget Newton</v>
      </c>
      <c r="D1560">
        <f>_xlfn.XLOOKUP(tblOrders[[#This Row],[CustomerID]],tblCustomers[CustomerID],tblCustomers[Age],"not found")</f>
        <v>19</v>
      </c>
      <c r="E1560" t="str">
        <f>_xlfn.XLOOKUP(tblOrders[[#This Row],[CustomerID]],tblCustomers[CustomerID],tblCustomers[Gender],"not found")</f>
        <v>Male</v>
      </c>
      <c r="F1560" t="str">
        <f>_xlfn.XLOOKUP(tblOrders[[#This Row],[CustomerID]],tblCustomers[CustomerID],tblCustomers[Region],"not found")</f>
        <v>East</v>
      </c>
      <c r="G1560">
        <v>1020</v>
      </c>
      <c r="H1560" t="str">
        <f>_xlfn.XLOOKUP(tblOrders[[#This Row],[ProductID]],tblProducts[ProductID],tblProducts[ProductName],"not found")</f>
        <v>While</v>
      </c>
      <c r="I1560" t="str">
        <f>_xlfn.XLOOKUP(tblOrders[[#This Row],[ProductID]],tblProducts[ProductID],tblProducts[Category],"not found")</f>
        <v>Beauty</v>
      </c>
      <c r="J1560">
        <f>_xlfn.XLOOKUP(tblOrders[[#This Row],[ProductID]],tblProducts[ProductID],tblProducts[UnitPrice],"not found")</f>
        <v>344.34</v>
      </c>
      <c r="K1560" t="str">
        <f>_xlfn.XLOOKUP(tblOrders[[#This Row],[ProductID]],tblProducts[ProductID],tblProducts[Supplier],"not found")</f>
        <v>Wolf-Harris</v>
      </c>
      <c r="L1560" s="1" t="s">
        <v>2139</v>
      </c>
      <c r="M15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45442</v>
      </c>
      <c r="N1560">
        <v>7</v>
      </c>
      <c r="O1560">
        <v>2410.38</v>
      </c>
      <c r="P1560">
        <f>tblOrders[[#This Row],[Quantity]]*tblOrders[[#This Row],[Unit Price]]</f>
        <v>2410.3799999999997</v>
      </c>
      <c r="Q1560">
        <f>tblOrders[[#This Row],[TotalSales]]-tblOrders[[#This Row],[Calculated Sales]]</f>
        <v>0</v>
      </c>
    </row>
    <row r="1561" spans="1:17" x14ac:dyDescent="0.25">
      <c r="A1561">
        <v>150</v>
      </c>
      <c r="B1561">
        <v>46</v>
      </c>
      <c r="C1561" t="str">
        <f>_xlfn.XLOOKUP(tblOrders[[#This Row],[CustomerID]],tblCustomers[CustomerID],tblCustomers[CustomerName],"not found")</f>
        <v>Mary Snyder</v>
      </c>
      <c r="D1561">
        <f>_xlfn.XLOOKUP(tblOrders[[#This Row],[CustomerID]],tblCustomers[CustomerID],tblCustomers[Age],"not found")</f>
        <v>23</v>
      </c>
      <c r="E1561" t="str">
        <f>_xlfn.XLOOKUP(tblOrders[[#This Row],[CustomerID]],tblCustomers[CustomerID],tblCustomers[Gender],"not found")</f>
        <v>Female</v>
      </c>
      <c r="F1561" t="str">
        <f>_xlfn.XLOOKUP(tblOrders[[#This Row],[CustomerID]],tblCustomers[CustomerID],tblCustomers[Region],"not found")</f>
        <v>West</v>
      </c>
      <c r="G1561">
        <v>1020</v>
      </c>
      <c r="H1561" t="str">
        <f>_xlfn.XLOOKUP(tblOrders[[#This Row],[ProductID]],tblProducts[ProductID],tblProducts[ProductName],"not found")</f>
        <v>While</v>
      </c>
      <c r="I1561" t="str">
        <f>_xlfn.XLOOKUP(tblOrders[[#This Row],[ProductID]],tblProducts[ProductID],tblProducts[Category],"not found")</f>
        <v>Beauty</v>
      </c>
      <c r="J1561">
        <f>_xlfn.XLOOKUP(tblOrders[[#This Row],[ProductID]],tblProducts[ProductID],tblProducts[UnitPrice],"not found")</f>
        <v>344.34</v>
      </c>
      <c r="K1561" t="str">
        <f>_xlfn.XLOOKUP(tblOrders[[#This Row],[ProductID]],tblProducts[ProductID],tblProducts[Supplier],"not found")</f>
        <v>Wolf-Harris</v>
      </c>
      <c r="L1561" s="1" t="s">
        <v>2386</v>
      </c>
      <c r="M15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45067</v>
      </c>
      <c r="N1561">
        <v>8</v>
      </c>
      <c r="O1561">
        <v>2754.72</v>
      </c>
      <c r="P1561">
        <f>tblOrders[[#This Row],[Quantity]]*tblOrders[[#This Row],[Unit Price]]</f>
        <v>2754.72</v>
      </c>
      <c r="Q1561">
        <f>tblOrders[[#This Row],[TotalSales]]-tblOrders[[#This Row],[Calculated Sales]]</f>
        <v>0</v>
      </c>
    </row>
    <row r="1562" spans="1:17" x14ac:dyDescent="0.25">
      <c r="A1562">
        <v>243</v>
      </c>
      <c r="B1562">
        <v>630</v>
      </c>
      <c r="C1562" t="str">
        <f>_xlfn.XLOOKUP(tblOrders[[#This Row],[CustomerID]],tblCustomers[CustomerID],tblCustomers[CustomerName],"not found")</f>
        <v>Mark Schneider</v>
      </c>
      <c r="D1562">
        <f>_xlfn.XLOOKUP(tblOrders[[#This Row],[CustomerID]],tblCustomers[CustomerID],tblCustomers[Age],"not found")</f>
        <v>39</v>
      </c>
      <c r="E1562" t="str">
        <f>_xlfn.XLOOKUP(tblOrders[[#This Row],[CustomerID]],tblCustomers[CustomerID],tblCustomers[Gender],"not found")</f>
        <v>Female</v>
      </c>
      <c r="F1562" t="str">
        <f>_xlfn.XLOOKUP(tblOrders[[#This Row],[CustomerID]],tblCustomers[CustomerID],tblCustomers[Region],"not found")</f>
        <v>West</v>
      </c>
      <c r="G1562">
        <v>1020</v>
      </c>
      <c r="H1562" t="str">
        <f>_xlfn.XLOOKUP(tblOrders[[#This Row],[ProductID]],tblProducts[ProductID],tblProducts[ProductName],"not found")</f>
        <v>While</v>
      </c>
      <c r="I1562" t="str">
        <f>_xlfn.XLOOKUP(tblOrders[[#This Row],[ProductID]],tblProducts[ProductID],tblProducts[Category],"not found")</f>
        <v>Beauty</v>
      </c>
      <c r="J1562">
        <f>_xlfn.XLOOKUP(tblOrders[[#This Row],[ProductID]],tblProducts[ProductID],tblProducts[UnitPrice],"not found")</f>
        <v>344.34</v>
      </c>
      <c r="K1562" t="str">
        <f>_xlfn.XLOOKUP(tblOrders[[#This Row],[ProductID]],tblProducts[ProductID],tblProducts[Supplier],"not found")</f>
        <v>Wolf-Harris</v>
      </c>
      <c r="L1562" s="1" t="s">
        <v>2342</v>
      </c>
      <c r="M15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45064</v>
      </c>
      <c r="N1562">
        <v>2</v>
      </c>
      <c r="O1562">
        <v>688.68</v>
      </c>
      <c r="P1562">
        <f>tblOrders[[#This Row],[Quantity]]*tblOrders[[#This Row],[Unit Price]]</f>
        <v>688.68</v>
      </c>
      <c r="Q1562">
        <f>tblOrders[[#This Row],[TotalSales]]-tblOrders[[#This Row],[Calculated Sales]]</f>
        <v>0</v>
      </c>
    </row>
    <row r="1563" spans="1:17" x14ac:dyDescent="0.25">
      <c r="A1563">
        <v>250</v>
      </c>
      <c r="B1563">
        <v>858</v>
      </c>
      <c r="C1563" t="str">
        <f>_xlfn.XLOOKUP(tblOrders[[#This Row],[CustomerID]],tblCustomers[CustomerID],tblCustomers[CustomerName],"not found")</f>
        <v>Jacob Nelson</v>
      </c>
      <c r="D1563">
        <f>_xlfn.XLOOKUP(tblOrders[[#This Row],[CustomerID]],tblCustomers[CustomerID],tblCustomers[Age],"not found")</f>
        <v>32</v>
      </c>
      <c r="E1563" t="str">
        <f>_xlfn.XLOOKUP(tblOrders[[#This Row],[CustomerID]],tblCustomers[CustomerID],tblCustomers[Gender],"not found")</f>
        <v>Female</v>
      </c>
      <c r="F1563" t="str">
        <f>_xlfn.XLOOKUP(tblOrders[[#This Row],[CustomerID]],tblCustomers[CustomerID],tblCustomers[Region],"not found")</f>
        <v>West</v>
      </c>
      <c r="G1563">
        <v>1020</v>
      </c>
      <c r="H1563" t="str">
        <f>_xlfn.XLOOKUP(tblOrders[[#This Row],[ProductID]],tblProducts[ProductID],tblProducts[ProductName],"not found")</f>
        <v>While</v>
      </c>
      <c r="I1563" t="str">
        <f>_xlfn.XLOOKUP(tblOrders[[#This Row],[ProductID]],tblProducts[ProductID],tblProducts[Category],"not found")</f>
        <v>Beauty</v>
      </c>
      <c r="J1563">
        <f>_xlfn.XLOOKUP(tblOrders[[#This Row],[ProductID]],tblProducts[ProductID],tblProducts[UnitPrice],"not found")</f>
        <v>344.34</v>
      </c>
      <c r="K1563" t="str">
        <f>_xlfn.XLOOKUP(tblOrders[[#This Row],[ProductID]],tblProducts[ProductID],tblProducts[Supplier],"not found")</f>
        <v>Wolf-Harris</v>
      </c>
      <c r="L1563" s="1" t="s">
        <v>2192</v>
      </c>
      <c r="M15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45193</v>
      </c>
      <c r="N1563">
        <v>6</v>
      </c>
      <c r="O1563">
        <v>2066.04</v>
      </c>
      <c r="P1563">
        <f>tblOrders[[#This Row],[Quantity]]*tblOrders[[#This Row],[Unit Price]]</f>
        <v>2066.04</v>
      </c>
      <c r="Q1563">
        <f>tblOrders[[#This Row],[TotalSales]]-tblOrders[[#This Row],[Calculated Sales]]</f>
        <v>0</v>
      </c>
    </row>
    <row r="1564" spans="1:17" x14ac:dyDescent="0.25">
      <c r="A1564">
        <v>455</v>
      </c>
      <c r="B1564">
        <v>528</v>
      </c>
      <c r="C1564" t="str">
        <f>_xlfn.XLOOKUP(tblOrders[[#This Row],[CustomerID]],tblCustomers[CustomerID],tblCustomers[CustomerName],"not found")</f>
        <v>Julie Harris</v>
      </c>
      <c r="D1564">
        <f>_xlfn.XLOOKUP(tblOrders[[#This Row],[CustomerID]],tblCustomers[CustomerID],tblCustomers[Age],"not found")</f>
        <v>66</v>
      </c>
      <c r="E1564" t="str">
        <f>_xlfn.XLOOKUP(tblOrders[[#This Row],[CustomerID]],tblCustomers[CustomerID],tblCustomers[Gender],"not found")</f>
        <v>Female</v>
      </c>
      <c r="F1564" t="str">
        <f>_xlfn.XLOOKUP(tblOrders[[#This Row],[CustomerID]],tblCustomers[CustomerID],tblCustomers[Region],"not found")</f>
        <v>North</v>
      </c>
      <c r="G1564">
        <v>1020</v>
      </c>
      <c r="H1564" t="str">
        <f>_xlfn.XLOOKUP(tblOrders[[#This Row],[ProductID]],tblProducts[ProductID],tblProducts[ProductName],"not found")</f>
        <v>While</v>
      </c>
      <c r="I1564" t="str">
        <f>_xlfn.XLOOKUP(tblOrders[[#This Row],[ProductID]],tblProducts[ProductID],tblProducts[Category],"not found")</f>
        <v>Beauty</v>
      </c>
      <c r="J1564">
        <f>_xlfn.XLOOKUP(tblOrders[[#This Row],[ProductID]],tblProducts[ProductID],tblProducts[UnitPrice],"not found")</f>
        <v>344.34</v>
      </c>
      <c r="K1564" t="str">
        <f>_xlfn.XLOOKUP(tblOrders[[#This Row],[ProductID]],tblProducts[ProductID],tblProducts[Supplier],"not found")</f>
        <v>Wolf-Harris</v>
      </c>
      <c r="L1564" s="1" t="s">
        <v>2256</v>
      </c>
      <c r="M15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45011</v>
      </c>
      <c r="N1564">
        <v>1</v>
      </c>
      <c r="O1564">
        <v>344.34</v>
      </c>
      <c r="P1564">
        <f>tblOrders[[#This Row],[Quantity]]*tblOrders[[#This Row],[Unit Price]]</f>
        <v>344.34</v>
      </c>
      <c r="Q1564">
        <f>tblOrders[[#This Row],[TotalSales]]-tblOrders[[#This Row],[Calculated Sales]]</f>
        <v>0</v>
      </c>
    </row>
    <row r="1565" spans="1:17" x14ac:dyDescent="0.25">
      <c r="A1565">
        <v>783</v>
      </c>
      <c r="B1565">
        <v>11</v>
      </c>
      <c r="C1565" t="str">
        <f>_xlfn.XLOOKUP(tblOrders[[#This Row],[CustomerID]],tblCustomers[CustomerID],tblCustomers[CustomerName],"not found")</f>
        <v>Carly Branch</v>
      </c>
      <c r="D1565">
        <f>_xlfn.XLOOKUP(tblOrders[[#This Row],[CustomerID]],tblCustomers[CustomerID],tblCustomers[Age],"not found")</f>
        <v>55</v>
      </c>
      <c r="E1565" t="str">
        <f>_xlfn.XLOOKUP(tblOrders[[#This Row],[CustomerID]],tblCustomers[CustomerID],tblCustomers[Gender],"not found")</f>
        <v>Female</v>
      </c>
      <c r="F1565" t="str">
        <f>_xlfn.XLOOKUP(tblOrders[[#This Row],[CustomerID]],tblCustomers[CustomerID],tblCustomers[Region],"not found")</f>
        <v>South</v>
      </c>
      <c r="G1565">
        <v>1020</v>
      </c>
      <c r="H1565" t="str">
        <f>_xlfn.XLOOKUP(tblOrders[[#This Row],[ProductID]],tblProducts[ProductID],tblProducts[ProductName],"not found")</f>
        <v>While</v>
      </c>
      <c r="I1565" t="str">
        <f>_xlfn.XLOOKUP(tblOrders[[#This Row],[ProductID]],tblProducts[ProductID],tblProducts[Category],"not found")</f>
        <v>Beauty</v>
      </c>
      <c r="J1565">
        <f>_xlfn.XLOOKUP(tblOrders[[#This Row],[ProductID]],tblProducts[ProductID],tblProducts[UnitPrice],"not found")</f>
        <v>344.34</v>
      </c>
      <c r="K1565" t="str">
        <f>_xlfn.XLOOKUP(tblOrders[[#This Row],[ProductID]],tblProducts[ProductID],tblProducts[Supplier],"not found")</f>
        <v>Wolf-Harris</v>
      </c>
      <c r="L1565" s="1" t="s">
        <v>2395</v>
      </c>
      <c r="M15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45525</v>
      </c>
      <c r="N1565">
        <v>4</v>
      </c>
      <c r="O1565">
        <v>1377.36</v>
      </c>
      <c r="P1565">
        <f>tblOrders[[#This Row],[Quantity]]*tblOrders[[#This Row],[Unit Price]]</f>
        <v>1377.36</v>
      </c>
      <c r="Q1565">
        <f>tblOrders[[#This Row],[TotalSales]]-tblOrders[[#This Row],[Calculated Sales]]</f>
        <v>0</v>
      </c>
    </row>
    <row r="1566" spans="1:17" x14ac:dyDescent="0.25">
      <c r="A1566">
        <v>821</v>
      </c>
      <c r="B1566">
        <v>41</v>
      </c>
      <c r="C1566" t="str">
        <f>_xlfn.XLOOKUP(tblOrders[[#This Row],[CustomerID]],tblCustomers[CustomerID],tblCustomers[CustomerName],"not found")</f>
        <v>Roberto Perkins</v>
      </c>
      <c r="D1566">
        <f>_xlfn.XLOOKUP(tblOrders[[#This Row],[CustomerID]],tblCustomers[CustomerID],tblCustomers[Age],"not found")</f>
        <v>40</v>
      </c>
      <c r="E1566" t="str">
        <f>_xlfn.XLOOKUP(tblOrders[[#This Row],[CustomerID]],tblCustomers[CustomerID],tblCustomers[Gender],"not found")</f>
        <v>Female</v>
      </c>
      <c r="F1566" t="str">
        <f>_xlfn.XLOOKUP(tblOrders[[#This Row],[CustomerID]],tblCustomers[CustomerID],tblCustomers[Region],"not found")</f>
        <v>West</v>
      </c>
      <c r="G1566">
        <v>1020</v>
      </c>
      <c r="H1566" t="str">
        <f>_xlfn.XLOOKUP(tblOrders[[#This Row],[ProductID]],tblProducts[ProductID],tblProducts[ProductName],"not found")</f>
        <v>While</v>
      </c>
      <c r="I1566" t="str">
        <f>_xlfn.XLOOKUP(tblOrders[[#This Row],[ProductID]],tblProducts[ProductID],tblProducts[Category],"not found")</f>
        <v>Beauty</v>
      </c>
      <c r="J1566">
        <f>_xlfn.XLOOKUP(tblOrders[[#This Row],[ProductID]],tblProducts[ProductID],tblProducts[UnitPrice],"not found")</f>
        <v>344.34</v>
      </c>
      <c r="K1566" t="str">
        <f>_xlfn.XLOOKUP(tblOrders[[#This Row],[ProductID]],tblProducts[ProductID],tblProducts[Supplier],"not found")</f>
        <v>Wolf-Harris</v>
      </c>
      <c r="L1566" s="1" t="s">
        <v>2144</v>
      </c>
      <c r="M15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45405</v>
      </c>
      <c r="N1566">
        <v>7</v>
      </c>
      <c r="O1566">
        <v>2410.38</v>
      </c>
      <c r="P1566">
        <f>tblOrders[[#This Row],[Quantity]]*tblOrders[[#This Row],[Unit Price]]</f>
        <v>2410.3799999999997</v>
      </c>
      <c r="Q1566">
        <f>tblOrders[[#This Row],[TotalSales]]-tblOrders[[#This Row],[Calculated Sales]]</f>
        <v>0</v>
      </c>
    </row>
    <row r="1567" spans="1:17" x14ac:dyDescent="0.25">
      <c r="A1567">
        <v>846</v>
      </c>
      <c r="B1567">
        <v>592</v>
      </c>
      <c r="C1567" t="str">
        <f>_xlfn.XLOOKUP(tblOrders[[#This Row],[CustomerID]],tblCustomers[CustomerID],tblCustomers[CustomerName],"not found")</f>
        <v>Christopher Banks</v>
      </c>
      <c r="D1567">
        <f>_xlfn.XLOOKUP(tblOrders[[#This Row],[CustomerID]],tblCustomers[CustomerID],tblCustomers[Age],"not found")</f>
        <v>57</v>
      </c>
      <c r="E1567" t="str">
        <f>_xlfn.XLOOKUP(tblOrders[[#This Row],[CustomerID]],tblCustomers[CustomerID],tblCustomers[Gender],"not found")</f>
        <v>Male</v>
      </c>
      <c r="F1567" t="str">
        <f>_xlfn.XLOOKUP(tblOrders[[#This Row],[CustomerID]],tblCustomers[CustomerID],tblCustomers[Region],"not found")</f>
        <v>North</v>
      </c>
      <c r="G1567">
        <v>1020</v>
      </c>
      <c r="H1567" t="str">
        <f>_xlfn.XLOOKUP(tblOrders[[#This Row],[ProductID]],tblProducts[ProductID],tblProducts[ProductName],"not found")</f>
        <v>While</v>
      </c>
      <c r="I1567" t="str">
        <f>_xlfn.XLOOKUP(tblOrders[[#This Row],[ProductID]],tblProducts[ProductID],tblProducts[Category],"not found")</f>
        <v>Beauty</v>
      </c>
      <c r="J1567">
        <f>_xlfn.XLOOKUP(tblOrders[[#This Row],[ProductID]],tblProducts[ProductID],tblProducts[UnitPrice],"not found")</f>
        <v>344.34</v>
      </c>
      <c r="K1567" t="str">
        <f>_xlfn.XLOOKUP(tblOrders[[#This Row],[ProductID]],tblProducts[ProductID],tblProducts[Supplier],"not found")</f>
        <v>Wolf-Harris</v>
      </c>
      <c r="L1567" s="1" t="s">
        <v>2192</v>
      </c>
      <c r="M15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45193</v>
      </c>
      <c r="N1567">
        <v>1</v>
      </c>
      <c r="O1567">
        <v>344.34</v>
      </c>
      <c r="P1567">
        <f>tblOrders[[#This Row],[Quantity]]*tblOrders[[#This Row],[Unit Price]]</f>
        <v>344.34</v>
      </c>
      <c r="Q1567">
        <f>tblOrders[[#This Row],[TotalSales]]-tblOrders[[#This Row],[Calculated Sales]]</f>
        <v>0</v>
      </c>
    </row>
    <row r="1568" spans="1:17" x14ac:dyDescent="0.25">
      <c r="A1568">
        <v>1368</v>
      </c>
      <c r="B1568">
        <v>941</v>
      </c>
      <c r="C1568" t="str">
        <f>_xlfn.XLOOKUP(tblOrders[[#This Row],[CustomerID]],tblCustomers[CustomerID],tblCustomers[CustomerName],"not found")</f>
        <v>Deanna Barrett</v>
      </c>
      <c r="D1568">
        <f>_xlfn.XLOOKUP(tblOrders[[#This Row],[CustomerID]],tblCustomers[CustomerID],tblCustomers[Age],"not found")</f>
        <v>50</v>
      </c>
      <c r="E1568" t="str">
        <f>_xlfn.XLOOKUP(tblOrders[[#This Row],[CustomerID]],tblCustomers[CustomerID],tblCustomers[Gender],"not found")</f>
        <v>Female</v>
      </c>
      <c r="F1568" t="str">
        <f>_xlfn.XLOOKUP(tblOrders[[#This Row],[CustomerID]],tblCustomers[CustomerID],tblCustomers[Region],"not found")</f>
        <v>South</v>
      </c>
      <c r="G1568">
        <v>1020</v>
      </c>
      <c r="H1568" t="str">
        <f>_xlfn.XLOOKUP(tblOrders[[#This Row],[ProductID]],tblProducts[ProductID],tblProducts[ProductName],"not found")</f>
        <v>While</v>
      </c>
      <c r="I1568" t="str">
        <f>_xlfn.XLOOKUP(tblOrders[[#This Row],[ProductID]],tblProducts[ProductID],tblProducts[Category],"not found")</f>
        <v>Beauty</v>
      </c>
      <c r="J1568">
        <f>_xlfn.XLOOKUP(tblOrders[[#This Row],[ProductID]],tblProducts[ProductID],tblProducts[UnitPrice],"not found")</f>
        <v>344.34</v>
      </c>
      <c r="K1568" t="str">
        <f>_xlfn.XLOOKUP(tblOrders[[#This Row],[ProductID]],tblProducts[ProductID],tblProducts[Supplier],"not found")</f>
        <v>Wolf-Harris</v>
      </c>
      <c r="L1568" s="1">
        <v>45050</v>
      </c>
      <c r="M15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45050</v>
      </c>
      <c r="N1568">
        <v>8</v>
      </c>
      <c r="O1568">
        <v>2754.72</v>
      </c>
      <c r="P1568">
        <f>tblOrders[[#This Row],[Quantity]]*tblOrders[[#This Row],[Unit Price]]</f>
        <v>2754.72</v>
      </c>
      <c r="Q1568">
        <f>tblOrders[[#This Row],[TotalSales]]-tblOrders[[#This Row],[Calculated Sales]]</f>
        <v>0</v>
      </c>
    </row>
    <row r="1569" spans="1:17" x14ac:dyDescent="0.25">
      <c r="A1569">
        <v>1443</v>
      </c>
      <c r="B1569">
        <v>628</v>
      </c>
      <c r="C1569" t="str">
        <f>_xlfn.XLOOKUP(tblOrders[[#This Row],[CustomerID]],tblCustomers[CustomerID],tblCustomers[CustomerName],"not found")</f>
        <v>Peter Chandler</v>
      </c>
      <c r="D1569">
        <f>_xlfn.XLOOKUP(tblOrders[[#This Row],[CustomerID]],tblCustomers[CustomerID],tblCustomers[Age],"not found")</f>
        <v>44</v>
      </c>
      <c r="E1569" t="str">
        <f>_xlfn.XLOOKUP(tblOrders[[#This Row],[CustomerID]],tblCustomers[CustomerID],tblCustomers[Gender],"not found")</f>
        <v>Female</v>
      </c>
      <c r="F1569" t="str">
        <f>_xlfn.XLOOKUP(tblOrders[[#This Row],[CustomerID]],tblCustomers[CustomerID],tblCustomers[Region],"not found")</f>
        <v>West</v>
      </c>
      <c r="G1569">
        <v>1020</v>
      </c>
      <c r="H1569" t="str">
        <f>_xlfn.XLOOKUP(tblOrders[[#This Row],[ProductID]],tblProducts[ProductID],tblProducts[ProductName],"not found")</f>
        <v>While</v>
      </c>
      <c r="I1569" t="str">
        <f>_xlfn.XLOOKUP(tblOrders[[#This Row],[ProductID]],tblProducts[ProductID],tblProducts[Category],"not found")</f>
        <v>Beauty</v>
      </c>
      <c r="J1569">
        <f>_xlfn.XLOOKUP(tblOrders[[#This Row],[ProductID]],tblProducts[ProductID],tblProducts[UnitPrice],"not found")</f>
        <v>344.34</v>
      </c>
      <c r="K1569" t="str">
        <f>_xlfn.XLOOKUP(tblOrders[[#This Row],[ProductID]],tblProducts[ProductID],tblProducts[Supplier],"not found")</f>
        <v>Wolf-Harris</v>
      </c>
      <c r="L1569" s="1" t="s">
        <v>2092</v>
      </c>
      <c r="M15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45434</v>
      </c>
      <c r="N1569">
        <v>8</v>
      </c>
      <c r="O1569">
        <v>2754.72</v>
      </c>
      <c r="P1569">
        <f>tblOrders[[#This Row],[Quantity]]*tblOrders[[#This Row],[Unit Price]]</f>
        <v>2754.72</v>
      </c>
      <c r="Q1569">
        <f>tblOrders[[#This Row],[TotalSales]]-tblOrders[[#This Row],[Calculated Sales]]</f>
        <v>0</v>
      </c>
    </row>
    <row r="1570" spans="1:17" x14ac:dyDescent="0.25">
      <c r="A1570">
        <v>1453</v>
      </c>
      <c r="B1570">
        <v>45</v>
      </c>
      <c r="C1570" t="str">
        <f>_xlfn.XLOOKUP(tblOrders[[#This Row],[CustomerID]],tblCustomers[CustomerID],tblCustomers[CustomerName],"not found")</f>
        <v>William Morris</v>
      </c>
      <c r="D1570">
        <f>_xlfn.XLOOKUP(tblOrders[[#This Row],[CustomerID]],tblCustomers[CustomerID],tblCustomers[Age],"not found")</f>
        <v>51</v>
      </c>
      <c r="E1570" t="str">
        <f>_xlfn.XLOOKUP(tblOrders[[#This Row],[CustomerID]],tblCustomers[CustomerID],tblCustomers[Gender],"not found")</f>
        <v>Female</v>
      </c>
      <c r="F1570" t="str">
        <f>_xlfn.XLOOKUP(tblOrders[[#This Row],[CustomerID]],tblCustomers[CustomerID],tblCustomers[Region],"not found")</f>
        <v>North</v>
      </c>
      <c r="G1570">
        <v>1020</v>
      </c>
      <c r="H1570" t="str">
        <f>_xlfn.XLOOKUP(tblOrders[[#This Row],[ProductID]],tblProducts[ProductID],tblProducts[ProductName],"not found")</f>
        <v>While</v>
      </c>
      <c r="I1570" t="str">
        <f>_xlfn.XLOOKUP(tblOrders[[#This Row],[ProductID]],tblProducts[ProductID],tblProducts[Category],"not found")</f>
        <v>Beauty</v>
      </c>
      <c r="J1570">
        <f>_xlfn.XLOOKUP(tblOrders[[#This Row],[ProductID]],tblProducts[ProductID],tblProducts[UnitPrice],"not found")</f>
        <v>344.34</v>
      </c>
      <c r="K1570" t="str">
        <f>_xlfn.XLOOKUP(tblOrders[[#This Row],[ProductID]],tblProducts[ProductID],tblProducts[Supplier],"not found")</f>
        <v>Wolf-Harris</v>
      </c>
      <c r="L1570" s="1" t="s">
        <v>2386</v>
      </c>
      <c r="M15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45067</v>
      </c>
      <c r="N1570">
        <v>7</v>
      </c>
      <c r="O1570">
        <v>2410.38</v>
      </c>
      <c r="P1570">
        <f>tblOrders[[#This Row],[Quantity]]*tblOrders[[#This Row],[Unit Price]]</f>
        <v>2410.3799999999997</v>
      </c>
      <c r="Q1570">
        <f>tblOrders[[#This Row],[TotalSales]]-tblOrders[[#This Row],[Calculated Sales]]</f>
        <v>0</v>
      </c>
    </row>
    <row r="1571" spans="1:17" x14ac:dyDescent="0.25">
      <c r="A1571">
        <v>1694</v>
      </c>
      <c r="B1571">
        <v>588</v>
      </c>
      <c r="C1571" t="str">
        <f>_xlfn.XLOOKUP(tblOrders[[#This Row],[CustomerID]],tblCustomers[CustomerID],tblCustomers[CustomerName],"not found")</f>
        <v>Raymond Bell Jr.</v>
      </c>
      <c r="D1571">
        <f>_xlfn.XLOOKUP(tblOrders[[#This Row],[CustomerID]],tblCustomers[CustomerID],tblCustomers[Age],"not found")</f>
        <v>38</v>
      </c>
      <c r="E1571" t="str">
        <f>_xlfn.XLOOKUP(tblOrders[[#This Row],[CustomerID]],tblCustomers[CustomerID],tblCustomers[Gender],"not found")</f>
        <v>Male</v>
      </c>
      <c r="F1571" t="str">
        <f>_xlfn.XLOOKUP(tblOrders[[#This Row],[CustomerID]],tblCustomers[CustomerID],tblCustomers[Region],"not found")</f>
        <v>West</v>
      </c>
      <c r="G1571">
        <v>1020</v>
      </c>
      <c r="H1571" t="str">
        <f>_xlfn.XLOOKUP(tblOrders[[#This Row],[ProductID]],tblProducts[ProductID],tblProducts[ProductName],"not found")</f>
        <v>While</v>
      </c>
      <c r="I1571" t="str">
        <f>_xlfn.XLOOKUP(tblOrders[[#This Row],[ProductID]],tblProducts[ProductID],tblProducts[Category],"not found")</f>
        <v>Beauty</v>
      </c>
      <c r="J1571">
        <f>_xlfn.XLOOKUP(tblOrders[[#This Row],[ProductID]],tblProducts[ProductID],tblProducts[UnitPrice],"not found")</f>
        <v>344.34</v>
      </c>
      <c r="K1571" t="str">
        <f>_xlfn.XLOOKUP(tblOrders[[#This Row],[ProductID]],tblProducts[ProductID],tblProducts[Supplier],"not found")</f>
        <v>Wolf-Harris</v>
      </c>
      <c r="L1571" s="1">
        <v>45506</v>
      </c>
      <c r="M15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45506</v>
      </c>
      <c r="N1571">
        <v>4</v>
      </c>
      <c r="O1571">
        <v>1377.36</v>
      </c>
      <c r="P1571">
        <f>tblOrders[[#This Row],[Quantity]]*tblOrders[[#This Row],[Unit Price]]</f>
        <v>1377.36</v>
      </c>
      <c r="Q1571">
        <f>tblOrders[[#This Row],[TotalSales]]-tblOrders[[#This Row],[Calculated Sales]]</f>
        <v>0</v>
      </c>
    </row>
    <row r="1572" spans="1:17" x14ac:dyDescent="0.25">
      <c r="A1572">
        <v>1710</v>
      </c>
      <c r="B1572">
        <v>2</v>
      </c>
      <c r="C1572" t="str">
        <f>_xlfn.XLOOKUP(tblOrders[[#This Row],[CustomerID]],tblCustomers[CustomerID],tblCustomers[CustomerName],"not found")</f>
        <v>Joseph Chapman</v>
      </c>
      <c r="D1572">
        <f>_xlfn.XLOOKUP(tblOrders[[#This Row],[CustomerID]],tblCustomers[CustomerID],tblCustomers[Age],"not found")</f>
        <v>21</v>
      </c>
      <c r="E1572" t="str">
        <f>_xlfn.XLOOKUP(tblOrders[[#This Row],[CustomerID]],tblCustomers[CustomerID],tblCustomers[Gender],"not found")</f>
        <v>Female</v>
      </c>
      <c r="F1572" t="str">
        <f>_xlfn.XLOOKUP(tblOrders[[#This Row],[CustomerID]],tblCustomers[CustomerID],tblCustomers[Region],"not found")</f>
        <v>East</v>
      </c>
      <c r="G1572">
        <v>1020</v>
      </c>
      <c r="H1572" t="str">
        <f>_xlfn.XLOOKUP(tblOrders[[#This Row],[ProductID]],tblProducts[ProductID],tblProducts[ProductName],"not found")</f>
        <v>While</v>
      </c>
      <c r="I1572" t="str">
        <f>_xlfn.XLOOKUP(tblOrders[[#This Row],[ProductID]],tblProducts[ProductID],tblProducts[Category],"not found")</f>
        <v>Beauty</v>
      </c>
      <c r="J1572">
        <f>_xlfn.XLOOKUP(tblOrders[[#This Row],[ProductID]],tblProducts[ProductID],tblProducts[UnitPrice],"not found")</f>
        <v>344.34</v>
      </c>
      <c r="K1572" t="str">
        <f>_xlfn.XLOOKUP(tblOrders[[#This Row],[ProductID]],tblProducts[ProductID],tblProducts[Supplier],"not found")</f>
        <v>Wolf-Harris</v>
      </c>
      <c r="L1572" s="1" t="s">
        <v>2352</v>
      </c>
      <c r="M15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44913</v>
      </c>
      <c r="N1572">
        <v>2</v>
      </c>
      <c r="O1572">
        <v>688.68</v>
      </c>
      <c r="P1572">
        <f>tblOrders[[#This Row],[Quantity]]*tblOrders[[#This Row],[Unit Price]]</f>
        <v>688.68</v>
      </c>
      <c r="Q1572">
        <f>tblOrders[[#This Row],[TotalSales]]-tblOrders[[#This Row],[Calculated Sales]]</f>
        <v>0</v>
      </c>
    </row>
    <row r="1573" spans="1:17" x14ac:dyDescent="0.25">
      <c r="A1573">
        <v>1837</v>
      </c>
      <c r="B1573">
        <v>289</v>
      </c>
      <c r="C1573" t="str">
        <f>_xlfn.XLOOKUP(tblOrders[[#This Row],[CustomerID]],tblCustomers[CustomerID],tblCustomers[CustomerName],"not found")</f>
        <v>Don Reyes</v>
      </c>
      <c r="D1573">
        <f>_xlfn.XLOOKUP(tblOrders[[#This Row],[CustomerID]],tblCustomers[CustomerID],tblCustomers[Age],"not found")</f>
        <v>31</v>
      </c>
      <c r="E1573" t="str">
        <f>_xlfn.XLOOKUP(tblOrders[[#This Row],[CustomerID]],tblCustomers[CustomerID],tblCustomers[Gender],"not found")</f>
        <v>Male</v>
      </c>
      <c r="F1573" t="str">
        <f>_xlfn.XLOOKUP(tblOrders[[#This Row],[CustomerID]],tblCustomers[CustomerID],tblCustomers[Region],"not found")</f>
        <v>East</v>
      </c>
      <c r="G1573">
        <v>1020</v>
      </c>
      <c r="H1573" t="str">
        <f>_xlfn.XLOOKUP(tblOrders[[#This Row],[ProductID]],tblProducts[ProductID],tblProducts[ProductName],"not found")</f>
        <v>While</v>
      </c>
      <c r="I1573" t="str">
        <f>_xlfn.XLOOKUP(tblOrders[[#This Row],[ProductID]],tblProducts[ProductID],tblProducts[Category],"not found")</f>
        <v>Beauty</v>
      </c>
      <c r="J1573">
        <f>_xlfn.XLOOKUP(tblOrders[[#This Row],[ProductID]],tblProducts[ProductID],tblProducts[UnitPrice],"not found")</f>
        <v>344.34</v>
      </c>
      <c r="K1573" t="str">
        <f>_xlfn.XLOOKUP(tblOrders[[#This Row],[ProductID]],tblProducts[ProductID],tblProducts[Supplier],"not found")</f>
        <v>Wolf-Harris</v>
      </c>
      <c r="L1573" s="1">
        <v>45112</v>
      </c>
      <c r="M15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45112</v>
      </c>
      <c r="N1573">
        <v>3</v>
      </c>
      <c r="O1573">
        <v>1033.02</v>
      </c>
      <c r="P1573">
        <f>tblOrders[[#This Row],[Quantity]]*tblOrders[[#This Row],[Unit Price]]</f>
        <v>1033.02</v>
      </c>
      <c r="Q1573">
        <f>tblOrders[[#This Row],[TotalSales]]-tblOrders[[#This Row],[Calculated Sales]]</f>
        <v>0</v>
      </c>
    </row>
    <row r="1574" spans="1:17" x14ac:dyDescent="0.25">
      <c r="A1574">
        <v>1932</v>
      </c>
      <c r="B1574">
        <v>233</v>
      </c>
      <c r="C1574" t="str">
        <f>_xlfn.XLOOKUP(tblOrders[[#This Row],[CustomerID]],tblCustomers[CustomerID],tblCustomers[CustomerName],"not found")</f>
        <v>Edward Boone</v>
      </c>
      <c r="D1574">
        <f>_xlfn.XLOOKUP(tblOrders[[#This Row],[CustomerID]],tblCustomers[CustomerID],tblCustomers[Age],"not found")</f>
        <v>56</v>
      </c>
      <c r="E1574" t="str">
        <f>_xlfn.XLOOKUP(tblOrders[[#This Row],[CustomerID]],tblCustomers[CustomerID],tblCustomers[Gender],"not found")</f>
        <v>Male</v>
      </c>
      <c r="F1574" t="str">
        <f>_xlfn.XLOOKUP(tblOrders[[#This Row],[CustomerID]],tblCustomers[CustomerID],tblCustomers[Region],"not found")</f>
        <v>South</v>
      </c>
      <c r="G1574">
        <v>1020</v>
      </c>
      <c r="H1574" t="str">
        <f>_xlfn.XLOOKUP(tblOrders[[#This Row],[ProductID]],tblProducts[ProductID],tblProducts[ProductName],"not found")</f>
        <v>While</v>
      </c>
      <c r="I1574" t="str">
        <f>_xlfn.XLOOKUP(tblOrders[[#This Row],[ProductID]],tblProducts[ProductID],tblProducts[Category],"not found")</f>
        <v>Beauty</v>
      </c>
      <c r="J1574">
        <f>_xlfn.XLOOKUP(tblOrders[[#This Row],[ProductID]],tblProducts[ProductID],tblProducts[UnitPrice],"not found")</f>
        <v>344.34</v>
      </c>
      <c r="K1574" t="str">
        <f>_xlfn.XLOOKUP(tblOrders[[#This Row],[ProductID]],tblProducts[ProductID],tblProducts[Supplier],"not found")</f>
        <v>Wolf-Harris</v>
      </c>
      <c r="L1574" s="1" t="s">
        <v>2132</v>
      </c>
      <c r="M15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45317</v>
      </c>
      <c r="N1574">
        <v>9</v>
      </c>
      <c r="O1574">
        <v>3099.06</v>
      </c>
      <c r="P1574">
        <f>tblOrders[[#This Row],[Quantity]]*tblOrders[[#This Row],[Unit Price]]</f>
        <v>3099.06</v>
      </c>
      <c r="Q1574">
        <f>tblOrders[[#This Row],[TotalSales]]-tblOrders[[#This Row],[Calculated Sales]]</f>
        <v>0</v>
      </c>
    </row>
    <row r="1575" spans="1:17" x14ac:dyDescent="0.25">
      <c r="A1575">
        <v>1954</v>
      </c>
      <c r="B1575">
        <v>400</v>
      </c>
      <c r="C1575" t="str">
        <f>_xlfn.XLOOKUP(tblOrders[[#This Row],[CustomerID]],tblCustomers[CustomerID],tblCustomers[CustomerName],"not found")</f>
        <v>Michelle Smith</v>
      </c>
      <c r="D1575">
        <f>_xlfn.XLOOKUP(tblOrders[[#This Row],[CustomerID]],tblCustomers[CustomerID],tblCustomers[Age],"not found")</f>
        <v>66</v>
      </c>
      <c r="E1575" t="str">
        <f>_xlfn.XLOOKUP(tblOrders[[#This Row],[CustomerID]],tblCustomers[CustomerID],tblCustomers[Gender],"not found")</f>
        <v>Male</v>
      </c>
      <c r="F1575" t="str">
        <f>_xlfn.XLOOKUP(tblOrders[[#This Row],[CustomerID]],tblCustomers[CustomerID],tblCustomers[Region],"not found")</f>
        <v>Central</v>
      </c>
      <c r="G1575">
        <v>1020</v>
      </c>
      <c r="H1575" t="str">
        <f>_xlfn.XLOOKUP(tblOrders[[#This Row],[ProductID]],tblProducts[ProductID],tblProducts[ProductName],"not found")</f>
        <v>While</v>
      </c>
      <c r="I1575" t="str">
        <f>_xlfn.XLOOKUP(tblOrders[[#This Row],[ProductID]],tblProducts[ProductID],tblProducts[Category],"not found")</f>
        <v>Beauty</v>
      </c>
      <c r="J1575">
        <f>_xlfn.XLOOKUP(tblOrders[[#This Row],[ProductID]],tblProducts[ProductID],tblProducts[UnitPrice],"not found")</f>
        <v>344.34</v>
      </c>
      <c r="K1575" t="str">
        <f>_xlfn.XLOOKUP(tblOrders[[#This Row],[ProductID]],tblProducts[ProductID],tblProducts[Supplier],"not found")</f>
        <v>Wolf-Harris</v>
      </c>
      <c r="L1575" s="1" t="s">
        <v>2305</v>
      </c>
      <c r="M15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44974</v>
      </c>
      <c r="N1575">
        <v>2</v>
      </c>
      <c r="O1575">
        <v>688.68</v>
      </c>
      <c r="P1575">
        <f>tblOrders[[#This Row],[Quantity]]*tblOrders[[#This Row],[Unit Price]]</f>
        <v>688.68</v>
      </c>
      <c r="Q1575">
        <f>tblOrders[[#This Row],[TotalSales]]-tblOrders[[#This Row],[Calculated Sales]]</f>
        <v>0</v>
      </c>
    </row>
    <row r="1576" spans="1:17" x14ac:dyDescent="0.25">
      <c r="A1576">
        <v>125</v>
      </c>
      <c r="B1576">
        <v>678</v>
      </c>
      <c r="C1576" t="str">
        <f>_xlfn.XLOOKUP(tblOrders[[#This Row],[CustomerID]],tblCustomers[CustomerID],tblCustomers[CustomerName],"not found")</f>
        <v>Jeffrey Campbell</v>
      </c>
      <c r="D1576">
        <f>_xlfn.XLOOKUP(tblOrders[[#This Row],[CustomerID]],tblCustomers[CustomerID],tblCustomers[Age],"not found")</f>
        <v>63</v>
      </c>
      <c r="E1576" t="str">
        <f>_xlfn.XLOOKUP(tblOrders[[#This Row],[CustomerID]],tblCustomers[CustomerID],tblCustomers[Gender],"not found")</f>
        <v>Male</v>
      </c>
      <c r="F1576" t="str">
        <f>_xlfn.XLOOKUP(tblOrders[[#This Row],[CustomerID]],tblCustomers[CustomerID],tblCustomers[Region],"not found")</f>
        <v>North</v>
      </c>
      <c r="G1576">
        <v>1002</v>
      </c>
      <c r="H1576" t="str">
        <f>_xlfn.XLOOKUP(tblOrders[[#This Row],[ProductID]],tblProducts[ProductID],tblProducts[ProductName],"not found")</f>
        <v>Address</v>
      </c>
      <c r="I1576" t="str">
        <f>_xlfn.XLOOKUP(tblOrders[[#This Row],[ProductID]],tblProducts[ProductID],tblProducts[Category],"not found")</f>
        <v>Furniture</v>
      </c>
      <c r="J1576">
        <f>_xlfn.XLOOKUP(tblOrders[[#This Row],[ProductID]],tblProducts[ProductID],tblProducts[UnitPrice],"not found")</f>
        <v>290.67</v>
      </c>
      <c r="K1576" t="str">
        <f>_xlfn.XLOOKUP(tblOrders[[#This Row],[ProductID]],tblProducts[ProductID],tblProducts[Supplier],"not found")</f>
        <v>Romero and Sons</v>
      </c>
      <c r="L1576" s="1">
        <v>44958</v>
      </c>
      <c r="M15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44958</v>
      </c>
      <c r="N1576">
        <v>6</v>
      </c>
      <c r="O1576">
        <v>1744.02</v>
      </c>
      <c r="P1576">
        <f>tblOrders[[#This Row],[Quantity]]*tblOrders[[#This Row],[Unit Price]]</f>
        <v>1744.02</v>
      </c>
      <c r="Q1576">
        <f>tblOrders[[#This Row],[TotalSales]]-tblOrders[[#This Row],[Calculated Sales]]</f>
        <v>0</v>
      </c>
    </row>
    <row r="1577" spans="1:17" x14ac:dyDescent="0.25">
      <c r="A1577">
        <v>135</v>
      </c>
      <c r="B1577">
        <v>975</v>
      </c>
      <c r="C1577" t="str">
        <f>_xlfn.XLOOKUP(tblOrders[[#This Row],[CustomerID]],tblCustomers[CustomerID],tblCustomers[CustomerName],"not found")</f>
        <v>Pedro Williams</v>
      </c>
      <c r="D1577">
        <f>_xlfn.XLOOKUP(tblOrders[[#This Row],[CustomerID]],tblCustomers[CustomerID],tblCustomers[Age],"not found")</f>
        <v>69</v>
      </c>
      <c r="E1577" t="str">
        <f>_xlfn.XLOOKUP(tblOrders[[#This Row],[CustomerID]],tblCustomers[CustomerID],tblCustomers[Gender],"not found")</f>
        <v>Female</v>
      </c>
      <c r="F1577" t="str">
        <f>_xlfn.XLOOKUP(tblOrders[[#This Row],[CustomerID]],tblCustomers[CustomerID],tblCustomers[Region],"not found")</f>
        <v>East</v>
      </c>
      <c r="G1577">
        <v>1002</v>
      </c>
      <c r="H1577" t="str">
        <f>_xlfn.XLOOKUP(tblOrders[[#This Row],[ProductID]],tblProducts[ProductID],tblProducts[ProductName],"not found")</f>
        <v>Address</v>
      </c>
      <c r="I1577" t="str">
        <f>_xlfn.XLOOKUP(tblOrders[[#This Row],[ProductID]],tblProducts[ProductID],tblProducts[Category],"not found")</f>
        <v>Furniture</v>
      </c>
      <c r="J1577">
        <f>_xlfn.XLOOKUP(tblOrders[[#This Row],[ProductID]],tblProducts[ProductID],tblProducts[UnitPrice],"not found")</f>
        <v>290.67</v>
      </c>
      <c r="K1577" t="str">
        <f>_xlfn.XLOOKUP(tblOrders[[#This Row],[ProductID]],tblProducts[ProductID],tblProducts[Supplier],"not found")</f>
        <v>Romero and Sons</v>
      </c>
      <c r="L1577" s="1">
        <v>45173</v>
      </c>
      <c r="M15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45173</v>
      </c>
      <c r="N1577">
        <v>1</v>
      </c>
      <c r="O1577">
        <v>290.67</v>
      </c>
      <c r="P1577">
        <f>tblOrders[[#This Row],[Quantity]]*tblOrders[[#This Row],[Unit Price]]</f>
        <v>290.67</v>
      </c>
      <c r="Q1577">
        <f>tblOrders[[#This Row],[TotalSales]]-tblOrders[[#This Row],[Calculated Sales]]</f>
        <v>0</v>
      </c>
    </row>
    <row r="1578" spans="1:17" x14ac:dyDescent="0.25">
      <c r="A1578">
        <v>313</v>
      </c>
      <c r="B1578">
        <v>767</v>
      </c>
      <c r="C1578" t="str">
        <f>_xlfn.XLOOKUP(tblOrders[[#This Row],[CustomerID]],tblCustomers[CustomerID],tblCustomers[CustomerName],"not found")</f>
        <v>Amy Porter</v>
      </c>
      <c r="D1578">
        <f>_xlfn.XLOOKUP(tblOrders[[#This Row],[CustomerID]],tblCustomers[CustomerID],tblCustomers[Age],"not found")</f>
        <v>51</v>
      </c>
      <c r="E1578" t="str">
        <f>_xlfn.XLOOKUP(tblOrders[[#This Row],[CustomerID]],tblCustomers[CustomerID],tblCustomers[Gender],"not found")</f>
        <v>Male</v>
      </c>
      <c r="F1578" t="str">
        <f>_xlfn.XLOOKUP(tblOrders[[#This Row],[CustomerID]],tblCustomers[CustomerID],tblCustomers[Region],"not found")</f>
        <v>North</v>
      </c>
      <c r="G1578">
        <v>1002</v>
      </c>
      <c r="H1578" t="str">
        <f>_xlfn.XLOOKUP(tblOrders[[#This Row],[ProductID]],tblProducts[ProductID],tblProducts[ProductName],"not found")</f>
        <v>Address</v>
      </c>
      <c r="I1578" t="str">
        <f>_xlfn.XLOOKUP(tblOrders[[#This Row],[ProductID]],tblProducts[ProductID],tblProducts[Category],"not found")</f>
        <v>Furniture</v>
      </c>
      <c r="J1578">
        <f>_xlfn.XLOOKUP(tblOrders[[#This Row],[ProductID]],tblProducts[ProductID],tblProducts[UnitPrice],"not found")</f>
        <v>290.67</v>
      </c>
      <c r="K1578" t="str">
        <f>_xlfn.XLOOKUP(tblOrders[[#This Row],[ProductID]],tblProducts[ProductID],tblProducts[Supplier],"not found")</f>
        <v>Romero and Sons</v>
      </c>
      <c r="L1578" s="1" t="s">
        <v>2093</v>
      </c>
      <c r="M15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45256</v>
      </c>
      <c r="N1578">
        <v>7</v>
      </c>
      <c r="O1578">
        <v>2034.69</v>
      </c>
      <c r="P1578">
        <f>tblOrders[[#This Row],[Quantity]]*tblOrders[[#This Row],[Unit Price]]</f>
        <v>2034.69</v>
      </c>
      <c r="Q1578">
        <f>tblOrders[[#This Row],[TotalSales]]-tblOrders[[#This Row],[Calculated Sales]]</f>
        <v>0</v>
      </c>
    </row>
    <row r="1579" spans="1:17" x14ac:dyDescent="0.25">
      <c r="A1579">
        <v>479</v>
      </c>
      <c r="B1579">
        <v>999</v>
      </c>
      <c r="C1579" t="str">
        <f>_xlfn.XLOOKUP(tblOrders[[#This Row],[CustomerID]],tblCustomers[CustomerID],tblCustomers[CustomerName],"not found")</f>
        <v>Amy Jackson</v>
      </c>
      <c r="D1579">
        <f>_xlfn.XLOOKUP(tblOrders[[#This Row],[CustomerID]],tblCustomers[CustomerID],tblCustomers[Age],"not found")</f>
        <v>65</v>
      </c>
      <c r="E1579" t="str">
        <f>_xlfn.XLOOKUP(tblOrders[[#This Row],[CustomerID]],tblCustomers[CustomerID],tblCustomers[Gender],"not found")</f>
        <v>Male</v>
      </c>
      <c r="F1579" t="str">
        <f>_xlfn.XLOOKUP(tblOrders[[#This Row],[CustomerID]],tblCustomers[CustomerID],tblCustomers[Region],"not found")</f>
        <v>Central</v>
      </c>
      <c r="G1579">
        <v>1002</v>
      </c>
      <c r="H1579" t="str">
        <f>_xlfn.XLOOKUP(tblOrders[[#This Row],[ProductID]],tblProducts[ProductID],tblProducts[ProductName],"not found")</f>
        <v>Address</v>
      </c>
      <c r="I1579" t="str">
        <f>_xlfn.XLOOKUP(tblOrders[[#This Row],[ProductID]],tblProducts[ProductID],tblProducts[Category],"not found")</f>
        <v>Furniture</v>
      </c>
      <c r="J1579">
        <f>_xlfn.XLOOKUP(tblOrders[[#This Row],[ProductID]],tblProducts[ProductID],tblProducts[UnitPrice],"not found")</f>
        <v>290.67</v>
      </c>
      <c r="K1579" t="str">
        <f>_xlfn.XLOOKUP(tblOrders[[#This Row],[ProductID]],tblProducts[ProductID],tblProducts[Supplier],"not found")</f>
        <v>Romero and Sons</v>
      </c>
      <c r="L1579" s="1" t="s">
        <v>2402</v>
      </c>
      <c r="M15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45005</v>
      </c>
      <c r="N1579">
        <v>7</v>
      </c>
      <c r="O1579">
        <v>2034.69</v>
      </c>
      <c r="P1579">
        <f>tblOrders[[#This Row],[Quantity]]*tblOrders[[#This Row],[Unit Price]]</f>
        <v>2034.69</v>
      </c>
      <c r="Q1579">
        <f>tblOrders[[#This Row],[TotalSales]]-tblOrders[[#This Row],[Calculated Sales]]</f>
        <v>0</v>
      </c>
    </row>
    <row r="1580" spans="1:17" x14ac:dyDescent="0.25">
      <c r="A1580">
        <v>514</v>
      </c>
      <c r="B1580">
        <v>308</v>
      </c>
      <c r="C1580" t="str">
        <f>_xlfn.XLOOKUP(tblOrders[[#This Row],[CustomerID]],tblCustomers[CustomerID],tblCustomers[CustomerName],"not found")</f>
        <v>Christopher Schmitt</v>
      </c>
      <c r="D1580">
        <f>_xlfn.XLOOKUP(tblOrders[[#This Row],[CustomerID]],tblCustomers[CustomerID],tblCustomers[Age],"not found")</f>
        <v>21</v>
      </c>
      <c r="E1580" t="str">
        <f>_xlfn.XLOOKUP(tblOrders[[#This Row],[CustomerID]],tblCustomers[CustomerID],tblCustomers[Gender],"not found")</f>
        <v>Male</v>
      </c>
      <c r="F1580" t="str">
        <f>_xlfn.XLOOKUP(tblOrders[[#This Row],[CustomerID]],tblCustomers[CustomerID],tblCustomers[Region],"not found")</f>
        <v>North</v>
      </c>
      <c r="G1580">
        <v>1002</v>
      </c>
      <c r="H1580" t="str">
        <f>_xlfn.XLOOKUP(tblOrders[[#This Row],[ProductID]],tblProducts[ProductID],tblProducts[ProductName],"not found")</f>
        <v>Address</v>
      </c>
      <c r="I1580" t="str">
        <f>_xlfn.XLOOKUP(tblOrders[[#This Row],[ProductID]],tblProducts[ProductID],tblProducts[Category],"not found")</f>
        <v>Furniture</v>
      </c>
      <c r="J1580">
        <f>_xlfn.XLOOKUP(tblOrders[[#This Row],[ProductID]],tblProducts[ProductID],tblProducts[UnitPrice],"not found")</f>
        <v>290.67</v>
      </c>
      <c r="K1580" t="str">
        <f>_xlfn.XLOOKUP(tblOrders[[#This Row],[ProductID]],tblProducts[ProductID],tblProducts[Supplier],"not found")</f>
        <v>Romero and Sons</v>
      </c>
      <c r="L1580" s="1" t="s">
        <v>2116</v>
      </c>
      <c r="M15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45404</v>
      </c>
      <c r="N1580">
        <v>5</v>
      </c>
      <c r="O1580">
        <v>1453.35</v>
      </c>
      <c r="P1580">
        <f>tblOrders[[#This Row],[Quantity]]*tblOrders[[#This Row],[Unit Price]]</f>
        <v>1453.3500000000001</v>
      </c>
      <c r="Q1580">
        <f>tblOrders[[#This Row],[TotalSales]]-tblOrders[[#This Row],[Calculated Sales]]</f>
        <v>0</v>
      </c>
    </row>
    <row r="1581" spans="1:17" x14ac:dyDescent="0.25">
      <c r="A1581">
        <v>706</v>
      </c>
      <c r="B1581">
        <v>941</v>
      </c>
      <c r="C1581" t="str">
        <f>_xlfn.XLOOKUP(tblOrders[[#This Row],[CustomerID]],tblCustomers[CustomerID],tblCustomers[CustomerName],"not found")</f>
        <v>Deanna Barrett</v>
      </c>
      <c r="D1581">
        <f>_xlfn.XLOOKUP(tblOrders[[#This Row],[CustomerID]],tblCustomers[CustomerID],tblCustomers[Age],"not found")</f>
        <v>50</v>
      </c>
      <c r="E1581" t="str">
        <f>_xlfn.XLOOKUP(tblOrders[[#This Row],[CustomerID]],tblCustomers[CustomerID],tblCustomers[Gender],"not found")</f>
        <v>Female</v>
      </c>
      <c r="F1581" t="str">
        <f>_xlfn.XLOOKUP(tblOrders[[#This Row],[CustomerID]],tblCustomers[CustomerID],tblCustomers[Region],"not found")</f>
        <v>South</v>
      </c>
      <c r="G1581">
        <v>1002</v>
      </c>
      <c r="H1581" t="str">
        <f>_xlfn.XLOOKUP(tblOrders[[#This Row],[ProductID]],tblProducts[ProductID],tblProducts[ProductName],"not found")</f>
        <v>Address</v>
      </c>
      <c r="I1581" t="str">
        <f>_xlfn.XLOOKUP(tblOrders[[#This Row],[ProductID]],tblProducts[ProductID],tblProducts[Category],"not found")</f>
        <v>Furniture</v>
      </c>
      <c r="J1581">
        <f>_xlfn.XLOOKUP(tblOrders[[#This Row],[ProductID]],tblProducts[ProductID],tblProducts[UnitPrice],"not found")</f>
        <v>290.67</v>
      </c>
      <c r="K1581" t="str">
        <f>_xlfn.XLOOKUP(tblOrders[[#This Row],[ProductID]],tblProducts[ProductID],tblProducts[Supplier],"not found")</f>
        <v>Romero and Sons</v>
      </c>
      <c r="L1581" s="1">
        <v>45082</v>
      </c>
      <c r="M15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45082</v>
      </c>
      <c r="N1581">
        <v>6</v>
      </c>
      <c r="O1581">
        <v>1744.02</v>
      </c>
      <c r="P1581">
        <f>tblOrders[[#This Row],[Quantity]]*tblOrders[[#This Row],[Unit Price]]</f>
        <v>1744.02</v>
      </c>
      <c r="Q1581">
        <f>tblOrders[[#This Row],[TotalSales]]-tblOrders[[#This Row],[Calculated Sales]]</f>
        <v>0</v>
      </c>
    </row>
    <row r="1582" spans="1:17" x14ac:dyDescent="0.25">
      <c r="A1582">
        <v>709</v>
      </c>
      <c r="B1582">
        <v>747</v>
      </c>
      <c r="C1582" t="str">
        <f>_xlfn.XLOOKUP(tblOrders[[#This Row],[CustomerID]],tblCustomers[CustomerID],tblCustomers[CustomerName],"not found")</f>
        <v>Joshua Hall</v>
      </c>
      <c r="D1582">
        <f>_xlfn.XLOOKUP(tblOrders[[#This Row],[CustomerID]],tblCustomers[CustomerID],tblCustomers[Age],"not found")</f>
        <v>67</v>
      </c>
      <c r="E1582" t="str">
        <f>_xlfn.XLOOKUP(tblOrders[[#This Row],[CustomerID]],tblCustomers[CustomerID],tblCustomers[Gender],"not found")</f>
        <v>Male</v>
      </c>
      <c r="F1582" t="str">
        <f>_xlfn.XLOOKUP(tblOrders[[#This Row],[CustomerID]],tblCustomers[CustomerID],tblCustomers[Region],"not found")</f>
        <v>North</v>
      </c>
      <c r="G1582">
        <v>1002</v>
      </c>
      <c r="H1582" t="str">
        <f>_xlfn.XLOOKUP(tblOrders[[#This Row],[ProductID]],tblProducts[ProductID],tblProducts[ProductName],"not found")</f>
        <v>Address</v>
      </c>
      <c r="I1582" t="str">
        <f>_xlfn.XLOOKUP(tblOrders[[#This Row],[ProductID]],tblProducts[ProductID],tblProducts[Category],"not found")</f>
        <v>Furniture</v>
      </c>
      <c r="J1582">
        <f>_xlfn.XLOOKUP(tblOrders[[#This Row],[ProductID]],tblProducts[ProductID],tblProducts[UnitPrice],"not found")</f>
        <v>290.67</v>
      </c>
      <c r="K1582" t="str">
        <f>_xlfn.XLOOKUP(tblOrders[[#This Row],[ProductID]],tblProducts[ProductID],tblProducts[Supplier],"not found")</f>
        <v>Romero and Sons</v>
      </c>
      <c r="L1582" s="1" t="s">
        <v>2208</v>
      </c>
      <c r="M15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45594</v>
      </c>
      <c r="N1582">
        <v>9</v>
      </c>
      <c r="O1582">
        <v>2616.0300000000002</v>
      </c>
      <c r="P1582">
        <f>tblOrders[[#This Row],[Quantity]]*tblOrders[[#This Row],[Unit Price]]</f>
        <v>2616.0300000000002</v>
      </c>
      <c r="Q1582">
        <f>tblOrders[[#This Row],[TotalSales]]-tblOrders[[#This Row],[Calculated Sales]]</f>
        <v>0</v>
      </c>
    </row>
    <row r="1583" spans="1:17" x14ac:dyDescent="0.25">
      <c r="A1583">
        <v>861</v>
      </c>
      <c r="B1583">
        <v>364</v>
      </c>
      <c r="C1583" t="str">
        <f>_xlfn.XLOOKUP(tblOrders[[#This Row],[CustomerID]],tblCustomers[CustomerID],tblCustomers[CustomerName],"not found")</f>
        <v>Joseph Johnson</v>
      </c>
      <c r="D1583">
        <f>_xlfn.XLOOKUP(tblOrders[[#This Row],[CustomerID]],tblCustomers[CustomerID],tblCustomers[Age],"not found")</f>
        <v>67</v>
      </c>
      <c r="E1583" t="str">
        <f>_xlfn.XLOOKUP(tblOrders[[#This Row],[CustomerID]],tblCustomers[CustomerID],tblCustomers[Gender],"not found")</f>
        <v>Male</v>
      </c>
      <c r="F1583" t="str">
        <f>_xlfn.XLOOKUP(tblOrders[[#This Row],[CustomerID]],tblCustomers[CustomerID],tblCustomers[Region],"not found")</f>
        <v>South</v>
      </c>
      <c r="G1583">
        <v>1002</v>
      </c>
      <c r="H1583" t="str">
        <f>_xlfn.XLOOKUP(tblOrders[[#This Row],[ProductID]],tblProducts[ProductID],tblProducts[ProductName],"not found")</f>
        <v>Address</v>
      </c>
      <c r="I1583" t="str">
        <f>_xlfn.XLOOKUP(tblOrders[[#This Row],[ProductID]],tblProducts[ProductID],tblProducts[Category],"not found")</f>
        <v>Furniture</v>
      </c>
      <c r="J1583">
        <f>_xlfn.XLOOKUP(tblOrders[[#This Row],[ProductID]],tblProducts[ProductID],tblProducts[UnitPrice],"not found")</f>
        <v>290.67</v>
      </c>
      <c r="K1583" t="str">
        <f>_xlfn.XLOOKUP(tblOrders[[#This Row],[ProductID]],tblProducts[ProductID],tblProducts[Supplier],"not found")</f>
        <v>Romero and Sons</v>
      </c>
      <c r="L1583" s="1" t="s">
        <v>2188</v>
      </c>
      <c r="M15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1583">
        <v>1</v>
      </c>
      <c r="O1583">
        <v>290.67</v>
      </c>
      <c r="P1583">
        <f>tblOrders[[#This Row],[Quantity]]*tblOrders[[#This Row],[Unit Price]]</f>
        <v>290.67</v>
      </c>
      <c r="Q1583">
        <f>tblOrders[[#This Row],[TotalSales]]-tblOrders[[#This Row],[Calculated Sales]]</f>
        <v>0</v>
      </c>
    </row>
    <row r="1584" spans="1:17" x14ac:dyDescent="0.25">
      <c r="A1584">
        <v>898</v>
      </c>
      <c r="B1584">
        <v>288</v>
      </c>
      <c r="C1584" t="str">
        <f>_xlfn.XLOOKUP(tblOrders[[#This Row],[CustomerID]],tblCustomers[CustomerID],tblCustomers[CustomerName],"not found")</f>
        <v>Amy Bennett</v>
      </c>
      <c r="D1584">
        <f>_xlfn.XLOOKUP(tblOrders[[#This Row],[CustomerID]],tblCustomers[CustomerID],tblCustomers[Age],"not found")</f>
        <v>23</v>
      </c>
      <c r="E1584" t="str">
        <f>_xlfn.XLOOKUP(tblOrders[[#This Row],[CustomerID]],tblCustomers[CustomerID],tblCustomers[Gender],"not found")</f>
        <v>Female</v>
      </c>
      <c r="F1584" t="str">
        <f>_xlfn.XLOOKUP(tblOrders[[#This Row],[CustomerID]],tblCustomers[CustomerID],tblCustomers[Region],"not found")</f>
        <v>North</v>
      </c>
      <c r="G1584">
        <v>1002</v>
      </c>
      <c r="H1584" t="str">
        <f>_xlfn.XLOOKUP(tblOrders[[#This Row],[ProductID]],tblProducts[ProductID],tblProducts[ProductName],"not found")</f>
        <v>Address</v>
      </c>
      <c r="I1584" t="str">
        <f>_xlfn.XLOOKUP(tblOrders[[#This Row],[ProductID]],tblProducts[ProductID],tblProducts[Category],"not found")</f>
        <v>Furniture</v>
      </c>
      <c r="J1584">
        <f>_xlfn.XLOOKUP(tblOrders[[#This Row],[ProductID]],tblProducts[ProductID],tblProducts[UnitPrice],"not found")</f>
        <v>290.67</v>
      </c>
      <c r="K1584" t="str">
        <f>_xlfn.XLOOKUP(tblOrders[[#This Row],[ProductID]],tblProducts[ProductID],tblProducts[Supplier],"not found")</f>
        <v>Romero and Sons</v>
      </c>
      <c r="L1584" s="1" t="s">
        <v>2162</v>
      </c>
      <c r="M15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45588</v>
      </c>
      <c r="N1584">
        <v>8</v>
      </c>
      <c r="O1584">
        <v>2325.36</v>
      </c>
      <c r="P1584">
        <f>tblOrders[[#This Row],[Quantity]]*tblOrders[[#This Row],[Unit Price]]</f>
        <v>2325.36</v>
      </c>
      <c r="Q1584">
        <f>tblOrders[[#This Row],[TotalSales]]-tblOrders[[#This Row],[Calculated Sales]]</f>
        <v>0</v>
      </c>
    </row>
    <row r="1585" spans="1:17" x14ac:dyDescent="0.25">
      <c r="A1585">
        <v>965</v>
      </c>
      <c r="B1585">
        <v>710</v>
      </c>
      <c r="C1585" t="str">
        <f>_xlfn.XLOOKUP(tblOrders[[#This Row],[CustomerID]],tblCustomers[CustomerID],tblCustomers[CustomerName],"not found")</f>
        <v>Clinton Smith</v>
      </c>
      <c r="D1585">
        <f>_xlfn.XLOOKUP(tblOrders[[#This Row],[CustomerID]],tblCustomers[CustomerID],tblCustomers[Age],"not found")</f>
        <v>40</v>
      </c>
      <c r="E1585" t="str">
        <f>_xlfn.XLOOKUP(tblOrders[[#This Row],[CustomerID]],tblCustomers[CustomerID],tblCustomers[Gender],"not found")</f>
        <v>Female</v>
      </c>
      <c r="F1585" t="str">
        <f>_xlfn.XLOOKUP(tblOrders[[#This Row],[CustomerID]],tblCustomers[CustomerID],tblCustomers[Region],"not found")</f>
        <v>North</v>
      </c>
      <c r="G1585">
        <v>1002</v>
      </c>
      <c r="H1585" t="str">
        <f>_xlfn.XLOOKUP(tblOrders[[#This Row],[ProductID]],tblProducts[ProductID],tblProducts[ProductName],"not found")</f>
        <v>Address</v>
      </c>
      <c r="I1585" t="str">
        <f>_xlfn.XLOOKUP(tblOrders[[#This Row],[ProductID]],tblProducts[ProductID],tblProducts[Category],"not found")</f>
        <v>Furniture</v>
      </c>
      <c r="J1585">
        <f>_xlfn.XLOOKUP(tblOrders[[#This Row],[ProductID]],tblProducts[ProductID],tblProducts[UnitPrice],"not found")</f>
        <v>290.67</v>
      </c>
      <c r="K1585" t="str">
        <f>_xlfn.XLOOKUP(tblOrders[[#This Row],[ProductID]],tblProducts[ProductID],tblProducts[Supplier],"not found")</f>
        <v>Romero and Sons</v>
      </c>
      <c r="L1585" s="1" t="s">
        <v>2205</v>
      </c>
      <c r="M15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44894</v>
      </c>
      <c r="N1585">
        <v>3</v>
      </c>
      <c r="O1585">
        <v>872.01</v>
      </c>
      <c r="P1585">
        <f>tblOrders[[#This Row],[Quantity]]*tblOrders[[#This Row],[Unit Price]]</f>
        <v>872.01</v>
      </c>
      <c r="Q1585">
        <f>tblOrders[[#This Row],[TotalSales]]-tblOrders[[#This Row],[Calculated Sales]]</f>
        <v>0</v>
      </c>
    </row>
    <row r="1586" spans="1:17" x14ac:dyDescent="0.25">
      <c r="A1586">
        <v>1056</v>
      </c>
      <c r="B1586">
        <v>266</v>
      </c>
      <c r="C1586" t="str">
        <f>_xlfn.XLOOKUP(tblOrders[[#This Row],[CustomerID]],tblCustomers[CustomerID],tblCustomers[CustomerName],"not found")</f>
        <v>Debra Marshall</v>
      </c>
      <c r="D1586">
        <f>_xlfn.XLOOKUP(tblOrders[[#This Row],[CustomerID]],tblCustomers[CustomerID],tblCustomers[Age],"not found")</f>
        <v>62</v>
      </c>
      <c r="E1586" t="str">
        <f>_xlfn.XLOOKUP(tblOrders[[#This Row],[CustomerID]],tblCustomers[CustomerID],tblCustomers[Gender],"not found")</f>
        <v>Male</v>
      </c>
      <c r="F1586" t="str">
        <f>_xlfn.XLOOKUP(tblOrders[[#This Row],[CustomerID]],tblCustomers[CustomerID],tblCustomers[Region],"not found")</f>
        <v>East</v>
      </c>
      <c r="G1586">
        <v>1002</v>
      </c>
      <c r="H1586" t="str">
        <f>_xlfn.XLOOKUP(tblOrders[[#This Row],[ProductID]],tblProducts[ProductID],tblProducts[ProductName],"not found")</f>
        <v>Address</v>
      </c>
      <c r="I1586" t="str">
        <f>_xlfn.XLOOKUP(tblOrders[[#This Row],[ProductID]],tblProducts[ProductID],tblProducts[Category],"not found")</f>
        <v>Furniture</v>
      </c>
      <c r="J1586">
        <f>_xlfn.XLOOKUP(tblOrders[[#This Row],[ProductID]],tblProducts[ProductID],tblProducts[UnitPrice],"not found")</f>
        <v>290.67</v>
      </c>
      <c r="K1586" t="str">
        <f>_xlfn.XLOOKUP(tblOrders[[#This Row],[ProductID]],tblProducts[ProductID],tblProducts[Supplier],"not found")</f>
        <v>Romero and Sons</v>
      </c>
      <c r="L1586" s="1" t="s">
        <v>2320</v>
      </c>
      <c r="M15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45075</v>
      </c>
      <c r="N1586">
        <v>3</v>
      </c>
      <c r="O1586">
        <v>872.01</v>
      </c>
      <c r="P1586">
        <f>tblOrders[[#This Row],[Quantity]]*tblOrders[[#This Row],[Unit Price]]</f>
        <v>872.01</v>
      </c>
      <c r="Q1586">
        <f>tblOrders[[#This Row],[TotalSales]]-tblOrders[[#This Row],[Calculated Sales]]</f>
        <v>0</v>
      </c>
    </row>
    <row r="1587" spans="1:17" x14ac:dyDescent="0.25">
      <c r="A1587">
        <v>1103</v>
      </c>
      <c r="B1587">
        <v>707</v>
      </c>
      <c r="C1587" t="str">
        <f>_xlfn.XLOOKUP(tblOrders[[#This Row],[CustomerID]],tblCustomers[CustomerID],tblCustomers[CustomerName],"not found")</f>
        <v>Melissa Morgan</v>
      </c>
      <c r="D1587">
        <f>_xlfn.XLOOKUP(tblOrders[[#This Row],[CustomerID]],tblCustomers[CustomerID],tblCustomers[Age],"not found")</f>
        <v>19</v>
      </c>
      <c r="E1587" t="str">
        <f>_xlfn.XLOOKUP(tblOrders[[#This Row],[CustomerID]],tblCustomers[CustomerID],tblCustomers[Gender],"not found")</f>
        <v>Male</v>
      </c>
      <c r="F1587" t="str">
        <f>_xlfn.XLOOKUP(tblOrders[[#This Row],[CustomerID]],tblCustomers[CustomerID],tblCustomers[Region],"not found")</f>
        <v>Central</v>
      </c>
      <c r="G1587">
        <v>1002</v>
      </c>
      <c r="H1587" t="str">
        <f>_xlfn.XLOOKUP(tblOrders[[#This Row],[ProductID]],tblProducts[ProductID],tblProducts[ProductName],"not found")</f>
        <v>Address</v>
      </c>
      <c r="I1587" t="str">
        <f>_xlfn.XLOOKUP(tblOrders[[#This Row],[ProductID]],tblProducts[ProductID],tblProducts[Category],"not found")</f>
        <v>Furniture</v>
      </c>
      <c r="J1587">
        <f>_xlfn.XLOOKUP(tblOrders[[#This Row],[ProductID]],tblProducts[ProductID],tblProducts[UnitPrice],"not found")</f>
        <v>290.67</v>
      </c>
      <c r="K1587" t="str">
        <f>_xlfn.XLOOKUP(tblOrders[[#This Row],[ProductID]],tblProducts[ProductID],tblProducts[Supplier],"not found")</f>
        <v>Romero and Sons</v>
      </c>
      <c r="L1587" s="1">
        <v>45175</v>
      </c>
      <c r="M15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45175</v>
      </c>
      <c r="N1587">
        <v>9</v>
      </c>
      <c r="O1587">
        <v>2616.0300000000002</v>
      </c>
      <c r="P1587">
        <f>tblOrders[[#This Row],[Quantity]]*tblOrders[[#This Row],[Unit Price]]</f>
        <v>2616.0300000000002</v>
      </c>
      <c r="Q1587">
        <f>tblOrders[[#This Row],[TotalSales]]-tblOrders[[#This Row],[Calculated Sales]]</f>
        <v>0</v>
      </c>
    </row>
    <row r="1588" spans="1:17" x14ac:dyDescent="0.25">
      <c r="A1588">
        <v>1157</v>
      </c>
      <c r="B1588">
        <v>226</v>
      </c>
      <c r="C1588" t="str">
        <f>_xlfn.XLOOKUP(tblOrders[[#This Row],[CustomerID]],tblCustomers[CustomerID],tblCustomers[CustomerName],"not found")</f>
        <v>Mrs. Pamela Garrett</v>
      </c>
      <c r="D1588">
        <f>_xlfn.XLOOKUP(tblOrders[[#This Row],[CustomerID]],tblCustomers[CustomerID],tblCustomers[Age],"not found")</f>
        <v>34</v>
      </c>
      <c r="E1588" t="str">
        <f>_xlfn.XLOOKUP(tblOrders[[#This Row],[CustomerID]],tblCustomers[CustomerID],tblCustomers[Gender],"not found")</f>
        <v>Female</v>
      </c>
      <c r="F1588" t="str">
        <f>_xlfn.XLOOKUP(tblOrders[[#This Row],[CustomerID]],tblCustomers[CustomerID],tblCustomers[Region],"not found")</f>
        <v>South</v>
      </c>
      <c r="G1588">
        <v>1002</v>
      </c>
      <c r="H1588" t="str">
        <f>_xlfn.XLOOKUP(tblOrders[[#This Row],[ProductID]],tblProducts[ProductID],tblProducts[ProductName],"not found")</f>
        <v>Address</v>
      </c>
      <c r="I1588" t="str">
        <f>_xlfn.XLOOKUP(tblOrders[[#This Row],[ProductID]],tblProducts[ProductID],tblProducts[Category],"not found")</f>
        <v>Furniture</v>
      </c>
      <c r="J1588">
        <f>_xlfn.XLOOKUP(tblOrders[[#This Row],[ProductID]],tblProducts[ProductID],tblProducts[UnitPrice],"not found")</f>
        <v>290.67</v>
      </c>
      <c r="K1588" t="str">
        <f>_xlfn.XLOOKUP(tblOrders[[#This Row],[ProductID]],tblProducts[ProductID],tblProducts[Supplier],"not found")</f>
        <v>Romero and Sons</v>
      </c>
      <c r="L1588" s="1">
        <v>45568</v>
      </c>
      <c r="M15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45568</v>
      </c>
      <c r="N1588">
        <v>2</v>
      </c>
      <c r="O1588">
        <v>581.34</v>
      </c>
      <c r="P1588">
        <f>tblOrders[[#This Row],[Quantity]]*tblOrders[[#This Row],[Unit Price]]</f>
        <v>581.34</v>
      </c>
      <c r="Q1588">
        <f>tblOrders[[#This Row],[TotalSales]]-tblOrders[[#This Row],[Calculated Sales]]</f>
        <v>0</v>
      </c>
    </row>
    <row r="1589" spans="1:17" x14ac:dyDescent="0.25">
      <c r="A1589">
        <v>1170</v>
      </c>
      <c r="B1589">
        <v>562</v>
      </c>
      <c r="C1589" t="str">
        <f>_xlfn.XLOOKUP(tblOrders[[#This Row],[CustomerID]],tblCustomers[CustomerID],tblCustomers[CustomerName],"not found")</f>
        <v>Danielle Brown</v>
      </c>
      <c r="D1589">
        <f>_xlfn.XLOOKUP(tblOrders[[#This Row],[CustomerID]],tblCustomers[CustomerID],tblCustomers[Age],"not found")</f>
        <v>65</v>
      </c>
      <c r="E1589" t="str">
        <f>_xlfn.XLOOKUP(tblOrders[[#This Row],[CustomerID]],tblCustomers[CustomerID],tblCustomers[Gender],"not found")</f>
        <v>Female</v>
      </c>
      <c r="F1589" t="str">
        <f>_xlfn.XLOOKUP(tblOrders[[#This Row],[CustomerID]],tblCustomers[CustomerID],tblCustomers[Region],"not found")</f>
        <v>South</v>
      </c>
      <c r="G1589">
        <v>1002</v>
      </c>
      <c r="H1589" t="str">
        <f>_xlfn.XLOOKUP(tblOrders[[#This Row],[ProductID]],tblProducts[ProductID],tblProducts[ProductName],"not found")</f>
        <v>Address</v>
      </c>
      <c r="I1589" t="str">
        <f>_xlfn.XLOOKUP(tblOrders[[#This Row],[ProductID]],tblProducts[ProductID],tblProducts[Category],"not found")</f>
        <v>Furniture</v>
      </c>
      <c r="J1589">
        <f>_xlfn.XLOOKUP(tblOrders[[#This Row],[ProductID]],tblProducts[ProductID],tblProducts[UnitPrice],"not found")</f>
        <v>290.67</v>
      </c>
      <c r="K1589" t="str">
        <f>_xlfn.XLOOKUP(tblOrders[[#This Row],[ProductID]],tblProducts[ProductID],tblProducts[Supplier],"not found")</f>
        <v>Romero and Sons</v>
      </c>
      <c r="L1589" s="1">
        <v>45384</v>
      </c>
      <c r="M15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45384</v>
      </c>
      <c r="N1589">
        <v>9</v>
      </c>
      <c r="O1589">
        <v>2616.0300000000002</v>
      </c>
      <c r="P1589">
        <f>tblOrders[[#This Row],[Quantity]]*tblOrders[[#This Row],[Unit Price]]</f>
        <v>2616.0300000000002</v>
      </c>
      <c r="Q1589">
        <f>tblOrders[[#This Row],[TotalSales]]-tblOrders[[#This Row],[Calculated Sales]]</f>
        <v>0</v>
      </c>
    </row>
    <row r="1590" spans="1:17" x14ac:dyDescent="0.25">
      <c r="A1590">
        <v>1365</v>
      </c>
      <c r="B1590">
        <v>697</v>
      </c>
      <c r="C1590" t="str">
        <f>_xlfn.XLOOKUP(tblOrders[[#This Row],[CustomerID]],tblCustomers[CustomerID],tblCustomers[CustomerName],"not found")</f>
        <v>Heather Wood</v>
      </c>
      <c r="D1590">
        <f>_xlfn.XLOOKUP(tblOrders[[#This Row],[CustomerID]],tblCustomers[CustomerID],tblCustomers[Age],"not found")</f>
        <v>24</v>
      </c>
      <c r="E1590" t="str">
        <f>_xlfn.XLOOKUP(tblOrders[[#This Row],[CustomerID]],tblCustomers[CustomerID],tblCustomers[Gender],"not found")</f>
        <v>Female</v>
      </c>
      <c r="F1590" t="str">
        <f>_xlfn.XLOOKUP(tblOrders[[#This Row],[CustomerID]],tblCustomers[CustomerID],tblCustomers[Region],"not found")</f>
        <v>East</v>
      </c>
      <c r="G1590">
        <v>1002</v>
      </c>
      <c r="H1590" t="str">
        <f>_xlfn.XLOOKUP(tblOrders[[#This Row],[ProductID]],tblProducts[ProductID],tblProducts[ProductName],"not found")</f>
        <v>Address</v>
      </c>
      <c r="I1590" t="str">
        <f>_xlfn.XLOOKUP(tblOrders[[#This Row],[ProductID]],tblProducts[ProductID],tblProducts[Category],"not found")</f>
        <v>Furniture</v>
      </c>
      <c r="J1590">
        <f>_xlfn.XLOOKUP(tblOrders[[#This Row],[ProductID]],tblProducts[ProductID],tblProducts[UnitPrice],"not found")</f>
        <v>290.67</v>
      </c>
      <c r="K1590" t="str">
        <f>_xlfn.XLOOKUP(tblOrders[[#This Row],[ProductID]],tblProducts[ProductID],tblProducts[Supplier],"not found")</f>
        <v>Romero and Sons</v>
      </c>
      <c r="L1590" s="1" t="s">
        <v>2218</v>
      </c>
      <c r="M15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45098</v>
      </c>
      <c r="N1590">
        <v>9</v>
      </c>
      <c r="O1590">
        <v>2616.0300000000002</v>
      </c>
      <c r="P1590">
        <f>tblOrders[[#This Row],[Quantity]]*tblOrders[[#This Row],[Unit Price]]</f>
        <v>2616.0300000000002</v>
      </c>
      <c r="Q1590">
        <f>tblOrders[[#This Row],[TotalSales]]-tblOrders[[#This Row],[Calculated Sales]]</f>
        <v>0</v>
      </c>
    </row>
    <row r="1591" spans="1:17" x14ac:dyDescent="0.25">
      <c r="A1591">
        <v>1399</v>
      </c>
      <c r="B1591">
        <v>857</v>
      </c>
      <c r="C1591" t="str">
        <f>_xlfn.XLOOKUP(tblOrders[[#This Row],[CustomerID]],tblCustomers[CustomerID],tblCustomers[CustomerName],"not found")</f>
        <v>Debra Taylor</v>
      </c>
      <c r="D1591">
        <f>_xlfn.XLOOKUP(tblOrders[[#This Row],[CustomerID]],tblCustomers[CustomerID],tblCustomers[Age],"not found")</f>
        <v>20</v>
      </c>
      <c r="E1591" t="str">
        <f>_xlfn.XLOOKUP(tblOrders[[#This Row],[CustomerID]],tblCustomers[CustomerID],tblCustomers[Gender],"not found")</f>
        <v>Female</v>
      </c>
      <c r="F1591" t="str">
        <f>_xlfn.XLOOKUP(tblOrders[[#This Row],[CustomerID]],tblCustomers[CustomerID],tblCustomers[Region],"not found")</f>
        <v>Central</v>
      </c>
      <c r="G1591">
        <v>1002</v>
      </c>
      <c r="H1591" t="str">
        <f>_xlfn.XLOOKUP(tblOrders[[#This Row],[ProductID]],tblProducts[ProductID],tblProducts[ProductName],"not found")</f>
        <v>Address</v>
      </c>
      <c r="I1591" t="str">
        <f>_xlfn.XLOOKUP(tblOrders[[#This Row],[ProductID]],tblProducts[ProductID],tblProducts[Category],"not found")</f>
        <v>Furniture</v>
      </c>
      <c r="J1591">
        <f>_xlfn.XLOOKUP(tblOrders[[#This Row],[ProductID]],tblProducts[ProductID],tblProducts[UnitPrice],"not found")</f>
        <v>290.67</v>
      </c>
      <c r="K1591" t="str">
        <f>_xlfn.XLOOKUP(tblOrders[[#This Row],[ProductID]],tblProducts[ProductID],tblProducts[Supplier],"not found")</f>
        <v>Romero and Sons</v>
      </c>
      <c r="L1591" s="1">
        <v>45391</v>
      </c>
      <c r="M15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45391</v>
      </c>
      <c r="N1591">
        <v>7</v>
      </c>
      <c r="O1591">
        <v>2034.69</v>
      </c>
      <c r="P1591">
        <f>tblOrders[[#This Row],[Quantity]]*tblOrders[[#This Row],[Unit Price]]</f>
        <v>2034.69</v>
      </c>
      <c r="Q1591">
        <f>tblOrders[[#This Row],[TotalSales]]-tblOrders[[#This Row],[Calculated Sales]]</f>
        <v>0</v>
      </c>
    </row>
    <row r="1592" spans="1:17" x14ac:dyDescent="0.25">
      <c r="A1592">
        <v>1534</v>
      </c>
      <c r="B1592">
        <v>894</v>
      </c>
      <c r="C1592" t="str">
        <f>_xlfn.XLOOKUP(tblOrders[[#This Row],[CustomerID]],tblCustomers[CustomerID],tblCustomers[CustomerName],"not found")</f>
        <v>James Moreno</v>
      </c>
      <c r="D1592">
        <f>_xlfn.XLOOKUP(tblOrders[[#This Row],[CustomerID]],tblCustomers[CustomerID],tblCustomers[Age],"not found")</f>
        <v>53</v>
      </c>
      <c r="E1592" t="str">
        <f>_xlfn.XLOOKUP(tblOrders[[#This Row],[CustomerID]],tblCustomers[CustomerID],tblCustomers[Gender],"not found")</f>
        <v>Male</v>
      </c>
      <c r="F1592" t="str">
        <f>_xlfn.XLOOKUP(tblOrders[[#This Row],[CustomerID]],tblCustomers[CustomerID],tblCustomers[Region],"not found")</f>
        <v>Central</v>
      </c>
      <c r="G1592">
        <v>1002</v>
      </c>
      <c r="H1592" t="str">
        <f>_xlfn.XLOOKUP(tblOrders[[#This Row],[ProductID]],tblProducts[ProductID],tblProducts[ProductName],"not found")</f>
        <v>Address</v>
      </c>
      <c r="I1592" t="str">
        <f>_xlfn.XLOOKUP(tblOrders[[#This Row],[ProductID]],tblProducts[ProductID],tblProducts[Category],"not found")</f>
        <v>Furniture</v>
      </c>
      <c r="J1592">
        <f>_xlfn.XLOOKUP(tblOrders[[#This Row],[ProductID]],tblProducts[ProductID],tblProducts[UnitPrice],"not found")</f>
        <v>290.67</v>
      </c>
      <c r="K1592" t="str">
        <f>_xlfn.XLOOKUP(tblOrders[[#This Row],[ProductID]],tblProducts[ProductID],tblProducts[Supplier],"not found")</f>
        <v>Romero and Sons</v>
      </c>
      <c r="L1592" s="1" t="s">
        <v>2198</v>
      </c>
      <c r="M15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45430</v>
      </c>
      <c r="N1592">
        <v>4</v>
      </c>
      <c r="O1592">
        <v>1162.68</v>
      </c>
      <c r="P1592">
        <f>tblOrders[[#This Row],[Quantity]]*tblOrders[[#This Row],[Unit Price]]</f>
        <v>1162.68</v>
      </c>
      <c r="Q1592">
        <f>tblOrders[[#This Row],[TotalSales]]-tblOrders[[#This Row],[Calculated Sales]]</f>
        <v>0</v>
      </c>
    </row>
    <row r="1593" spans="1:17" x14ac:dyDescent="0.25">
      <c r="A1593">
        <v>1602</v>
      </c>
      <c r="B1593">
        <v>209</v>
      </c>
      <c r="C1593" t="str">
        <f>_xlfn.XLOOKUP(tblOrders[[#This Row],[CustomerID]],tblCustomers[CustomerID],tblCustomers[CustomerName],"not found")</f>
        <v>Charles Schneider</v>
      </c>
      <c r="D1593">
        <f>_xlfn.XLOOKUP(tblOrders[[#This Row],[CustomerID]],tblCustomers[CustomerID],tblCustomers[Age],"not found")</f>
        <v>48</v>
      </c>
      <c r="E1593" t="str">
        <f>_xlfn.XLOOKUP(tblOrders[[#This Row],[CustomerID]],tblCustomers[CustomerID],tblCustomers[Gender],"not found")</f>
        <v>Male</v>
      </c>
      <c r="F1593" t="str">
        <f>_xlfn.XLOOKUP(tblOrders[[#This Row],[CustomerID]],tblCustomers[CustomerID],tblCustomers[Region],"not found")</f>
        <v>West</v>
      </c>
      <c r="G1593">
        <v>1002</v>
      </c>
      <c r="H1593" t="str">
        <f>_xlfn.XLOOKUP(tblOrders[[#This Row],[ProductID]],tblProducts[ProductID],tblProducts[ProductName],"not found")</f>
        <v>Address</v>
      </c>
      <c r="I1593" t="str">
        <f>_xlfn.XLOOKUP(tblOrders[[#This Row],[ProductID]],tblProducts[ProductID],tblProducts[Category],"not found")</f>
        <v>Furniture</v>
      </c>
      <c r="J1593">
        <f>_xlfn.XLOOKUP(tblOrders[[#This Row],[ProductID]],tblProducts[ProductID],tblProducts[UnitPrice],"not found")</f>
        <v>290.67</v>
      </c>
      <c r="K1593" t="str">
        <f>_xlfn.XLOOKUP(tblOrders[[#This Row],[ProductID]],tblProducts[ProductID],tblProducts[Supplier],"not found")</f>
        <v>Romero and Sons</v>
      </c>
      <c r="L1593" s="1" t="s">
        <v>2200</v>
      </c>
      <c r="M15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45185</v>
      </c>
      <c r="N1593">
        <v>8</v>
      </c>
      <c r="O1593">
        <v>2325.36</v>
      </c>
      <c r="P1593">
        <f>tblOrders[[#This Row],[Quantity]]*tblOrders[[#This Row],[Unit Price]]</f>
        <v>2325.36</v>
      </c>
      <c r="Q1593">
        <f>tblOrders[[#This Row],[TotalSales]]-tblOrders[[#This Row],[Calculated Sales]]</f>
        <v>0</v>
      </c>
    </row>
    <row r="1594" spans="1:17" x14ac:dyDescent="0.25">
      <c r="A1594">
        <v>1734</v>
      </c>
      <c r="B1594">
        <v>936</v>
      </c>
      <c r="C1594" t="str">
        <f>_xlfn.XLOOKUP(tblOrders[[#This Row],[CustomerID]],tblCustomers[CustomerID],tblCustomers[CustomerName],"not found")</f>
        <v>Meagan Christensen</v>
      </c>
      <c r="D1594">
        <f>_xlfn.XLOOKUP(tblOrders[[#This Row],[CustomerID]],tblCustomers[CustomerID],tblCustomers[Age],"not found")</f>
        <v>46</v>
      </c>
      <c r="E1594" t="str">
        <f>_xlfn.XLOOKUP(tblOrders[[#This Row],[CustomerID]],tblCustomers[CustomerID],tblCustomers[Gender],"not found")</f>
        <v>Female</v>
      </c>
      <c r="F1594" t="str">
        <f>_xlfn.XLOOKUP(tblOrders[[#This Row],[CustomerID]],tblCustomers[CustomerID],tblCustomers[Region],"not found")</f>
        <v>North</v>
      </c>
      <c r="G1594">
        <v>1002</v>
      </c>
      <c r="H1594" t="str">
        <f>_xlfn.XLOOKUP(tblOrders[[#This Row],[ProductID]],tblProducts[ProductID],tblProducts[ProductName],"not found")</f>
        <v>Address</v>
      </c>
      <c r="I1594" t="str">
        <f>_xlfn.XLOOKUP(tblOrders[[#This Row],[ProductID]],tblProducts[ProductID],tblProducts[Category],"not found")</f>
        <v>Furniture</v>
      </c>
      <c r="J1594">
        <f>_xlfn.XLOOKUP(tblOrders[[#This Row],[ProductID]],tblProducts[ProductID],tblProducts[UnitPrice],"not found")</f>
        <v>290.67</v>
      </c>
      <c r="K1594" t="str">
        <f>_xlfn.XLOOKUP(tblOrders[[#This Row],[ProductID]],tblProducts[ProductID],tblProducts[Supplier],"not found")</f>
        <v>Romero and Sons</v>
      </c>
      <c r="L1594" s="1" t="s">
        <v>2232</v>
      </c>
      <c r="M15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45151</v>
      </c>
      <c r="N1594">
        <v>9</v>
      </c>
      <c r="O1594">
        <v>2616.0300000000002</v>
      </c>
      <c r="P1594">
        <f>tblOrders[[#This Row],[Quantity]]*tblOrders[[#This Row],[Unit Price]]</f>
        <v>2616.0300000000002</v>
      </c>
      <c r="Q1594">
        <f>tblOrders[[#This Row],[TotalSales]]-tblOrders[[#This Row],[Calculated Sales]]</f>
        <v>0</v>
      </c>
    </row>
    <row r="1595" spans="1:17" x14ac:dyDescent="0.25">
      <c r="A1595">
        <v>1802</v>
      </c>
      <c r="B1595">
        <v>161</v>
      </c>
      <c r="C1595" t="str">
        <f>_xlfn.XLOOKUP(tblOrders[[#This Row],[CustomerID]],tblCustomers[CustomerID],tblCustomers[CustomerName],"not found")</f>
        <v>Alex Martin</v>
      </c>
      <c r="D1595">
        <f>_xlfn.XLOOKUP(tblOrders[[#This Row],[CustomerID]],tblCustomers[CustomerID],tblCustomers[Age],"not found")</f>
        <v>56</v>
      </c>
      <c r="E1595" t="str">
        <f>_xlfn.XLOOKUP(tblOrders[[#This Row],[CustomerID]],tblCustomers[CustomerID],tblCustomers[Gender],"not found")</f>
        <v>Male</v>
      </c>
      <c r="F1595" t="str">
        <f>_xlfn.XLOOKUP(tblOrders[[#This Row],[CustomerID]],tblCustomers[CustomerID],tblCustomers[Region],"not found")</f>
        <v>West</v>
      </c>
      <c r="G1595">
        <v>1002</v>
      </c>
      <c r="H1595" t="str">
        <f>_xlfn.XLOOKUP(tblOrders[[#This Row],[ProductID]],tblProducts[ProductID],tblProducts[ProductName],"not found")</f>
        <v>Address</v>
      </c>
      <c r="I1595" t="str">
        <f>_xlfn.XLOOKUP(tblOrders[[#This Row],[ProductID]],tblProducts[ProductID],tblProducts[Category],"not found")</f>
        <v>Furniture</v>
      </c>
      <c r="J1595">
        <f>_xlfn.XLOOKUP(tblOrders[[#This Row],[ProductID]],tblProducts[ProductID],tblProducts[UnitPrice],"not found")</f>
        <v>290.67</v>
      </c>
      <c r="K1595" t="str">
        <f>_xlfn.XLOOKUP(tblOrders[[#This Row],[ProductID]],tblProducts[ProductID],tblProducts[Supplier],"not found")</f>
        <v>Romero and Sons</v>
      </c>
      <c r="L1595" s="1">
        <v>44927</v>
      </c>
      <c r="M15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44927</v>
      </c>
      <c r="N1595">
        <v>6</v>
      </c>
      <c r="O1595">
        <v>1744.02</v>
      </c>
      <c r="P1595">
        <f>tblOrders[[#This Row],[Quantity]]*tblOrders[[#This Row],[Unit Price]]</f>
        <v>1744.02</v>
      </c>
      <c r="Q1595">
        <f>tblOrders[[#This Row],[TotalSales]]-tblOrders[[#This Row],[Calculated Sales]]</f>
        <v>0</v>
      </c>
    </row>
    <row r="1596" spans="1:17" x14ac:dyDescent="0.25">
      <c r="A1596">
        <v>128</v>
      </c>
      <c r="B1596">
        <v>632</v>
      </c>
      <c r="C1596" t="str">
        <f>_xlfn.XLOOKUP(tblOrders[[#This Row],[CustomerID]],tblCustomers[CustomerID],tblCustomers[CustomerName],"not found")</f>
        <v>Samantha Bartlett</v>
      </c>
      <c r="D1596">
        <f>_xlfn.XLOOKUP(tblOrders[[#This Row],[CustomerID]],tblCustomers[CustomerID],tblCustomers[Age],"not found")</f>
        <v>18</v>
      </c>
      <c r="E1596" t="str">
        <f>_xlfn.XLOOKUP(tblOrders[[#This Row],[CustomerID]],tblCustomers[CustomerID],tblCustomers[Gender],"not found")</f>
        <v>Male</v>
      </c>
      <c r="F1596" t="str">
        <f>_xlfn.XLOOKUP(tblOrders[[#This Row],[CustomerID]],tblCustomers[CustomerID],tblCustomers[Region],"not found")</f>
        <v>North</v>
      </c>
      <c r="G1596">
        <v>1062</v>
      </c>
      <c r="H1596" t="str">
        <f>_xlfn.XLOOKUP(tblOrders[[#This Row],[ProductID]],tblProducts[ProductID],tblProducts[ProductName],"not found")</f>
        <v>Well</v>
      </c>
      <c r="I1596" t="str">
        <f>_xlfn.XLOOKUP(tblOrders[[#This Row],[ProductID]],tblProducts[ProductID],tblProducts[Category],"not found")</f>
        <v>Apparel</v>
      </c>
      <c r="J1596">
        <f>_xlfn.XLOOKUP(tblOrders[[#This Row],[ProductID]],tblProducts[ProductID],tblProducts[UnitPrice],"not found")</f>
        <v>416.54</v>
      </c>
      <c r="K1596" t="str">
        <f>_xlfn.XLOOKUP(tblOrders[[#This Row],[ProductID]],tblProducts[ProductID],tblProducts[Supplier],"not found")</f>
        <v>Garcia-Clark</v>
      </c>
      <c r="L1596" s="1" t="s">
        <v>2313</v>
      </c>
      <c r="M15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45494</v>
      </c>
      <c r="N1596">
        <v>3</v>
      </c>
      <c r="O1596">
        <v>1249.6199999999999</v>
      </c>
      <c r="P1596">
        <f>tblOrders[[#This Row],[Quantity]]*tblOrders[[#This Row],[Unit Price]]</f>
        <v>1249.6200000000001</v>
      </c>
      <c r="Q1596">
        <f>tblOrders[[#This Row],[TotalSales]]-tblOrders[[#This Row],[Calculated Sales]]</f>
        <v>0</v>
      </c>
    </row>
    <row r="1597" spans="1:17" x14ac:dyDescent="0.25">
      <c r="A1597">
        <v>155</v>
      </c>
      <c r="B1597">
        <v>561</v>
      </c>
      <c r="C1597" t="str">
        <f>_xlfn.XLOOKUP(tblOrders[[#This Row],[CustomerID]],tblCustomers[CustomerID],tblCustomers[CustomerName],"not found")</f>
        <v>Jesse West</v>
      </c>
      <c r="D1597">
        <f>_xlfn.XLOOKUP(tblOrders[[#This Row],[CustomerID]],tblCustomers[CustomerID],tblCustomers[Age],"not found")</f>
        <v>19</v>
      </c>
      <c r="E1597" t="str">
        <f>_xlfn.XLOOKUP(tblOrders[[#This Row],[CustomerID]],tblCustomers[CustomerID],tblCustomers[Gender],"not found")</f>
        <v>Male</v>
      </c>
      <c r="F1597" t="str">
        <f>_xlfn.XLOOKUP(tblOrders[[#This Row],[CustomerID]],tblCustomers[CustomerID],tblCustomers[Region],"not found")</f>
        <v>North</v>
      </c>
      <c r="G1597">
        <v>1062</v>
      </c>
      <c r="H1597" t="str">
        <f>_xlfn.XLOOKUP(tblOrders[[#This Row],[ProductID]],tblProducts[ProductID],tblProducts[ProductName],"not found")</f>
        <v>Well</v>
      </c>
      <c r="I1597" t="str">
        <f>_xlfn.XLOOKUP(tblOrders[[#This Row],[ProductID]],tblProducts[ProductID],tblProducts[Category],"not found")</f>
        <v>Apparel</v>
      </c>
      <c r="J1597">
        <f>_xlfn.XLOOKUP(tblOrders[[#This Row],[ProductID]],tblProducts[ProductID],tblProducts[UnitPrice],"not found")</f>
        <v>416.54</v>
      </c>
      <c r="K1597" t="str">
        <f>_xlfn.XLOOKUP(tblOrders[[#This Row],[ProductID]],tblProducts[ProductID],tblProducts[Supplier],"not found")</f>
        <v>Garcia-Clark</v>
      </c>
      <c r="L1597" s="1" t="s">
        <v>2338</v>
      </c>
      <c r="M15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45093</v>
      </c>
      <c r="N1597">
        <v>3</v>
      </c>
      <c r="O1597">
        <v>1249.6199999999999</v>
      </c>
      <c r="P1597">
        <f>tblOrders[[#This Row],[Quantity]]*tblOrders[[#This Row],[Unit Price]]</f>
        <v>1249.6200000000001</v>
      </c>
      <c r="Q1597">
        <f>tblOrders[[#This Row],[TotalSales]]-tblOrders[[#This Row],[Calculated Sales]]</f>
        <v>0</v>
      </c>
    </row>
    <row r="1598" spans="1:17" x14ac:dyDescent="0.25">
      <c r="A1598">
        <v>170</v>
      </c>
      <c r="B1598">
        <v>992</v>
      </c>
      <c r="C1598" t="str">
        <f>_xlfn.XLOOKUP(tblOrders[[#This Row],[CustomerID]],tblCustomers[CustomerID],tblCustomers[CustomerName],"not found")</f>
        <v>Larry Carter</v>
      </c>
      <c r="D1598">
        <f>_xlfn.XLOOKUP(tblOrders[[#This Row],[CustomerID]],tblCustomers[CustomerID],tblCustomers[Age],"not found")</f>
        <v>22</v>
      </c>
      <c r="E1598" t="str">
        <f>_xlfn.XLOOKUP(tblOrders[[#This Row],[CustomerID]],tblCustomers[CustomerID],tblCustomers[Gender],"not found")</f>
        <v>Male</v>
      </c>
      <c r="F1598" t="str">
        <f>_xlfn.XLOOKUP(tblOrders[[#This Row],[CustomerID]],tblCustomers[CustomerID],tblCustomers[Region],"not found")</f>
        <v>East</v>
      </c>
      <c r="G1598">
        <v>1062</v>
      </c>
      <c r="H1598" t="str">
        <f>_xlfn.XLOOKUP(tblOrders[[#This Row],[ProductID]],tblProducts[ProductID],tblProducts[ProductName],"not found")</f>
        <v>Well</v>
      </c>
      <c r="I1598" t="str">
        <f>_xlfn.XLOOKUP(tblOrders[[#This Row],[ProductID]],tblProducts[ProductID],tblProducts[Category],"not found")</f>
        <v>Apparel</v>
      </c>
      <c r="J1598">
        <f>_xlfn.XLOOKUP(tblOrders[[#This Row],[ProductID]],tblProducts[ProductID],tblProducts[UnitPrice],"not found")</f>
        <v>416.54</v>
      </c>
      <c r="K1598" t="str">
        <f>_xlfn.XLOOKUP(tblOrders[[#This Row],[ProductID]],tblProducts[ProductID],tblProducts[Supplier],"not found")</f>
        <v>Garcia-Clark</v>
      </c>
      <c r="L1598" s="1">
        <v>45149</v>
      </c>
      <c r="M15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45149</v>
      </c>
      <c r="N1598">
        <v>9</v>
      </c>
      <c r="O1598">
        <v>3748.86</v>
      </c>
      <c r="P1598">
        <f>tblOrders[[#This Row],[Quantity]]*tblOrders[[#This Row],[Unit Price]]</f>
        <v>3748.86</v>
      </c>
      <c r="Q1598">
        <f>tblOrders[[#This Row],[TotalSales]]-tblOrders[[#This Row],[Calculated Sales]]</f>
        <v>0</v>
      </c>
    </row>
    <row r="1599" spans="1:17" x14ac:dyDescent="0.25">
      <c r="A1599">
        <v>294</v>
      </c>
      <c r="B1599">
        <v>898</v>
      </c>
      <c r="C1599" t="str">
        <f>_xlfn.XLOOKUP(tblOrders[[#This Row],[CustomerID]],tblCustomers[CustomerID],tblCustomers[CustomerName],"not found")</f>
        <v>Lauren Watson</v>
      </c>
      <c r="D1599">
        <f>_xlfn.XLOOKUP(tblOrders[[#This Row],[CustomerID]],tblCustomers[CustomerID],tblCustomers[Age],"not found")</f>
        <v>50</v>
      </c>
      <c r="E1599" t="str">
        <f>_xlfn.XLOOKUP(tblOrders[[#This Row],[CustomerID]],tblCustomers[CustomerID],tblCustomers[Gender],"not found")</f>
        <v>Female</v>
      </c>
      <c r="F1599" t="str">
        <f>_xlfn.XLOOKUP(tblOrders[[#This Row],[CustomerID]],tblCustomers[CustomerID],tblCustomers[Region],"not found")</f>
        <v>East</v>
      </c>
      <c r="G1599">
        <v>1062</v>
      </c>
      <c r="H1599" t="str">
        <f>_xlfn.XLOOKUP(tblOrders[[#This Row],[ProductID]],tblProducts[ProductID],tblProducts[ProductName],"not found")</f>
        <v>Well</v>
      </c>
      <c r="I1599" t="str">
        <f>_xlfn.XLOOKUP(tblOrders[[#This Row],[ProductID]],tblProducts[ProductID],tblProducts[Category],"not found")</f>
        <v>Apparel</v>
      </c>
      <c r="J1599">
        <f>_xlfn.XLOOKUP(tblOrders[[#This Row],[ProductID]],tblProducts[ProductID],tblProducts[UnitPrice],"not found")</f>
        <v>416.54</v>
      </c>
      <c r="K1599" t="str">
        <f>_xlfn.XLOOKUP(tblOrders[[#This Row],[ProductID]],tblProducts[ProductID],tblProducts[Supplier],"not found")</f>
        <v>Garcia-Clark</v>
      </c>
      <c r="L1599" s="1">
        <v>45574</v>
      </c>
      <c r="M15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45574</v>
      </c>
      <c r="N1599">
        <v>9</v>
      </c>
      <c r="O1599">
        <v>3748.86</v>
      </c>
      <c r="P1599">
        <f>tblOrders[[#This Row],[Quantity]]*tblOrders[[#This Row],[Unit Price]]</f>
        <v>3748.86</v>
      </c>
      <c r="Q1599">
        <f>tblOrders[[#This Row],[TotalSales]]-tblOrders[[#This Row],[Calculated Sales]]</f>
        <v>0</v>
      </c>
    </row>
    <row r="1600" spans="1:17" x14ac:dyDescent="0.25">
      <c r="A1600">
        <v>552</v>
      </c>
      <c r="B1600">
        <v>98</v>
      </c>
      <c r="C1600" t="str">
        <f>_xlfn.XLOOKUP(tblOrders[[#This Row],[CustomerID]],tblCustomers[CustomerID],tblCustomers[CustomerName],"not found")</f>
        <v>Jason Brown</v>
      </c>
      <c r="D1600">
        <f>_xlfn.XLOOKUP(tblOrders[[#This Row],[CustomerID]],tblCustomers[CustomerID],tblCustomers[Age],"not found")</f>
        <v>46</v>
      </c>
      <c r="E1600" t="str">
        <f>_xlfn.XLOOKUP(tblOrders[[#This Row],[CustomerID]],tblCustomers[CustomerID],tblCustomers[Gender],"not found")</f>
        <v>Male</v>
      </c>
      <c r="F1600" t="str">
        <f>_xlfn.XLOOKUP(tblOrders[[#This Row],[CustomerID]],tblCustomers[CustomerID],tblCustomers[Region],"not found")</f>
        <v>Central</v>
      </c>
      <c r="G1600">
        <v>1062</v>
      </c>
      <c r="H1600" t="str">
        <f>_xlfn.XLOOKUP(tblOrders[[#This Row],[ProductID]],tblProducts[ProductID],tblProducts[ProductName],"not found")</f>
        <v>Well</v>
      </c>
      <c r="I1600" t="str">
        <f>_xlfn.XLOOKUP(tblOrders[[#This Row],[ProductID]],tblProducts[ProductID],tblProducts[Category],"not found")</f>
        <v>Apparel</v>
      </c>
      <c r="J1600">
        <f>_xlfn.XLOOKUP(tblOrders[[#This Row],[ProductID]],tblProducts[ProductID],tblProducts[UnitPrice],"not found")</f>
        <v>416.54</v>
      </c>
      <c r="K1600" t="str">
        <f>_xlfn.XLOOKUP(tblOrders[[#This Row],[ProductID]],tblProducts[ProductID],tblProducts[Supplier],"not found")</f>
        <v>Garcia-Clark</v>
      </c>
      <c r="L1600" s="1" t="s">
        <v>2181</v>
      </c>
      <c r="M16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45399</v>
      </c>
      <c r="N1600">
        <v>6</v>
      </c>
      <c r="O1600">
        <v>2499.2399999999998</v>
      </c>
      <c r="P1600">
        <f>tblOrders[[#This Row],[Quantity]]*tblOrders[[#This Row],[Unit Price]]</f>
        <v>2499.2400000000002</v>
      </c>
      <c r="Q1600">
        <f>tblOrders[[#This Row],[TotalSales]]-tblOrders[[#This Row],[Calculated Sales]]</f>
        <v>0</v>
      </c>
    </row>
    <row r="1601" spans="1:17" x14ac:dyDescent="0.25">
      <c r="A1601">
        <v>664</v>
      </c>
      <c r="B1601">
        <v>169</v>
      </c>
      <c r="C1601" t="str">
        <f>_xlfn.XLOOKUP(tblOrders[[#This Row],[CustomerID]],tblCustomers[CustomerID],tblCustomers[CustomerName],"not found")</f>
        <v>Susan Li</v>
      </c>
      <c r="D1601">
        <f>_xlfn.XLOOKUP(tblOrders[[#This Row],[CustomerID]],tblCustomers[CustomerID],tblCustomers[Age],"not found")</f>
        <v>40</v>
      </c>
      <c r="E1601" t="str">
        <f>_xlfn.XLOOKUP(tblOrders[[#This Row],[CustomerID]],tblCustomers[CustomerID],tblCustomers[Gender],"not found")</f>
        <v>Female</v>
      </c>
      <c r="F1601" t="str">
        <f>_xlfn.XLOOKUP(tblOrders[[#This Row],[CustomerID]],tblCustomers[CustomerID],tblCustomers[Region],"not found")</f>
        <v>East</v>
      </c>
      <c r="G1601">
        <v>1062</v>
      </c>
      <c r="H1601" t="str">
        <f>_xlfn.XLOOKUP(tblOrders[[#This Row],[ProductID]],tblProducts[ProductID],tblProducts[ProductName],"not found")</f>
        <v>Well</v>
      </c>
      <c r="I1601" t="str">
        <f>_xlfn.XLOOKUP(tblOrders[[#This Row],[ProductID]],tblProducts[ProductID],tblProducts[Category],"not found")</f>
        <v>Apparel</v>
      </c>
      <c r="J1601">
        <f>_xlfn.XLOOKUP(tblOrders[[#This Row],[ProductID]],tblProducts[ProductID],tblProducts[UnitPrice],"not found")</f>
        <v>416.54</v>
      </c>
      <c r="K1601" t="str">
        <f>_xlfn.XLOOKUP(tblOrders[[#This Row],[ProductID]],tblProducts[ProductID],tblProducts[Supplier],"not found")</f>
        <v>Garcia-Clark</v>
      </c>
      <c r="L1601" s="1" t="s">
        <v>2150</v>
      </c>
      <c r="M16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45410</v>
      </c>
      <c r="N1601">
        <v>3</v>
      </c>
      <c r="O1601">
        <v>1249.6199999999999</v>
      </c>
      <c r="P1601">
        <f>tblOrders[[#This Row],[Quantity]]*tblOrders[[#This Row],[Unit Price]]</f>
        <v>1249.6200000000001</v>
      </c>
      <c r="Q1601">
        <f>tblOrders[[#This Row],[TotalSales]]-tblOrders[[#This Row],[Calculated Sales]]</f>
        <v>0</v>
      </c>
    </row>
    <row r="1602" spans="1:17" x14ac:dyDescent="0.25">
      <c r="A1602">
        <v>729</v>
      </c>
      <c r="B1602">
        <v>132</v>
      </c>
      <c r="C1602" t="str">
        <f>_xlfn.XLOOKUP(tblOrders[[#This Row],[CustomerID]],tblCustomers[CustomerID],tblCustomers[CustomerName],"not found")</f>
        <v>Robert Allen</v>
      </c>
      <c r="D1602">
        <f>_xlfn.XLOOKUP(tblOrders[[#This Row],[CustomerID]],tblCustomers[CustomerID],tblCustomers[Age],"not found")</f>
        <v>20</v>
      </c>
      <c r="E1602" t="str">
        <f>_xlfn.XLOOKUP(tblOrders[[#This Row],[CustomerID]],tblCustomers[CustomerID],tblCustomers[Gender],"not found")</f>
        <v>Male</v>
      </c>
      <c r="F1602" t="str">
        <f>_xlfn.XLOOKUP(tblOrders[[#This Row],[CustomerID]],tblCustomers[CustomerID],tblCustomers[Region],"not found")</f>
        <v>South</v>
      </c>
      <c r="G1602">
        <v>1062</v>
      </c>
      <c r="H1602" t="str">
        <f>_xlfn.XLOOKUP(tblOrders[[#This Row],[ProductID]],tblProducts[ProductID],tblProducts[ProductName],"not found")</f>
        <v>Well</v>
      </c>
      <c r="I1602" t="str">
        <f>_xlfn.XLOOKUP(tblOrders[[#This Row],[ProductID]],tblProducts[ProductID],tblProducts[Category],"not found")</f>
        <v>Apparel</v>
      </c>
      <c r="J1602">
        <f>_xlfn.XLOOKUP(tblOrders[[#This Row],[ProductID]],tblProducts[ProductID],tblProducts[UnitPrice],"not found")</f>
        <v>416.54</v>
      </c>
      <c r="K1602" t="str">
        <f>_xlfn.XLOOKUP(tblOrders[[#This Row],[ProductID]],tblProducts[ProductID],tblProducts[Supplier],"not found")</f>
        <v>Garcia-Clark</v>
      </c>
      <c r="L1602" s="1">
        <v>44785</v>
      </c>
      <c r="M16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44785</v>
      </c>
      <c r="N1602">
        <v>8</v>
      </c>
      <c r="O1602">
        <v>3332.32</v>
      </c>
      <c r="P1602">
        <f>tblOrders[[#This Row],[Quantity]]*tblOrders[[#This Row],[Unit Price]]</f>
        <v>3332.32</v>
      </c>
      <c r="Q1602">
        <f>tblOrders[[#This Row],[TotalSales]]-tblOrders[[#This Row],[Calculated Sales]]</f>
        <v>0</v>
      </c>
    </row>
    <row r="1603" spans="1:17" x14ac:dyDescent="0.25">
      <c r="A1603">
        <v>756</v>
      </c>
      <c r="B1603">
        <v>610</v>
      </c>
      <c r="C1603" t="str">
        <f>_xlfn.XLOOKUP(tblOrders[[#This Row],[CustomerID]],tblCustomers[CustomerID],tblCustomers[CustomerName],"not found")</f>
        <v>Bryan Matthews</v>
      </c>
      <c r="D1603">
        <f>_xlfn.XLOOKUP(tblOrders[[#This Row],[CustomerID]],tblCustomers[CustomerID],tblCustomers[Age],"not found")</f>
        <v>67</v>
      </c>
      <c r="E1603" t="str">
        <f>_xlfn.XLOOKUP(tblOrders[[#This Row],[CustomerID]],tblCustomers[CustomerID],tblCustomers[Gender],"not found")</f>
        <v>Female</v>
      </c>
      <c r="F1603" t="str">
        <f>_xlfn.XLOOKUP(tblOrders[[#This Row],[CustomerID]],tblCustomers[CustomerID],tblCustomers[Region],"not found")</f>
        <v>Central</v>
      </c>
      <c r="G1603">
        <v>1062</v>
      </c>
      <c r="H1603" t="str">
        <f>_xlfn.XLOOKUP(tblOrders[[#This Row],[ProductID]],tblProducts[ProductID],tblProducts[ProductName],"not found")</f>
        <v>Well</v>
      </c>
      <c r="I1603" t="str">
        <f>_xlfn.XLOOKUP(tblOrders[[#This Row],[ProductID]],tblProducts[ProductID],tblProducts[Category],"not found")</f>
        <v>Apparel</v>
      </c>
      <c r="J1603">
        <f>_xlfn.XLOOKUP(tblOrders[[#This Row],[ProductID]],tblProducts[ProductID],tblProducts[UnitPrice],"not found")</f>
        <v>416.54</v>
      </c>
      <c r="K1603" t="str">
        <f>_xlfn.XLOOKUP(tblOrders[[#This Row],[ProductID]],tblProducts[ProductID],tblProducts[Supplier],"not found")</f>
        <v>Garcia-Clark</v>
      </c>
      <c r="L1603" s="1" t="s">
        <v>2403</v>
      </c>
      <c r="M16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44924</v>
      </c>
      <c r="N1603">
        <v>4</v>
      </c>
      <c r="O1603">
        <v>1666.16</v>
      </c>
      <c r="P1603">
        <f>tblOrders[[#This Row],[Quantity]]*tblOrders[[#This Row],[Unit Price]]</f>
        <v>1666.16</v>
      </c>
      <c r="Q1603">
        <f>tblOrders[[#This Row],[TotalSales]]-tblOrders[[#This Row],[Calculated Sales]]</f>
        <v>0</v>
      </c>
    </row>
    <row r="1604" spans="1:17" x14ac:dyDescent="0.25">
      <c r="A1604">
        <v>764</v>
      </c>
      <c r="B1604">
        <v>782</v>
      </c>
      <c r="C1604" t="str">
        <f>_xlfn.XLOOKUP(tblOrders[[#This Row],[CustomerID]],tblCustomers[CustomerID],tblCustomers[CustomerName],"not found")</f>
        <v>Abigail Anderson</v>
      </c>
      <c r="D1604">
        <f>_xlfn.XLOOKUP(tblOrders[[#This Row],[CustomerID]],tblCustomers[CustomerID],tblCustomers[Age],"not found")</f>
        <v>18</v>
      </c>
      <c r="E1604" t="str">
        <f>_xlfn.XLOOKUP(tblOrders[[#This Row],[CustomerID]],tblCustomers[CustomerID],tblCustomers[Gender],"not found")</f>
        <v>Female</v>
      </c>
      <c r="F1604" t="str">
        <f>_xlfn.XLOOKUP(tblOrders[[#This Row],[CustomerID]],tblCustomers[CustomerID],tblCustomers[Region],"not found")</f>
        <v>North</v>
      </c>
      <c r="G1604">
        <v>1062</v>
      </c>
      <c r="H1604" t="str">
        <f>_xlfn.XLOOKUP(tblOrders[[#This Row],[ProductID]],tblProducts[ProductID],tblProducts[ProductName],"not found")</f>
        <v>Well</v>
      </c>
      <c r="I1604" t="str">
        <f>_xlfn.XLOOKUP(tblOrders[[#This Row],[ProductID]],tblProducts[ProductID],tblProducts[Category],"not found")</f>
        <v>Apparel</v>
      </c>
      <c r="J1604">
        <f>_xlfn.XLOOKUP(tblOrders[[#This Row],[ProductID]],tblProducts[ProductID],tblProducts[UnitPrice],"not found")</f>
        <v>416.54</v>
      </c>
      <c r="K1604" t="str">
        <f>_xlfn.XLOOKUP(tblOrders[[#This Row],[ProductID]],tblProducts[ProductID],tblProducts[Supplier],"not found")</f>
        <v>Garcia-Clark</v>
      </c>
      <c r="L1604" s="1" t="s">
        <v>2356</v>
      </c>
      <c r="M16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45288</v>
      </c>
      <c r="N1604">
        <v>9</v>
      </c>
      <c r="O1604">
        <v>3748.86</v>
      </c>
      <c r="P1604">
        <f>tblOrders[[#This Row],[Quantity]]*tblOrders[[#This Row],[Unit Price]]</f>
        <v>3748.86</v>
      </c>
      <c r="Q1604">
        <f>tblOrders[[#This Row],[TotalSales]]-tblOrders[[#This Row],[Calculated Sales]]</f>
        <v>0</v>
      </c>
    </row>
    <row r="1605" spans="1:17" x14ac:dyDescent="0.25">
      <c r="A1605">
        <v>799</v>
      </c>
      <c r="B1605">
        <v>149</v>
      </c>
      <c r="C1605" t="str">
        <f>_xlfn.XLOOKUP(tblOrders[[#This Row],[CustomerID]],tblCustomers[CustomerID],tblCustomers[CustomerName],"not found")</f>
        <v>Sandra Lane</v>
      </c>
      <c r="D1605">
        <f>_xlfn.XLOOKUP(tblOrders[[#This Row],[CustomerID]],tblCustomers[CustomerID],tblCustomers[Age],"not found")</f>
        <v>28</v>
      </c>
      <c r="E1605" t="str">
        <f>_xlfn.XLOOKUP(tblOrders[[#This Row],[CustomerID]],tblCustomers[CustomerID],tblCustomers[Gender],"not found")</f>
        <v>Female</v>
      </c>
      <c r="F1605" t="str">
        <f>_xlfn.XLOOKUP(tblOrders[[#This Row],[CustomerID]],tblCustomers[CustomerID],tblCustomers[Region],"not found")</f>
        <v>East</v>
      </c>
      <c r="G1605">
        <v>1062</v>
      </c>
      <c r="H1605" t="str">
        <f>_xlfn.XLOOKUP(tblOrders[[#This Row],[ProductID]],tblProducts[ProductID],tblProducts[ProductName],"not found")</f>
        <v>Well</v>
      </c>
      <c r="I1605" t="str">
        <f>_xlfn.XLOOKUP(tblOrders[[#This Row],[ProductID]],tblProducts[ProductID],tblProducts[Category],"not found")</f>
        <v>Apparel</v>
      </c>
      <c r="J1605">
        <f>_xlfn.XLOOKUP(tblOrders[[#This Row],[ProductID]],tblProducts[ProductID],tblProducts[UnitPrice],"not found")</f>
        <v>416.54</v>
      </c>
      <c r="K1605" t="str">
        <f>_xlfn.XLOOKUP(tblOrders[[#This Row],[ProductID]],tblProducts[ProductID],tblProducts[Supplier],"not found")</f>
        <v>Garcia-Clark</v>
      </c>
      <c r="L1605" s="1" t="s">
        <v>2398</v>
      </c>
      <c r="M16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45564</v>
      </c>
      <c r="N1605">
        <v>3</v>
      </c>
      <c r="O1605">
        <v>1249.6199999999999</v>
      </c>
      <c r="P1605">
        <f>tblOrders[[#This Row],[Quantity]]*tblOrders[[#This Row],[Unit Price]]</f>
        <v>1249.6200000000001</v>
      </c>
      <c r="Q1605">
        <f>tblOrders[[#This Row],[TotalSales]]-tblOrders[[#This Row],[Calculated Sales]]</f>
        <v>0</v>
      </c>
    </row>
    <row r="1606" spans="1:17" x14ac:dyDescent="0.25">
      <c r="A1606">
        <v>1163</v>
      </c>
      <c r="B1606">
        <v>68</v>
      </c>
      <c r="C1606" t="str">
        <f>_xlfn.XLOOKUP(tblOrders[[#This Row],[CustomerID]],tblCustomers[CustomerID],tblCustomers[CustomerName],"not found")</f>
        <v>Alex Walker</v>
      </c>
      <c r="D1606">
        <f>_xlfn.XLOOKUP(tblOrders[[#This Row],[CustomerID]],tblCustomers[CustomerID],tblCustomers[Age],"not found")</f>
        <v>54</v>
      </c>
      <c r="E1606" t="str">
        <f>_xlfn.XLOOKUP(tblOrders[[#This Row],[CustomerID]],tblCustomers[CustomerID],tblCustomers[Gender],"not found")</f>
        <v>Male</v>
      </c>
      <c r="F1606" t="str">
        <f>_xlfn.XLOOKUP(tblOrders[[#This Row],[CustomerID]],tblCustomers[CustomerID],tblCustomers[Region],"not found")</f>
        <v>West</v>
      </c>
      <c r="G1606">
        <v>1062</v>
      </c>
      <c r="H1606" t="str">
        <f>_xlfn.XLOOKUP(tblOrders[[#This Row],[ProductID]],tblProducts[ProductID],tblProducts[ProductName],"not found")</f>
        <v>Well</v>
      </c>
      <c r="I1606" t="str">
        <f>_xlfn.XLOOKUP(tblOrders[[#This Row],[ProductID]],tblProducts[ProductID],tblProducts[Category],"not found")</f>
        <v>Apparel</v>
      </c>
      <c r="J1606">
        <f>_xlfn.XLOOKUP(tblOrders[[#This Row],[ProductID]],tblProducts[ProductID],tblProducts[UnitPrice],"not found")</f>
        <v>416.54</v>
      </c>
      <c r="K1606" t="str">
        <f>_xlfn.XLOOKUP(tblOrders[[#This Row],[ProductID]],tblProducts[ProductID],tblProducts[Supplier],"not found")</f>
        <v>Garcia-Clark</v>
      </c>
      <c r="L1606" s="1" t="s">
        <v>2031</v>
      </c>
      <c r="M16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45280</v>
      </c>
      <c r="N1606">
        <v>8</v>
      </c>
      <c r="O1606">
        <v>3332.32</v>
      </c>
      <c r="P1606">
        <f>tblOrders[[#This Row],[Quantity]]*tblOrders[[#This Row],[Unit Price]]</f>
        <v>3332.32</v>
      </c>
      <c r="Q1606">
        <f>tblOrders[[#This Row],[TotalSales]]-tblOrders[[#This Row],[Calculated Sales]]</f>
        <v>0</v>
      </c>
    </row>
    <row r="1607" spans="1:17" x14ac:dyDescent="0.25">
      <c r="A1607">
        <v>1431</v>
      </c>
      <c r="B1607">
        <v>376</v>
      </c>
      <c r="C1607" t="str">
        <f>_xlfn.XLOOKUP(tblOrders[[#This Row],[CustomerID]],tblCustomers[CustomerID],tblCustomers[CustomerName],"not found")</f>
        <v>Kristen Rodriguez</v>
      </c>
      <c r="D1607">
        <f>_xlfn.XLOOKUP(tblOrders[[#This Row],[CustomerID]],tblCustomers[CustomerID],tblCustomers[Age],"not found")</f>
        <v>31</v>
      </c>
      <c r="E1607" t="str">
        <f>_xlfn.XLOOKUP(tblOrders[[#This Row],[CustomerID]],tblCustomers[CustomerID],tblCustomers[Gender],"not found")</f>
        <v>Female</v>
      </c>
      <c r="F1607" t="str">
        <f>_xlfn.XLOOKUP(tblOrders[[#This Row],[CustomerID]],tblCustomers[CustomerID],tblCustomers[Region],"not found")</f>
        <v>South</v>
      </c>
      <c r="G1607">
        <v>1062</v>
      </c>
      <c r="H1607" t="str">
        <f>_xlfn.XLOOKUP(tblOrders[[#This Row],[ProductID]],tblProducts[ProductID],tblProducts[ProductName],"not found")</f>
        <v>Well</v>
      </c>
      <c r="I1607" t="str">
        <f>_xlfn.XLOOKUP(tblOrders[[#This Row],[ProductID]],tblProducts[ProductID],tblProducts[Category],"not found")</f>
        <v>Apparel</v>
      </c>
      <c r="J1607">
        <f>_xlfn.XLOOKUP(tblOrders[[#This Row],[ProductID]],tblProducts[ProductID],tblProducts[UnitPrice],"not found")</f>
        <v>416.54</v>
      </c>
      <c r="K1607" t="str">
        <f>_xlfn.XLOOKUP(tblOrders[[#This Row],[ProductID]],tblProducts[ProductID],tblProducts[Supplier],"not found")</f>
        <v>Garcia-Clark</v>
      </c>
      <c r="L1607" s="1" t="s">
        <v>2281</v>
      </c>
      <c r="M16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45014</v>
      </c>
      <c r="N1607">
        <v>6</v>
      </c>
      <c r="O1607">
        <v>2499.2399999999998</v>
      </c>
      <c r="P1607">
        <f>tblOrders[[#This Row],[Quantity]]*tblOrders[[#This Row],[Unit Price]]</f>
        <v>2499.2400000000002</v>
      </c>
      <c r="Q1607">
        <f>tblOrders[[#This Row],[TotalSales]]-tblOrders[[#This Row],[Calculated Sales]]</f>
        <v>0</v>
      </c>
    </row>
    <row r="1608" spans="1:17" x14ac:dyDescent="0.25">
      <c r="A1608">
        <v>1474</v>
      </c>
      <c r="B1608">
        <v>192</v>
      </c>
      <c r="C1608" t="str">
        <f>_xlfn.XLOOKUP(tblOrders[[#This Row],[CustomerID]],tblCustomers[CustomerID],tblCustomers[CustomerName],"not found")</f>
        <v>Aaron Wright</v>
      </c>
      <c r="D1608">
        <f>_xlfn.XLOOKUP(tblOrders[[#This Row],[CustomerID]],tblCustomers[CustomerID],tblCustomers[Age],"not found")</f>
        <v>21</v>
      </c>
      <c r="E1608" t="str">
        <f>_xlfn.XLOOKUP(tblOrders[[#This Row],[CustomerID]],tblCustomers[CustomerID],tblCustomers[Gender],"not found")</f>
        <v>Male</v>
      </c>
      <c r="F1608" t="str">
        <f>_xlfn.XLOOKUP(tblOrders[[#This Row],[CustomerID]],tblCustomers[CustomerID],tblCustomers[Region],"not found")</f>
        <v>South</v>
      </c>
      <c r="G1608">
        <v>1062</v>
      </c>
      <c r="H1608" t="str">
        <f>_xlfn.XLOOKUP(tblOrders[[#This Row],[ProductID]],tblProducts[ProductID],tblProducts[ProductName],"not found")</f>
        <v>Well</v>
      </c>
      <c r="I1608" t="str">
        <f>_xlfn.XLOOKUP(tblOrders[[#This Row],[ProductID]],tblProducts[ProductID],tblProducts[Category],"not found")</f>
        <v>Apparel</v>
      </c>
      <c r="J1608">
        <f>_xlfn.XLOOKUP(tblOrders[[#This Row],[ProductID]],tblProducts[ProductID],tblProducts[UnitPrice],"not found")</f>
        <v>416.54</v>
      </c>
      <c r="K1608" t="str">
        <f>_xlfn.XLOOKUP(tblOrders[[#This Row],[ProductID]],tblProducts[ProductID],tblProducts[Supplier],"not found")</f>
        <v>Garcia-Clark</v>
      </c>
      <c r="L1608" s="1" t="s">
        <v>2134</v>
      </c>
      <c r="M16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45131</v>
      </c>
      <c r="N1608">
        <v>5</v>
      </c>
      <c r="O1608">
        <v>2082.6999999999998</v>
      </c>
      <c r="P1608">
        <f>tblOrders[[#This Row],[Quantity]]*tblOrders[[#This Row],[Unit Price]]</f>
        <v>2082.7000000000003</v>
      </c>
      <c r="Q1608">
        <f>tblOrders[[#This Row],[TotalSales]]-tblOrders[[#This Row],[Calculated Sales]]</f>
        <v>0</v>
      </c>
    </row>
    <row r="1609" spans="1:17" x14ac:dyDescent="0.25">
      <c r="A1609">
        <v>1659</v>
      </c>
      <c r="B1609">
        <v>507</v>
      </c>
      <c r="C1609" t="str">
        <f>_xlfn.XLOOKUP(tblOrders[[#This Row],[CustomerID]],tblCustomers[CustomerID],tblCustomers[CustomerName],"not found")</f>
        <v>Mrs. Victoria Roberts</v>
      </c>
      <c r="D1609">
        <f>_xlfn.XLOOKUP(tblOrders[[#This Row],[CustomerID]],tblCustomers[CustomerID],tblCustomers[Age],"not found")</f>
        <v>61</v>
      </c>
      <c r="E1609" t="str">
        <f>_xlfn.XLOOKUP(tblOrders[[#This Row],[CustomerID]],tblCustomers[CustomerID],tblCustomers[Gender],"not found")</f>
        <v>Female</v>
      </c>
      <c r="F1609" t="str">
        <f>_xlfn.XLOOKUP(tblOrders[[#This Row],[CustomerID]],tblCustomers[CustomerID],tblCustomers[Region],"not found")</f>
        <v>South</v>
      </c>
      <c r="G1609">
        <v>1062</v>
      </c>
      <c r="H1609" t="str">
        <f>_xlfn.XLOOKUP(tblOrders[[#This Row],[ProductID]],tblProducts[ProductID],tblProducts[ProductName],"not found")</f>
        <v>Well</v>
      </c>
      <c r="I1609" t="str">
        <f>_xlfn.XLOOKUP(tblOrders[[#This Row],[ProductID]],tblProducts[ProductID],tblProducts[Category],"not found")</f>
        <v>Apparel</v>
      </c>
      <c r="J1609">
        <f>_xlfn.XLOOKUP(tblOrders[[#This Row],[ProductID]],tblProducts[ProductID],tblProducts[UnitPrice],"not found")</f>
        <v>416.54</v>
      </c>
      <c r="K1609" t="str">
        <f>_xlfn.XLOOKUP(tblOrders[[#This Row],[ProductID]],tblProducts[ProductID],tblProducts[Supplier],"not found")</f>
        <v>Garcia-Clark</v>
      </c>
      <c r="L1609" s="1" t="s">
        <v>2230</v>
      </c>
      <c r="M16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45212</v>
      </c>
      <c r="N1609">
        <v>7</v>
      </c>
      <c r="O1609">
        <v>2915.78</v>
      </c>
      <c r="P1609">
        <f>tblOrders[[#This Row],[Quantity]]*tblOrders[[#This Row],[Unit Price]]</f>
        <v>2915.78</v>
      </c>
      <c r="Q1609">
        <f>tblOrders[[#This Row],[TotalSales]]-tblOrders[[#This Row],[Calculated Sales]]</f>
        <v>0</v>
      </c>
    </row>
    <row r="1610" spans="1:17" x14ac:dyDescent="0.25">
      <c r="A1610">
        <v>1695</v>
      </c>
      <c r="B1610">
        <v>324</v>
      </c>
      <c r="C1610" t="str">
        <f>_xlfn.XLOOKUP(tblOrders[[#This Row],[CustomerID]],tblCustomers[CustomerID],tblCustomers[CustomerName],"not found")</f>
        <v>Gregory Mills</v>
      </c>
      <c r="D1610">
        <f>_xlfn.XLOOKUP(tblOrders[[#This Row],[CustomerID]],tblCustomers[CustomerID],tblCustomers[Age],"not found")</f>
        <v>32</v>
      </c>
      <c r="E1610" t="str">
        <f>_xlfn.XLOOKUP(tblOrders[[#This Row],[CustomerID]],tblCustomers[CustomerID],tblCustomers[Gender],"not found")</f>
        <v>Male</v>
      </c>
      <c r="F1610" t="str">
        <f>_xlfn.XLOOKUP(tblOrders[[#This Row],[CustomerID]],tblCustomers[CustomerID],tblCustomers[Region],"not found")</f>
        <v>East</v>
      </c>
      <c r="G1610">
        <v>1062</v>
      </c>
      <c r="H1610" t="str">
        <f>_xlfn.XLOOKUP(tblOrders[[#This Row],[ProductID]],tblProducts[ProductID],tblProducts[ProductName],"not found")</f>
        <v>Well</v>
      </c>
      <c r="I1610" t="str">
        <f>_xlfn.XLOOKUP(tblOrders[[#This Row],[ProductID]],tblProducts[ProductID],tblProducts[Category],"not found")</f>
        <v>Apparel</v>
      </c>
      <c r="J1610">
        <f>_xlfn.XLOOKUP(tblOrders[[#This Row],[ProductID]],tblProducts[ProductID],tblProducts[UnitPrice],"not found")</f>
        <v>416.54</v>
      </c>
      <c r="K1610" t="str">
        <f>_xlfn.XLOOKUP(tblOrders[[#This Row],[ProductID]],tblProducts[ProductID],tblProducts[Supplier],"not found")</f>
        <v>Garcia-Clark</v>
      </c>
      <c r="L1610" s="1" t="s">
        <v>2178</v>
      </c>
      <c r="M16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45069</v>
      </c>
      <c r="N1610">
        <v>7</v>
      </c>
      <c r="O1610">
        <v>2915.78</v>
      </c>
      <c r="P1610">
        <f>tblOrders[[#This Row],[Quantity]]*tblOrders[[#This Row],[Unit Price]]</f>
        <v>2915.78</v>
      </c>
      <c r="Q1610">
        <f>tblOrders[[#This Row],[TotalSales]]-tblOrders[[#This Row],[Calculated Sales]]</f>
        <v>0</v>
      </c>
    </row>
    <row r="1611" spans="1:17" x14ac:dyDescent="0.25">
      <c r="A1611">
        <v>1716</v>
      </c>
      <c r="B1611">
        <v>525</v>
      </c>
      <c r="C1611" t="str">
        <f>_xlfn.XLOOKUP(tblOrders[[#This Row],[CustomerID]],tblCustomers[CustomerID],tblCustomers[CustomerName],"not found")</f>
        <v>Jacob Robertson Jr.</v>
      </c>
      <c r="D1611">
        <f>_xlfn.XLOOKUP(tblOrders[[#This Row],[CustomerID]],tblCustomers[CustomerID],tblCustomers[Age],"not found")</f>
        <v>61</v>
      </c>
      <c r="E1611" t="str">
        <f>_xlfn.XLOOKUP(tblOrders[[#This Row],[CustomerID]],tblCustomers[CustomerID],tblCustomers[Gender],"not found")</f>
        <v>Male</v>
      </c>
      <c r="F1611" t="str">
        <f>_xlfn.XLOOKUP(tblOrders[[#This Row],[CustomerID]],tblCustomers[CustomerID],tblCustomers[Region],"not found")</f>
        <v>Central</v>
      </c>
      <c r="G1611">
        <v>1062</v>
      </c>
      <c r="H1611" t="str">
        <f>_xlfn.XLOOKUP(tblOrders[[#This Row],[ProductID]],tblProducts[ProductID],tblProducts[ProductName],"not found")</f>
        <v>Well</v>
      </c>
      <c r="I1611" t="str">
        <f>_xlfn.XLOOKUP(tblOrders[[#This Row],[ProductID]],tblProducts[ProductID],tblProducts[Category],"not found")</f>
        <v>Apparel</v>
      </c>
      <c r="J1611">
        <f>_xlfn.XLOOKUP(tblOrders[[#This Row],[ProductID]],tblProducts[ProductID],tblProducts[UnitPrice],"not found")</f>
        <v>416.54</v>
      </c>
      <c r="K1611" t="str">
        <f>_xlfn.XLOOKUP(tblOrders[[#This Row],[ProductID]],tblProducts[ProductID],tblProducts[Supplier],"not found")</f>
        <v>Garcia-Clark</v>
      </c>
      <c r="L1611" s="1" t="s">
        <v>2164</v>
      </c>
      <c r="M16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45471</v>
      </c>
      <c r="N1611">
        <v>6</v>
      </c>
      <c r="O1611">
        <v>2499.2399999999998</v>
      </c>
      <c r="P1611">
        <f>tblOrders[[#This Row],[Quantity]]*tblOrders[[#This Row],[Unit Price]]</f>
        <v>2499.2400000000002</v>
      </c>
      <c r="Q1611">
        <f>tblOrders[[#This Row],[TotalSales]]-tblOrders[[#This Row],[Calculated Sales]]</f>
        <v>0</v>
      </c>
    </row>
    <row r="1612" spans="1:17" x14ac:dyDescent="0.25">
      <c r="A1612">
        <v>1833</v>
      </c>
      <c r="B1612">
        <v>408</v>
      </c>
      <c r="C1612" t="str">
        <f>_xlfn.XLOOKUP(tblOrders[[#This Row],[CustomerID]],tblCustomers[CustomerID],tblCustomers[CustomerName],"not found")</f>
        <v>Alan Parks</v>
      </c>
      <c r="D1612">
        <f>_xlfn.XLOOKUP(tblOrders[[#This Row],[CustomerID]],tblCustomers[CustomerID],tblCustomers[Age],"not found")</f>
        <v>66</v>
      </c>
      <c r="E1612" t="str">
        <f>_xlfn.XLOOKUP(tblOrders[[#This Row],[CustomerID]],tblCustomers[CustomerID],tblCustomers[Gender],"not found")</f>
        <v>Female</v>
      </c>
      <c r="F1612" t="str">
        <f>_xlfn.XLOOKUP(tblOrders[[#This Row],[CustomerID]],tblCustomers[CustomerID],tblCustomers[Region],"not found")</f>
        <v>Central</v>
      </c>
      <c r="G1612">
        <v>1062</v>
      </c>
      <c r="H1612" t="str">
        <f>_xlfn.XLOOKUP(tblOrders[[#This Row],[ProductID]],tblProducts[ProductID],tblProducts[ProductName],"not found")</f>
        <v>Well</v>
      </c>
      <c r="I1612" t="str">
        <f>_xlfn.XLOOKUP(tblOrders[[#This Row],[ProductID]],tblProducts[ProductID],tblProducts[Category],"not found")</f>
        <v>Apparel</v>
      </c>
      <c r="J1612">
        <f>_xlfn.XLOOKUP(tblOrders[[#This Row],[ProductID]],tblProducts[ProductID],tblProducts[UnitPrice],"not found")</f>
        <v>416.54</v>
      </c>
      <c r="K1612" t="str">
        <f>_xlfn.XLOOKUP(tblOrders[[#This Row],[ProductID]],tblProducts[ProductID],tblProducts[Supplier],"not found")</f>
        <v>Garcia-Clark</v>
      </c>
      <c r="L1612" s="1">
        <v>45512</v>
      </c>
      <c r="M16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45512</v>
      </c>
      <c r="N1612">
        <v>7</v>
      </c>
      <c r="O1612">
        <v>2915.78</v>
      </c>
      <c r="P1612">
        <f>tblOrders[[#This Row],[Quantity]]*tblOrders[[#This Row],[Unit Price]]</f>
        <v>2915.78</v>
      </c>
      <c r="Q1612">
        <f>tblOrders[[#This Row],[TotalSales]]-tblOrders[[#This Row],[Calculated Sales]]</f>
        <v>0</v>
      </c>
    </row>
    <row r="1613" spans="1:17" x14ac:dyDescent="0.25">
      <c r="A1613">
        <v>1907</v>
      </c>
      <c r="B1613">
        <v>116</v>
      </c>
      <c r="C1613" t="str">
        <f>_xlfn.XLOOKUP(tblOrders[[#This Row],[CustomerID]],tblCustomers[CustomerID],tblCustomers[CustomerName],"not found")</f>
        <v>Samantha Hood</v>
      </c>
      <c r="D1613">
        <f>_xlfn.XLOOKUP(tblOrders[[#This Row],[CustomerID]],tblCustomers[CustomerID],tblCustomers[Age],"not found")</f>
        <v>66</v>
      </c>
      <c r="E1613" t="str">
        <f>_xlfn.XLOOKUP(tblOrders[[#This Row],[CustomerID]],tblCustomers[CustomerID],tblCustomers[Gender],"not found")</f>
        <v>Female</v>
      </c>
      <c r="F1613" t="str">
        <f>_xlfn.XLOOKUP(tblOrders[[#This Row],[CustomerID]],tblCustomers[CustomerID],tblCustomers[Region],"not found")</f>
        <v>East</v>
      </c>
      <c r="G1613">
        <v>1062</v>
      </c>
      <c r="H1613" t="str">
        <f>_xlfn.XLOOKUP(tblOrders[[#This Row],[ProductID]],tblProducts[ProductID],tblProducts[ProductName],"not found")</f>
        <v>Well</v>
      </c>
      <c r="I1613" t="str">
        <f>_xlfn.XLOOKUP(tblOrders[[#This Row],[ProductID]],tblProducts[ProductID],tblProducts[Category],"not found")</f>
        <v>Apparel</v>
      </c>
      <c r="J1613">
        <f>_xlfn.XLOOKUP(tblOrders[[#This Row],[ProductID]],tblProducts[ProductID],tblProducts[UnitPrice],"not found")</f>
        <v>416.54</v>
      </c>
      <c r="K1613" t="str">
        <f>_xlfn.XLOOKUP(tblOrders[[#This Row],[ProductID]],tblProducts[ProductID],tblProducts[Supplier],"not found")</f>
        <v>Garcia-Clark</v>
      </c>
      <c r="L1613" s="1">
        <v>45149</v>
      </c>
      <c r="M16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45149</v>
      </c>
      <c r="N1613">
        <v>1</v>
      </c>
      <c r="O1613">
        <v>416.54</v>
      </c>
      <c r="P1613">
        <f>tblOrders[[#This Row],[Quantity]]*tblOrders[[#This Row],[Unit Price]]</f>
        <v>416.54</v>
      </c>
      <c r="Q1613">
        <f>tblOrders[[#This Row],[TotalSales]]-tblOrders[[#This Row],[Calculated Sales]]</f>
        <v>0</v>
      </c>
    </row>
    <row r="1614" spans="1:17" x14ac:dyDescent="0.25">
      <c r="A1614">
        <v>1943</v>
      </c>
      <c r="B1614">
        <v>999</v>
      </c>
      <c r="C1614" t="str">
        <f>_xlfn.XLOOKUP(tblOrders[[#This Row],[CustomerID]],tblCustomers[CustomerID],tblCustomers[CustomerName],"not found")</f>
        <v>Amy Jackson</v>
      </c>
      <c r="D1614">
        <f>_xlfn.XLOOKUP(tblOrders[[#This Row],[CustomerID]],tblCustomers[CustomerID],tblCustomers[Age],"not found")</f>
        <v>65</v>
      </c>
      <c r="E1614" t="str">
        <f>_xlfn.XLOOKUP(tblOrders[[#This Row],[CustomerID]],tblCustomers[CustomerID],tblCustomers[Gender],"not found")</f>
        <v>Male</v>
      </c>
      <c r="F1614" t="str">
        <f>_xlfn.XLOOKUP(tblOrders[[#This Row],[CustomerID]],tblCustomers[CustomerID],tblCustomers[Region],"not found")</f>
        <v>Central</v>
      </c>
      <c r="G1614">
        <v>1062</v>
      </c>
      <c r="H1614" t="str">
        <f>_xlfn.XLOOKUP(tblOrders[[#This Row],[ProductID]],tblProducts[ProductID],tblProducts[ProductName],"not found")</f>
        <v>Well</v>
      </c>
      <c r="I1614" t="str">
        <f>_xlfn.XLOOKUP(tblOrders[[#This Row],[ProductID]],tblProducts[ProductID],tblProducts[Category],"not found")</f>
        <v>Apparel</v>
      </c>
      <c r="J1614">
        <f>_xlfn.XLOOKUP(tblOrders[[#This Row],[ProductID]],tblProducts[ProductID],tblProducts[UnitPrice],"not found")</f>
        <v>416.54</v>
      </c>
      <c r="K1614" t="str">
        <f>_xlfn.XLOOKUP(tblOrders[[#This Row],[ProductID]],tblProducts[ProductID],tblProducts[Supplier],"not found")</f>
        <v>Garcia-Clark</v>
      </c>
      <c r="L1614" s="1">
        <v>45599</v>
      </c>
      <c r="M16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45599</v>
      </c>
      <c r="N1614">
        <v>5</v>
      </c>
      <c r="O1614">
        <v>2082.6999999999998</v>
      </c>
      <c r="P1614">
        <f>tblOrders[[#This Row],[Quantity]]*tblOrders[[#This Row],[Unit Price]]</f>
        <v>2082.7000000000003</v>
      </c>
      <c r="Q1614">
        <f>tblOrders[[#This Row],[TotalSales]]-tblOrders[[#This Row],[Calculated Sales]]</f>
        <v>0</v>
      </c>
    </row>
    <row r="1615" spans="1:17" x14ac:dyDescent="0.25">
      <c r="A1615">
        <v>1999</v>
      </c>
      <c r="B1615">
        <v>309</v>
      </c>
      <c r="C1615" t="str">
        <f>_xlfn.XLOOKUP(tblOrders[[#This Row],[CustomerID]],tblCustomers[CustomerID],tblCustomers[CustomerName],"not found")</f>
        <v>Carrie Rowe</v>
      </c>
      <c r="D1615">
        <f>_xlfn.XLOOKUP(tblOrders[[#This Row],[CustomerID]],tblCustomers[CustomerID],tblCustomers[Age],"not found")</f>
        <v>35</v>
      </c>
      <c r="E1615" t="str">
        <f>_xlfn.XLOOKUP(tblOrders[[#This Row],[CustomerID]],tblCustomers[CustomerID],tblCustomers[Gender],"not found")</f>
        <v>Female</v>
      </c>
      <c r="F1615" t="str">
        <f>_xlfn.XLOOKUP(tblOrders[[#This Row],[CustomerID]],tblCustomers[CustomerID],tblCustomers[Region],"not found")</f>
        <v>West</v>
      </c>
      <c r="G1615">
        <v>1062</v>
      </c>
      <c r="H1615" t="str">
        <f>_xlfn.XLOOKUP(tblOrders[[#This Row],[ProductID]],tblProducts[ProductID],tblProducts[ProductName],"not found")</f>
        <v>Well</v>
      </c>
      <c r="I1615" t="str">
        <f>_xlfn.XLOOKUP(tblOrders[[#This Row],[ProductID]],tblProducts[ProductID],tblProducts[Category],"not found")</f>
        <v>Apparel</v>
      </c>
      <c r="J1615">
        <f>_xlfn.XLOOKUP(tblOrders[[#This Row],[ProductID]],tblProducts[ProductID],tblProducts[UnitPrice],"not found")</f>
        <v>416.54</v>
      </c>
      <c r="K1615" t="str">
        <f>_xlfn.XLOOKUP(tblOrders[[#This Row],[ProductID]],tblProducts[ProductID],tblProducts[Supplier],"not found")</f>
        <v>Garcia-Clark</v>
      </c>
      <c r="L1615" s="1">
        <v>45509</v>
      </c>
      <c r="M16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45509</v>
      </c>
      <c r="N1615">
        <v>6</v>
      </c>
      <c r="O1615">
        <v>2499.2399999999998</v>
      </c>
      <c r="P1615">
        <f>tblOrders[[#This Row],[Quantity]]*tblOrders[[#This Row],[Unit Price]]</f>
        <v>2499.2400000000002</v>
      </c>
      <c r="Q1615">
        <f>tblOrders[[#This Row],[TotalSales]]-tblOrders[[#This Row],[Calculated Sales]]</f>
        <v>0</v>
      </c>
    </row>
    <row r="1616" spans="1:17" x14ac:dyDescent="0.25">
      <c r="A1616">
        <v>143</v>
      </c>
      <c r="B1616">
        <v>377</v>
      </c>
      <c r="C1616" t="str">
        <f>_xlfn.XLOOKUP(tblOrders[[#This Row],[CustomerID]],tblCustomers[CustomerID],tblCustomers[CustomerName],"not found")</f>
        <v>Dr. Colton Schneider DDS</v>
      </c>
      <c r="D1616">
        <f>_xlfn.XLOOKUP(tblOrders[[#This Row],[CustomerID]],tblCustomers[CustomerID],tblCustomers[Age],"not found")</f>
        <v>66</v>
      </c>
      <c r="E1616" t="str">
        <f>_xlfn.XLOOKUP(tblOrders[[#This Row],[CustomerID]],tblCustomers[CustomerID],tblCustomers[Gender],"not found")</f>
        <v>Female</v>
      </c>
      <c r="F1616" t="str">
        <f>_xlfn.XLOOKUP(tblOrders[[#This Row],[CustomerID]],tblCustomers[CustomerID],tblCustomers[Region],"not found")</f>
        <v>North</v>
      </c>
      <c r="G1616">
        <v>1078</v>
      </c>
      <c r="H1616" t="str">
        <f>_xlfn.XLOOKUP(tblOrders[[#This Row],[ProductID]],tblProducts[ProductID],tblProducts[ProductName],"not found")</f>
        <v>Allow</v>
      </c>
      <c r="I1616" t="str">
        <f>_xlfn.XLOOKUP(tblOrders[[#This Row],[ProductID]],tblProducts[ProductID],tblProducts[Category],"not found")</f>
        <v>Apparel</v>
      </c>
      <c r="J1616">
        <f>_xlfn.XLOOKUP(tblOrders[[#This Row],[ProductID]],tblProducts[ProductID],tblProducts[UnitPrice],"not found")</f>
        <v>40.01</v>
      </c>
      <c r="K1616" t="str">
        <f>_xlfn.XLOOKUP(tblOrders[[#This Row],[ProductID]],tblProducts[ProductID],tblProducts[Supplier],"not found")</f>
        <v>Owens, Gordon and Graves</v>
      </c>
      <c r="L1616" s="1" t="s">
        <v>2071</v>
      </c>
      <c r="M16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45555</v>
      </c>
      <c r="N1616">
        <v>1</v>
      </c>
      <c r="O1616">
        <v>40.01</v>
      </c>
      <c r="P1616">
        <f>tblOrders[[#This Row],[Quantity]]*tblOrders[[#This Row],[Unit Price]]</f>
        <v>40.01</v>
      </c>
      <c r="Q1616">
        <f>tblOrders[[#This Row],[TotalSales]]-tblOrders[[#This Row],[Calculated Sales]]</f>
        <v>0</v>
      </c>
    </row>
    <row r="1617" spans="1:17" x14ac:dyDescent="0.25">
      <c r="A1617">
        <v>167</v>
      </c>
      <c r="B1617">
        <v>314</v>
      </c>
      <c r="C1617" t="str">
        <f>_xlfn.XLOOKUP(tblOrders[[#This Row],[CustomerID]],tblCustomers[CustomerID],tblCustomers[CustomerName],"not found")</f>
        <v>Douglas Kelly</v>
      </c>
      <c r="D1617">
        <f>_xlfn.XLOOKUP(tblOrders[[#This Row],[CustomerID]],tblCustomers[CustomerID],tblCustomers[Age],"not found")</f>
        <v>23</v>
      </c>
      <c r="E1617" t="str">
        <f>_xlfn.XLOOKUP(tblOrders[[#This Row],[CustomerID]],tblCustomers[CustomerID],tblCustomers[Gender],"not found")</f>
        <v>Male</v>
      </c>
      <c r="F1617" t="str">
        <f>_xlfn.XLOOKUP(tblOrders[[#This Row],[CustomerID]],tblCustomers[CustomerID],tblCustomers[Region],"not found")</f>
        <v>West</v>
      </c>
      <c r="G1617">
        <v>1078</v>
      </c>
      <c r="H1617" t="str">
        <f>_xlfn.XLOOKUP(tblOrders[[#This Row],[ProductID]],tblProducts[ProductID],tblProducts[ProductName],"not found")</f>
        <v>Allow</v>
      </c>
      <c r="I1617" t="str">
        <f>_xlfn.XLOOKUP(tblOrders[[#This Row],[ProductID]],tblProducts[ProductID],tblProducts[Category],"not found")</f>
        <v>Apparel</v>
      </c>
      <c r="J1617">
        <f>_xlfn.XLOOKUP(tblOrders[[#This Row],[ProductID]],tblProducts[ProductID],tblProducts[UnitPrice],"not found")</f>
        <v>40.01</v>
      </c>
      <c r="K1617" t="str">
        <f>_xlfn.XLOOKUP(tblOrders[[#This Row],[ProductID]],tblProducts[ProductID],tblProducts[Supplier],"not found")</f>
        <v>Owens, Gordon and Graves</v>
      </c>
      <c r="L1617" s="1">
        <v>45636</v>
      </c>
      <c r="M16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45636</v>
      </c>
      <c r="N1617">
        <v>5</v>
      </c>
      <c r="O1617">
        <v>200.05</v>
      </c>
      <c r="P1617">
        <f>tblOrders[[#This Row],[Quantity]]*tblOrders[[#This Row],[Unit Price]]</f>
        <v>200.04999999999998</v>
      </c>
      <c r="Q1617">
        <f>tblOrders[[#This Row],[TotalSales]]-tblOrders[[#This Row],[Calculated Sales]]</f>
        <v>0</v>
      </c>
    </row>
    <row r="1618" spans="1:17" x14ac:dyDescent="0.25">
      <c r="A1618">
        <v>221</v>
      </c>
      <c r="B1618">
        <v>705</v>
      </c>
      <c r="C1618" t="str">
        <f>_xlfn.XLOOKUP(tblOrders[[#This Row],[CustomerID]],tblCustomers[CustomerID],tblCustomers[CustomerName],"not found")</f>
        <v>John Brown</v>
      </c>
      <c r="D1618">
        <f>_xlfn.XLOOKUP(tblOrders[[#This Row],[CustomerID]],tblCustomers[CustomerID],tblCustomers[Age],"not found")</f>
        <v>50</v>
      </c>
      <c r="E1618" t="str">
        <f>_xlfn.XLOOKUP(tblOrders[[#This Row],[CustomerID]],tblCustomers[CustomerID],tblCustomers[Gender],"not found")</f>
        <v>Female</v>
      </c>
      <c r="F1618" t="str">
        <f>_xlfn.XLOOKUP(tblOrders[[#This Row],[CustomerID]],tblCustomers[CustomerID],tblCustomers[Region],"not found")</f>
        <v>Central</v>
      </c>
      <c r="G1618">
        <v>1078</v>
      </c>
      <c r="H1618" t="str">
        <f>_xlfn.XLOOKUP(tblOrders[[#This Row],[ProductID]],tblProducts[ProductID],tblProducts[ProductName],"not found")</f>
        <v>Allow</v>
      </c>
      <c r="I1618" t="str">
        <f>_xlfn.XLOOKUP(tblOrders[[#This Row],[ProductID]],tblProducts[ProductID],tblProducts[Category],"not found")</f>
        <v>Apparel</v>
      </c>
      <c r="J1618">
        <f>_xlfn.XLOOKUP(tblOrders[[#This Row],[ProductID]],tblProducts[ProductID],tblProducts[UnitPrice],"not found")</f>
        <v>40.01</v>
      </c>
      <c r="K1618" t="str">
        <f>_xlfn.XLOOKUP(tblOrders[[#This Row],[ProductID]],tblProducts[ProductID],tblProducts[Supplier],"not found")</f>
        <v>Owens, Gordon and Graves</v>
      </c>
      <c r="L1618" s="1">
        <v>45049</v>
      </c>
      <c r="M16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45049</v>
      </c>
      <c r="N1618">
        <v>1</v>
      </c>
      <c r="O1618">
        <v>40.01</v>
      </c>
      <c r="P1618">
        <f>tblOrders[[#This Row],[Quantity]]*tblOrders[[#This Row],[Unit Price]]</f>
        <v>40.01</v>
      </c>
      <c r="Q1618">
        <f>tblOrders[[#This Row],[TotalSales]]-tblOrders[[#This Row],[Calculated Sales]]</f>
        <v>0</v>
      </c>
    </row>
    <row r="1619" spans="1:17" x14ac:dyDescent="0.25">
      <c r="A1619">
        <v>246</v>
      </c>
      <c r="B1619">
        <v>554</v>
      </c>
      <c r="C1619" t="str">
        <f>_xlfn.XLOOKUP(tblOrders[[#This Row],[CustomerID]],tblCustomers[CustomerID],tblCustomers[CustomerName],"not found")</f>
        <v>Mary Berry</v>
      </c>
      <c r="D1619">
        <f>_xlfn.XLOOKUP(tblOrders[[#This Row],[CustomerID]],tblCustomers[CustomerID],tblCustomers[Age],"not found")</f>
        <v>33</v>
      </c>
      <c r="E1619" t="str">
        <f>_xlfn.XLOOKUP(tblOrders[[#This Row],[CustomerID]],tblCustomers[CustomerID],tblCustomers[Gender],"not found")</f>
        <v>Male</v>
      </c>
      <c r="F1619" t="str">
        <f>_xlfn.XLOOKUP(tblOrders[[#This Row],[CustomerID]],tblCustomers[CustomerID],tblCustomers[Region],"not found")</f>
        <v>West</v>
      </c>
      <c r="G1619">
        <v>1078</v>
      </c>
      <c r="H1619" t="str">
        <f>_xlfn.XLOOKUP(tblOrders[[#This Row],[ProductID]],tblProducts[ProductID],tblProducts[ProductName],"not found")</f>
        <v>Allow</v>
      </c>
      <c r="I1619" t="str">
        <f>_xlfn.XLOOKUP(tblOrders[[#This Row],[ProductID]],tblProducts[ProductID],tblProducts[Category],"not found")</f>
        <v>Apparel</v>
      </c>
      <c r="J1619">
        <f>_xlfn.XLOOKUP(tblOrders[[#This Row],[ProductID]],tblProducts[ProductID],tblProducts[UnitPrice],"not found")</f>
        <v>40.01</v>
      </c>
      <c r="K1619" t="str">
        <f>_xlfn.XLOOKUP(tblOrders[[#This Row],[ProductID]],tblProducts[ProductID],tblProducts[Supplier],"not found")</f>
        <v>Owens, Gordon and Graves</v>
      </c>
      <c r="L1619" s="1" t="s">
        <v>2400</v>
      </c>
      <c r="M16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45274</v>
      </c>
      <c r="N1619">
        <v>8</v>
      </c>
      <c r="O1619">
        <v>320.08</v>
      </c>
      <c r="P1619">
        <f>tblOrders[[#This Row],[Quantity]]*tblOrders[[#This Row],[Unit Price]]</f>
        <v>320.08</v>
      </c>
      <c r="Q1619">
        <f>tblOrders[[#This Row],[TotalSales]]-tblOrders[[#This Row],[Calculated Sales]]</f>
        <v>0</v>
      </c>
    </row>
    <row r="1620" spans="1:17" x14ac:dyDescent="0.25">
      <c r="A1620">
        <v>282</v>
      </c>
      <c r="B1620">
        <v>372</v>
      </c>
      <c r="C1620" t="str">
        <f>_xlfn.XLOOKUP(tblOrders[[#This Row],[CustomerID]],tblCustomers[CustomerID],tblCustomers[CustomerName],"not found")</f>
        <v>Whitney Daniels</v>
      </c>
      <c r="D1620">
        <f>_xlfn.XLOOKUP(tblOrders[[#This Row],[CustomerID]],tblCustomers[CustomerID],tblCustomers[Age],"not found")</f>
        <v>50</v>
      </c>
      <c r="E1620" t="str">
        <f>_xlfn.XLOOKUP(tblOrders[[#This Row],[CustomerID]],tblCustomers[CustomerID],tblCustomers[Gender],"not found")</f>
        <v>Female</v>
      </c>
      <c r="F1620" t="str">
        <f>_xlfn.XLOOKUP(tblOrders[[#This Row],[CustomerID]],tblCustomers[CustomerID],tblCustomers[Region],"not found")</f>
        <v>Central</v>
      </c>
      <c r="G1620">
        <v>1078</v>
      </c>
      <c r="H1620" t="str">
        <f>_xlfn.XLOOKUP(tblOrders[[#This Row],[ProductID]],tblProducts[ProductID],tblProducts[ProductName],"not found")</f>
        <v>Allow</v>
      </c>
      <c r="I1620" t="str">
        <f>_xlfn.XLOOKUP(tblOrders[[#This Row],[ProductID]],tblProducts[ProductID],tblProducts[Category],"not found")</f>
        <v>Apparel</v>
      </c>
      <c r="J1620">
        <f>_xlfn.XLOOKUP(tblOrders[[#This Row],[ProductID]],tblProducts[ProductID],tblProducts[UnitPrice],"not found")</f>
        <v>40.01</v>
      </c>
      <c r="K1620" t="str">
        <f>_xlfn.XLOOKUP(tblOrders[[#This Row],[ProductID]],tblProducts[ProductID],tblProducts[Supplier],"not found")</f>
        <v>Owens, Gordon and Graves</v>
      </c>
      <c r="L1620" s="1" t="s">
        <v>2026</v>
      </c>
      <c r="M16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44940</v>
      </c>
      <c r="N1620">
        <v>7</v>
      </c>
      <c r="O1620">
        <v>280.07</v>
      </c>
      <c r="P1620">
        <f>tblOrders[[#This Row],[Quantity]]*tblOrders[[#This Row],[Unit Price]]</f>
        <v>280.07</v>
      </c>
      <c r="Q1620">
        <f>tblOrders[[#This Row],[TotalSales]]-tblOrders[[#This Row],[Calculated Sales]]</f>
        <v>0</v>
      </c>
    </row>
    <row r="1621" spans="1:17" x14ac:dyDescent="0.25">
      <c r="A1621">
        <v>306</v>
      </c>
      <c r="B1621">
        <v>157</v>
      </c>
      <c r="C1621" t="str">
        <f>_xlfn.XLOOKUP(tblOrders[[#This Row],[CustomerID]],tblCustomers[CustomerID],tblCustomers[CustomerName],"not found")</f>
        <v>Edwin Smith</v>
      </c>
      <c r="D1621">
        <f>_xlfn.XLOOKUP(tblOrders[[#This Row],[CustomerID]],tblCustomers[CustomerID],tblCustomers[Age],"not found")</f>
        <v>42</v>
      </c>
      <c r="E1621" t="str">
        <f>_xlfn.XLOOKUP(tblOrders[[#This Row],[CustomerID]],tblCustomers[CustomerID],tblCustomers[Gender],"not found")</f>
        <v>Male</v>
      </c>
      <c r="F1621" t="str">
        <f>_xlfn.XLOOKUP(tblOrders[[#This Row],[CustomerID]],tblCustomers[CustomerID],tblCustomers[Region],"not found")</f>
        <v>East</v>
      </c>
      <c r="G1621">
        <v>1078</v>
      </c>
      <c r="H1621" t="str">
        <f>_xlfn.XLOOKUP(tblOrders[[#This Row],[ProductID]],tblProducts[ProductID],tblProducts[ProductName],"not found")</f>
        <v>Allow</v>
      </c>
      <c r="I1621" t="str">
        <f>_xlfn.XLOOKUP(tblOrders[[#This Row],[ProductID]],tblProducts[ProductID],tblProducts[Category],"not found")</f>
        <v>Apparel</v>
      </c>
      <c r="J1621">
        <f>_xlfn.XLOOKUP(tblOrders[[#This Row],[ProductID]],tblProducts[ProductID],tblProducts[UnitPrice],"not found")</f>
        <v>40.01</v>
      </c>
      <c r="K1621" t="str">
        <f>_xlfn.XLOOKUP(tblOrders[[#This Row],[ProductID]],tblProducts[ProductID],tblProducts[Supplier],"not found")</f>
        <v>Owens, Gordon and Graves</v>
      </c>
      <c r="L1621" s="1">
        <v>45385</v>
      </c>
      <c r="M16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45385</v>
      </c>
      <c r="N1621">
        <v>5</v>
      </c>
      <c r="O1621">
        <v>200.05</v>
      </c>
      <c r="P1621">
        <f>tblOrders[[#This Row],[Quantity]]*tblOrders[[#This Row],[Unit Price]]</f>
        <v>200.04999999999998</v>
      </c>
      <c r="Q1621">
        <f>tblOrders[[#This Row],[TotalSales]]-tblOrders[[#This Row],[Calculated Sales]]</f>
        <v>0</v>
      </c>
    </row>
    <row r="1622" spans="1:17" x14ac:dyDescent="0.25">
      <c r="A1622">
        <v>451</v>
      </c>
      <c r="B1622">
        <v>243</v>
      </c>
      <c r="C1622" t="str">
        <f>_xlfn.XLOOKUP(tblOrders[[#This Row],[CustomerID]],tblCustomers[CustomerID],tblCustomers[CustomerName],"not found")</f>
        <v>Emily Watson</v>
      </c>
      <c r="D1622">
        <f>_xlfn.XLOOKUP(tblOrders[[#This Row],[CustomerID]],tblCustomers[CustomerID],tblCustomers[Age],"not found")</f>
        <v>46</v>
      </c>
      <c r="E1622" t="str">
        <f>_xlfn.XLOOKUP(tblOrders[[#This Row],[CustomerID]],tblCustomers[CustomerID],tblCustomers[Gender],"not found")</f>
        <v>Male</v>
      </c>
      <c r="F1622" t="str">
        <f>_xlfn.XLOOKUP(tblOrders[[#This Row],[CustomerID]],tblCustomers[CustomerID],tblCustomers[Region],"not found")</f>
        <v>South</v>
      </c>
      <c r="G1622">
        <v>1078</v>
      </c>
      <c r="H1622" t="str">
        <f>_xlfn.XLOOKUP(tblOrders[[#This Row],[ProductID]],tblProducts[ProductID],tblProducts[ProductName],"not found")</f>
        <v>Allow</v>
      </c>
      <c r="I1622" t="str">
        <f>_xlfn.XLOOKUP(tblOrders[[#This Row],[ProductID]],tblProducts[ProductID],tblProducts[Category],"not found")</f>
        <v>Apparel</v>
      </c>
      <c r="J1622">
        <f>_xlfn.XLOOKUP(tblOrders[[#This Row],[ProductID]],tblProducts[ProductID],tblProducts[UnitPrice],"not found")</f>
        <v>40.01</v>
      </c>
      <c r="K1622" t="str">
        <f>_xlfn.XLOOKUP(tblOrders[[#This Row],[ProductID]],tblProducts[ProductID],tblProducts[Supplier],"not found")</f>
        <v>Owens, Gordon and Graves</v>
      </c>
      <c r="L1622" s="1">
        <v>45574</v>
      </c>
      <c r="M16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45574</v>
      </c>
      <c r="N1622">
        <v>9</v>
      </c>
      <c r="O1622">
        <v>360.09</v>
      </c>
      <c r="P1622">
        <f>tblOrders[[#This Row],[Quantity]]*tblOrders[[#This Row],[Unit Price]]</f>
        <v>360.09</v>
      </c>
      <c r="Q1622">
        <f>tblOrders[[#This Row],[TotalSales]]-tblOrders[[#This Row],[Calculated Sales]]</f>
        <v>0</v>
      </c>
    </row>
    <row r="1623" spans="1:17" x14ac:dyDescent="0.25">
      <c r="A1623">
        <v>720</v>
      </c>
      <c r="B1623">
        <v>852</v>
      </c>
      <c r="C1623" t="str">
        <f>_xlfn.XLOOKUP(tblOrders[[#This Row],[CustomerID]],tblCustomers[CustomerID],tblCustomers[CustomerName],"not found")</f>
        <v>Amber Aguirre</v>
      </c>
      <c r="D1623">
        <f>_xlfn.XLOOKUP(tblOrders[[#This Row],[CustomerID]],tblCustomers[CustomerID],tblCustomers[Age],"not found")</f>
        <v>40</v>
      </c>
      <c r="E1623" t="str">
        <f>_xlfn.XLOOKUP(tblOrders[[#This Row],[CustomerID]],tblCustomers[CustomerID],tblCustomers[Gender],"not found")</f>
        <v>Female</v>
      </c>
      <c r="F1623" t="str">
        <f>_xlfn.XLOOKUP(tblOrders[[#This Row],[CustomerID]],tblCustomers[CustomerID],tblCustomers[Region],"not found")</f>
        <v>North</v>
      </c>
      <c r="G1623">
        <v>1078</v>
      </c>
      <c r="H1623" t="str">
        <f>_xlfn.XLOOKUP(tblOrders[[#This Row],[ProductID]],tblProducts[ProductID],tblProducts[ProductName],"not found")</f>
        <v>Allow</v>
      </c>
      <c r="I1623" t="str">
        <f>_xlfn.XLOOKUP(tblOrders[[#This Row],[ProductID]],tblProducts[ProductID],tblProducts[Category],"not found")</f>
        <v>Apparel</v>
      </c>
      <c r="J1623">
        <f>_xlfn.XLOOKUP(tblOrders[[#This Row],[ProductID]],tblProducts[ProductID],tblProducts[UnitPrice],"not found")</f>
        <v>40.01</v>
      </c>
      <c r="K1623" t="str">
        <f>_xlfn.XLOOKUP(tblOrders[[#This Row],[ProductID]],tblProducts[ProductID],tblProducts[Supplier],"not found")</f>
        <v>Owens, Gordon and Graves</v>
      </c>
      <c r="L1623" s="1">
        <v>45483</v>
      </c>
      <c r="M16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45483</v>
      </c>
      <c r="N1623">
        <v>8</v>
      </c>
      <c r="O1623">
        <v>320.08</v>
      </c>
      <c r="P1623">
        <f>tblOrders[[#This Row],[Quantity]]*tblOrders[[#This Row],[Unit Price]]</f>
        <v>320.08</v>
      </c>
      <c r="Q1623">
        <f>tblOrders[[#This Row],[TotalSales]]-tblOrders[[#This Row],[Calculated Sales]]</f>
        <v>0</v>
      </c>
    </row>
    <row r="1624" spans="1:17" x14ac:dyDescent="0.25">
      <c r="A1624">
        <v>721</v>
      </c>
      <c r="B1624">
        <v>792</v>
      </c>
      <c r="C1624" t="str">
        <f>_xlfn.XLOOKUP(tblOrders[[#This Row],[CustomerID]],tblCustomers[CustomerID],tblCustomers[CustomerName],"not found")</f>
        <v>Stephanie Garcia</v>
      </c>
      <c r="D1624">
        <f>_xlfn.XLOOKUP(tblOrders[[#This Row],[CustomerID]],tblCustomers[CustomerID],tblCustomers[Age],"not found")</f>
        <v>29</v>
      </c>
      <c r="E1624" t="str">
        <f>_xlfn.XLOOKUP(tblOrders[[#This Row],[CustomerID]],tblCustomers[CustomerID],tblCustomers[Gender],"not found")</f>
        <v>Male</v>
      </c>
      <c r="F1624" t="str">
        <f>_xlfn.XLOOKUP(tblOrders[[#This Row],[CustomerID]],tblCustomers[CustomerID],tblCustomers[Region],"not found")</f>
        <v>East</v>
      </c>
      <c r="G1624">
        <v>1078</v>
      </c>
      <c r="H1624" t="str">
        <f>_xlfn.XLOOKUP(tblOrders[[#This Row],[ProductID]],tblProducts[ProductID],tblProducts[ProductName],"not found")</f>
        <v>Allow</v>
      </c>
      <c r="I1624" t="str">
        <f>_xlfn.XLOOKUP(tblOrders[[#This Row],[ProductID]],tblProducts[ProductID],tblProducts[Category],"not found")</f>
        <v>Apparel</v>
      </c>
      <c r="J1624">
        <f>_xlfn.XLOOKUP(tblOrders[[#This Row],[ProductID]],tblProducts[ProductID],tblProducts[UnitPrice],"not found")</f>
        <v>40.01</v>
      </c>
      <c r="K1624" t="str">
        <f>_xlfn.XLOOKUP(tblOrders[[#This Row],[ProductID]],tblProducts[ProductID],tblProducts[Supplier],"not found")</f>
        <v>Owens, Gordon and Graves</v>
      </c>
      <c r="L1624" s="1" t="s">
        <v>2142</v>
      </c>
      <c r="M16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45284</v>
      </c>
      <c r="N1624">
        <v>6</v>
      </c>
      <c r="O1624">
        <v>240.06</v>
      </c>
      <c r="P1624">
        <f>tblOrders[[#This Row],[Quantity]]*tblOrders[[#This Row],[Unit Price]]</f>
        <v>240.06</v>
      </c>
      <c r="Q1624">
        <f>tblOrders[[#This Row],[TotalSales]]-tblOrders[[#This Row],[Calculated Sales]]</f>
        <v>0</v>
      </c>
    </row>
    <row r="1625" spans="1:17" x14ac:dyDescent="0.25">
      <c r="A1625">
        <v>871</v>
      </c>
      <c r="B1625">
        <v>979</v>
      </c>
      <c r="C1625" t="str">
        <f>_xlfn.XLOOKUP(tblOrders[[#This Row],[CustomerID]],tblCustomers[CustomerID],tblCustomers[CustomerName],"not found")</f>
        <v>Sheila Erickson</v>
      </c>
      <c r="D1625">
        <f>_xlfn.XLOOKUP(tblOrders[[#This Row],[CustomerID]],tblCustomers[CustomerID],tblCustomers[Age],"not found")</f>
        <v>38</v>
      </c>
      <c r="E1625" t="str">
        <f>_xlfn.XLOOKUP(tblOrders[[#This Row],[CustomerID]],tblCustomers[CustomerID],tblCustomers[Gender],"not found")</f>
        <v>Female</v>
      </c>
      <c r="F1625" t="str">
        <f>_xlfn.XLOOKUP(tblOrders[[#This Row],[CustomerID]],tblCustomers[CustomerID],tblCustomers[Region],"not found")</f>
        <v>South</v>
      </c>
      <c r="G1625">
        <v>1078</v>
      </c>
      <c r="H1625" t="str">
        <f>_xlfn.XLOOKUP(tblOrders[[#This Row],[ProductID]],tblProducts[ProductID],tblProducts[ProductName],"not found")</f>
        <v>Allow</v>
      </c>
      <c r="I1625" t="str">
        <f>_xlfn.XLOOKUP(tblOrders[[#This Row],[ProductID]],tblProducts[ProductID],tblProducts[Category],"not found")</f>
        <v>Apparel</v>
      </c>
      <c r="J1625">
        <f>_xlfn.XLOOKUP(tblOrders[[#This Row],[ProductID]],tblProducts[ProductID],tblProducts[UnitPrice],"not found")</f>
        <v>40.01</v>
      </c>
      <c r="K1625" t="str">
        <f>_xlfn.XLOOKUP(tblOrders[[#This Row],[ProductID]],tblProducts[ProductID],tblProducts[Supplier],"not found")</f>
        <v>Owens, Gordon and Graves</v>
      </c>
      <c r="L1625" s="1">
        <v>45630</v>
      </c>
      <c r="M16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45630</v>
      </c>
      <c r="N1625">
        <v>5</v>
      </c>
      <c r="O1625">
        <v>200.05</v>
      </c>
      <c r="P1625">
        <f>tblOrders[[#This Row],[Quantity]]*tblOrders[[#This Row],[Unit Price]]</f>
        <v>200.04999999999998</v>
      </c>
      <c r="Q1625">
        <f>tblOrders[[#This Row],[TotalSales]]-tblOrders[[#This Row],[Calculated Sales]]</f>
        <v>0</v>
      </c>
    </row>
    <row r="1626" spans="1:17" x14ac:dyDescent="0.25">
      <c r="A1626">
        <v>1010</v>
      </c>
      <c r="B1626">
        <v>411</v>
      </c>
      <c r="C1626" t="str">
        <f>_xlfn.XLOOKUP(tblOrders[[#This Row],[CustomerID]],tblCustomers[CustomerID],tblCustomers[CustomerName],"not found")</f>
        <v>Shelby Farmer</v>
      </c>
      <c r="D1626">
        <f>_xlfn.XLOOKUP(tblOrders[[#This Row],[CustomerID]],tblCustomers[CustomerID],tblCustomers[Age],"not found")</f>
        <v>52</v>
      </c>
      <c r="E1626" t="str">
        <f>_xlfn.XLOOKUP(tblOrders[[#This Row],[CustomerID]],tblCustomers[CustomerID],tblCustomers[Gender],"not found")</f>
        <v>Male</v>
      </c>
      <c r="F1626" t="str">
        <f>_xlfn.XLOOKUP(tblOrders[[#This Row],[CustomerID]],tblCustomers[CustomerID],tblCustomers[Region],"not found")</f>
        <v>West</v>
      </c>
      <c r="G1626">
        <v>1078</v>
      </c>
      <c r="H1626" t="str">
        <f>_xlfn.XLOOKUP(tblOrders[[#This Row],[ProductID]],tblProducts[ProductID],tblProducts[ProductName],"not found")</f>
        <v>Allow</v>
      </c>
      <c r="I1626" t="str">
        <f>_xlfn.XLOOKUP(tblOrders[[#This Row],[ProductID]],tblProducts[ProductID],tblProducts[Category],"not found")</f>
        <v>Apparel</v>
      </c>
      <c r="J1626">
        <f>_xlfn.XLOOKUP(tblOrders[[#This Row],[ProductID]],tblProducts[ProductID],tblProducts[UnitPrice],"not found")</f>
        <v>40.01</v>
      </c>
      <c r="K1626" t="str">
        <f>_xlfn.XLOOKUP(tblOrders[[#This Row],[ProductID]],tblProducts[ProductID],tblProducts[Supplier],"not found")</f>
        <v>Owens, Gordon and Graves</v>
      </c>
      <c r="L1626" s="1" t="s">
        <v>2174</v>
      </c>
      <c r="M16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45010</v>
      </c>
      <c r="N1626">
        <v>1</v>
      </c>
      <c r="O1626">
        <v>40.01</v>
      </c>
      <c r="P1626">
        <f>tblOrders[[#This Row],[Quantity]]*tblOrders[[#This Row],[Unit Price]]</f>
        <v>40.01</v>
      </c>
      <c r="Q1626">
        <f>tblOrders[[#This Row],[TotalSales]]-tblOrders[[#This Row],[Calculated Sales]]</f>
        <v>0</v>
      </c>
    </row>
    <row r="1627" spans="1:17" x14ac:dyDescent="0.25">
      <c r="A1627">
        <v>1115</v>
      </c>
      <c r="B1627">
        <v>790</v>
      </c>
      <c r="C1627" t="str">
        <f>_xlfn.XLOOKUP(tblOrders[[#This Row],[CustomerID]],tblCustomers[CustomerID],tblCustomers[CustomerName],"not found")</f>
        <v>Jennifer James</v>
      </c>
      <c r="D1627">
        <f>_xlfn.XLOOKUP(tblOrders[[#This Row],[CustomerID]],tblCustomers[CustomerID],tblCustomers[Age],"not found")</f>
        <v>19</v>
      </c>
      <c r="E1627" t="str">
        <f>_xlfn.XLOOKUP(tblOrders[[#This Row],[CustomerID]],tblCustomers[CustomerID],tblCustomers[Gender],"not found")</f>
        <v>Female</v>
      </c>
      <c r="F1627" t="str">
        <f>_xlfn.XLOOKUP(tblOrders[[#This Row],[CustomerID]],tblCustomers[CustomerID],tblCustomers[Region],"not found")</f>
        <v>West</v>
      </c>
      <c r="G1627">
        <v>1078</v>
      </c>
      <c r="H1627" t="str">
        <f>_xlfn.XLOOKUP(tblOrders[[#This Row],[ProductID]],tblProducts[ProductID],tblProducts[ProductName],"not found")</f>
        <v>Allow</v>
      </c>
      <c r="I1627" t="str">
        <f>_xlfn.XLOOKUP(tblOrders[[#This Row],[ProductID]],tblProducts[ProductID],tblProducts[Category],"not found")</f>
        <v>Apparel</v>
      </c>
      <c r="J1627">
        <f>_xlfn.XLOOKUP(tblOrders[[#This Row],[ProductID]],tblProducts[ProductID],tblProducts[UnitPrice],"not found")</f>
        <v>40.01</v>
      </c>
      <c r="K1627" t="str">
        <f>_xlfn.XLOOKUP(tblOrders[[#This Row],[ProductID]],tblProducts[ProductID],tblProducts[Supplier],"not found")</f>
        <v>Owens, Gordon and Graves</v>
      </c>
      <c r="L1627" s="1">
        <v>45240</v>
      </c>
      <c r="M16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45240</v>
      </c>
      <c r="N1627">
        <v>1</v>
      </c>
      <c r="O1627">
        <v>40.01</v>
      </c>
      <c r="P1627">
        <f>tblOrders[[#This Row],[Quantity]]*tblOrders[[#This Row],[Unit Price]]</f>
        <v>40.01</v>
      </c>
      <c r="Q1627">
        <f>tblOrders[[#This Row],[TotalSales]]-tblOrders[[#This Row],[Calculated Sales]]</f>
        <v>0</v>
      </c>
    </row>
    <row r="1628" spans="1:17" x14ac:dyDescent="0.25">
      <c r="A1628">
        <v>1461</v>
      </c>
      <c r="B1628">
        <v>306</v>
      </c>
      <c r="C1628" t="str">
        <f>_xlfn.XLOOKUP(tblOrders[[#This Row],[CustomerID]],tblCustomers[CustomerID],tblCustomers[CustomerName],"not found")</f>
        <v>Philip Meyers</v>
      </c>
      <c r="D1628">
        <f>_xlfn.XLOOKUP(tblOrders[[#This Row],[CustomerID]],tblCustomers[CustomerID],tblCustomers[Age],"not found")</f>
        <v>56</v>
      </c>
      <c r="E1628" t="str">
        <f>_xlfn.XLOOKUP(tblOrders[[#This Row],[CustomerID]],tblCustomers[CustomerID],tblCustomers[Gender],"not found")</f>
        <v>Male</v>
      </c>
      <c r="F1628" t="str">
        <f>_xlfn.XLOOKUP(tblOrders[[#This Row],[CustomerID]],tblCustomers[CustomerID],tblCustomers[Region],"not found")</f>
        <v>West</v>
      </c>
      <c r="G1628">
        <v>1078</v>
      </c>
      <c r="H1628" t="str">
        <f>_xlfn.XLOOKUP(tblOrders[[#This Row],[ProductID]],tblProducts[ProductID],tblProducts[ProductName],"not found")</f>
        <v>Allow</v>
      </c>
      <c r="I1628" t="str">
        <f>_xlfn.XLOOKUP(tblOrders[[#This Row],[ProductID]],tblProducts[ProductID],tblProducts[Category],"not found")</f>
        <v>Apparel</v>
      </c>
      <c r="J1628">
        <f>_xlfn.XLOOKUP(tblOrders[[#This Row],[ProductID]],tblProducts[ProductID],tblProducts[UnitPrice],"not found")</f>
        <v>40.01</v>
      </c>
      <c r="K1628" t="str">
        <f>_xlfn.XLOOKUP(tblOrders[[#This Row],[ProductID]],tblProducts[ProductID],tblProducts[Supplier],"not found")</f>
        <v>Owens, Gordon and Graves</v>
      </c>
      <c r="L1628" s="1" t="s">
        <v>2117</v>
      </c>
      <c r="M16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45254</v>
      </c>
      <c r="N1628">
        <v>1</v>
      </c>
      <c r="O1628">
        <v>40.01</v>
      </c>
      <c r="P1628">
        <f>tblOrders[[#This Row],[Quantity]]*tblOrders[[#This Row],[Unit Price]]</f>
        <v>40.01</v>
      </c>
      <c r="Q1628">
        <f>tblOrders[[#This Row],[TotalSales]]-tblOrders[[#This Row],[Calculated Sales]]</f>
        <v>0</v>
      </c>
    </row>
    <row r="1629" spans="1:17" x14ac:dyDescent="0.25">
      <c r="A1629">
        <v>1631</v>
      </c>
      <c r="B1629">
        <v>260</v>
      </c>
      <c r="C1629" t="str">
        <f>_xlfn.XLOOKUP(tblOrders[[#This Row],[CustomerID]],tblCustomers[CustomerID],tblCustomers[CustomerName],"not found")</f>
        <v>Robert Ward</v>
      </c>
      <c r="D1629">
        <f>_xlfn.XLOOKUP(tblOrders[[#This Row],[CustomerID]],tblCustomers[CustomerID],tblCustomers[Age],"not found")</f>
        <v>39</v>
      </c>
      <c r="E1629" t="str">
        <f>_xlfn.XLOOKUP(tblOrders[[#This Row],[CustomerID]],tblCustomers[CustomerID],tblCustomers[Gender],"not found")</f>
        <v>Male</v>
      </c>
      <c r="F1629" t="str">
        <f>_xlfn.XLOOKUP(tblOrders[[#This Row],[CustomerID]],tblCustomers[CustomerID],tblCustomers[Region],"not found")</f>
        <v>West</v>
      </c>
      <c r="G1629">
        <v>1078</v>
      </c>
      <c r="H1629" t="str">
        <f>_xlfn.XLOOKUP(tblOrders[[#This Row],[ProductID]],tblProducts[ProductID],tblProducts[ProductName],"not found")</f>
        <v>Allow</v>
      </c>
      <c r="I1629" t="str">
        <f>_xlfn.XLOOKUP(tblOrders[[#This Row],[ProductID]],tblProducts[ProductID],tblProducts[Category],"not found")</f>
        <v>Apparel</v>
      </c>
      <c r="J1629">
        <f>_xlfn.XLOOKUP(tblOrders[[#This Row],[ProductID]],tblProducts[ProductID],tblProducts[UnitPrice],"not found")</f>
        <v>40.01</v>
      </c>
      <c r="K1629" t="str">
        <f>_xlfn.XLOOKUP(tblOrders[[#This Row],[ProductID]],tblProducts[ProductID],tblProducts[Supplier],"not found")</f>
        <v>Owens, Gordon and Graves</v>
      </c>
      <c r="L1629" s="1" t="s">
        <v>2210</v>
      </c>
      <c r="M16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45374</v>
      </c>
      <c r="N1629">
        <v>3</v>
      </c>
      <c r="O1629">
        <v>120.03</v>
      </c>
      <c r="P1629">
        <f>tblOrders[[#This Row],[Quantity]]*tblOrders[[#This Row],[Unit Price]]</f>
        <v>120.03</v>
      </c>
      <c r="Q1629">
        <f>tblOrders[[#This Row],[TotalSales]]-tblOrders[[#This Row],[Calculated Sales]]</f>
        <v>0</v>
      </c>
    </row>
    <row r="1630" spans="1:17" x14ac:dyDescent="0.25">
      <c r="A1630">
        <v>1740</v>
      </c>
      <c r="B1630">
        <v>332</v>
      </c>
      <c r="C1630" t="str">
        <f>_xlfn.XLOOKUP(tblOrders[[#This Row],[CustomerID]],tblCustomers[CustomerID],tblCustomers[CustomerName],"not found")</f>
        <v>Joshua Carroll</v>
      </c>
      <c r="D1630">
        <f>_xlfn.XLOOKUP(tblOrders[[#This Row],[CustomerID]],tblCustomers[CustomerID],tblCustomers[Age],"not found")</f>
        <v>26</v>
      </c>
      <c r="E1630" t="str">
        <f>_xlfn.XLOOKUP(tblOrders[[#This Row],[CustomerID]],tblCustomers[CustomerID],tblCustomers[Gender],"not found")</f>
        <v>Male</v>
      </c>
      <c r="F1630" t="str">
        <f>_xlfn.XLOOKUP(tblOrders[[#This Row],[CustomerID]],tblCustomers[CustomerID],tblCustomers[Region],"not found")</f>
        <v>East</v>
      </c>
      <c r="G1630">
        <v>1078</v>
      </c>
      <c r="H1630" t="str">
        <f>_xlfn.XLOOKUP(tblOrders[[#This Row],[ProductID]],tblProducts[ProductID],tblProducts[ProductName],"not found")</f>
        <v>Allow</v>
      </c>
      <c r="I1630" t="str">
        <f>_xlfn.XLOOKUP(tblOrders[[#This Row],[ProductID]],tblProducts[ProductID],tblProducts[Category],"not found")</f>
        <v>Apparel</v>
      </c>
      <c r="J1630">
        <f>_xlfn.XLOOKUP(tblOrders[[#This Row],[ProductID]],tblProducts[ProductID],tblProducts[UnitPrice],"not found")</f>
        <v>40.01</v>
      </c>
      <c r="K1630" t="str">
        <f>_xlfn.XLOOKUP(tblOrders[[#This Row],[ProductID]],tblProducts[ProductID],tblProducts[Supplier],"not found")</f>
        <v>Owens, Gordon and Graves</v>
      </c>
      <c r="L1630" s="1" t="s">
        <v>2320</v>
      </c>
      <c r="M16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45075</v>
      </c>
      <c r="N1630">
        <v>7</v>
      </c>
      <c r="O1630">
        <v>280.07</v>
      </c>
      <c r="P1630">
        <f>tblOrders[[#This Row],[Quantity]]*tblOrders[[#This Row],[Unit Price]]</f>
        <v>280.07</v>
      </c>
      <c r="Q1630">
        <f>tblOrders[[#This Row],[TotalSales]]-tblOrders[[#This Row],[Calculated Sales]]</f>
        <v>0</v>
      </c>
    </row>
    <row r="1631" spans="1:17" x14ac:dyDescent="0.25">
      <c r="A1631">
        <v>1762</v>
      </c>
      <c r="B1631">
        <v>935</v>
      </c>
      <c r="C1631" t="str">
        <f>_xlfn.XLOOKUP(tblOrders[[#This Row],[CustomerID]],tblCustomers[CustomerID],tblCustomers[CustomerName],"not found")</f>
        <v>Pamela Snyder</v>
      </c>
      <c r="D1631">
        <f>_xlfn.XLOOKUP(tblOrders[[#This Row],[CustomerID]],tblCustomers[CustomerID],tblCustomers[Age],"not found")</f>
        <v>39</v>
      </c>
      <c r="E1631" t="str">
        <f>_xlfn.XLOOKUP(tblOrders[[#This Row],[CustomerID]],tblCustomers[CustomerID],tblCustomers[Gender],"not found")</f>
        <v>Male</v>
      </c>
      <c r="F1631" t="str">
        <f>_xlfn.XLOOKUP(tblOrders[[#This Row],[CustomerID]],tblCustomers[CustomerID],tblCustomers[Region],"not found")</f>
        <v>Central</v>
      </c>
      <c r="G1631">
        <v>1078</v>
      </c>
      <c r="H1631" t="str">
        <f>_xlfn.XLOOKUP(tblOrders[[#This Row],[ProductID]],tblProducts[ProductID],tblProducts[ProductName],"not found")</f>
        <v>Allow</v>
      </c>
      <c r="I1631" t="str">
        <f>_xlfn.XLOOKUP(tblOrders[[#This Row],[ProductID]],tblProducts[ProductID],tblProducts[Category],"not found")</f>
        <v>Apparel</v>
      </c>
      <c r="J1631">
        <f>_xlfn.XLOOKUP(tblOrders[[#This Row],[ProductID]],tblProducts[ProductID],tblProducts[UnitPrice],"not found")</f>
        <v>40.01</v>
      </c>
      <c r="K1631" t="str">
        <f>_xlfn.XLOOKUP(tblOrders[[#This Row],[ProductID]],tblProducts[ProductID],tblProducts[Supplier],"not found")</f>
        <v>Owens, Gordon and Graves</v>
      </c>
      <c r="L1631" s="1">
        <v>45597</v>
      </c>
      <c r="M16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1631">
        <v>8</v>
      </c>
      <c r="O1631">
        <v>320.08</v>
      </c>
      <c r="P1631">
        <f>tblOrders[[#This Row],[Quantity]]*tblOrders[[#This Row],[Unit Price]]</f>
        <v>320.08</v>
      </c>
      <c r="Q1631">
        <f>tblOrders[[#This Row],[TotalSales]]-tblOrders[[#This Row],[Calculated Sales]]</f>
        <v>0</v>
      </c>
    </row>
    <row r="1632" spans="1:17" x14ac:dyDescent="0.25">
      <c r="A1632">
        <v>1844</v>
      </c>
      <c r="B1632">
        <v>825</v>
      </c>
      <c r="C1632" t="str">
        <f>_xlfn.XLOOKUP(tblOrders[[#This Row],[CustomerID]],tblCustomers[CustomerID],tblCustomers[CustomerName],"not found")</f>
        <v>Francisco Ramos</v>
      </c>
      <c r="D1632">
        <f>_xlfn.XLOOKUP(tblOrders[[#This Row],[CustomerID]],tblCustomers[CustomerID],tblCustomers[Age],"not found")</f>
        <v>66</v>
      </c>
      <c r="E1632" t="str">
        <f>_xlfn.XLOOKUP(tblOrders[[#This Row],[CustomerID]],tblCustomers[CustomerID],tblCustomers[Gender],"not found")</f>
        <v>Female</v>
      </c>
      <c r="F1632" t="str">
        <f>_xlfn.XLOOKUP(tblOrders[[#This Row],[CustomerID]],tblCustomers[CustomerID],tblCustomers[Region],"not found")</f>
        <v>North</v>
      </c>
      <c r="G1632">
        <v>1078</v>
      </c>
      <c r="H1632" t="str">
        <f>_xlfn.XLOOKUP(tblOrders[[#This Row],[ProductID]],tblProducts[ProductID],tblProducts[ProductName],"not found")</f>
        <v>Allow</v>
      </c>
      <c r="I1632" t="str">
        <f>_xlfn.XLOOKUP(tblOrders[[#This Row],[ProductID]],tblProducts[ProductID],tblProducts[Category],"not found")</f>
        <v>Apparel</v>
      </c>
      <c r="J1632">
        <f>_xlfn.XLOOKUP(tblOrders[[#This Row],[ProductID]],tblProducts[ProductID],tblProducts[UnitPrice],"not found")</f>
        <v>40.01</v>
      </c>
      <c r="K1632" t="str">
        <f>_xlfn.XLOOKUP(tblOrders[[#This Row],[ProductID]],tblProducts[ProductID],tblProducts[Supplier],"not found")</f>
        <v>Owens, Gordon and Graves</v>
      </c>
      <c r="L1632" s="1" t="s">
        <v>2310</v>
      </c>
      <c r="M16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45012</v>
      </c>
      <c r="N1632">
        <v>6</v>
      </c>
      <c r="O1632">
        <v>240.06</v>
      </c>
      <c r="P1632">
        <f>tblOrders[[#This Row],[Quantity]]*tblOrders[[#This Row],[Unit Price]]</f>
        <v>240.06</v>
      </c>
      <c r="Q1632">
        <f>tblOrders[[#This Row],[TotalSales]]-tblOrders[[#This Row],[Calculated Sales]]</f>
        <v>0</v>
      </c>
    </row>
    <row r="1633" spans="1:17" x14ac:dyDescent="0.25">
      <c r="A1633">
        <v>1935</v>
      </c>
      <c r="B1633">
        <v>117</v>
      </c>
      <c r="C1633" t="str">
        <f>_xlfn.XLOOKUP(tblOrders[[#This Row],[CustomerID]],tblCustomers[CustomerID],tblCustomers[CustomerName],"not found")</f>
        <v>Tamara Pennington</v>
      </c>
      <c r="D1633">
        <f>_xlfn.XLOOKUP(tblOrders[[#This Row],[CustomerID]],tblCustomers[CustomerID],tblCustomers[Age],"not found")</f>
        <v>63</v>
      </c>
      <c r="E1633" t="str">
        <f>_xlfn.XLOOKUP(tblOrders[[#This Row],[CustomerID]],tblCustomers[CustomerID],tblCustomers[Gender],"not found")</f>
        <v>Male</v>
      </c>
      <c r="F1633" t="str">
        <f>_xlfn.XLOOKUP(tblOrders[[#This Row],[CustomerID]],tblCustomers[CustomerID],tblCustomers[Region],"not found")</f>
        <v>South</v>
      </c>
      <c r="G1633">
        <v>1078</v>
      </c>
      <c r="H1633" t="str">
        <f>_xlfn.XLOOKUP(tblOrders[[#This Row],[ProductID]],tblProducts[ProductID],tblProducts[ProductName],"not found")</f>
        <v>Allow</v>
      </c>
      <c r="I1633" t="str">
        <f>_xlfn.XLOOKUP(tblOrders[[#This Row],[ProductID]],tblProducts[ProductID],tblProducts[Category],"not found")</f>
        <v>Apparel</v>
      </c>
      <c r="J1633">
        <f>_xlfn.XLOOKUP(tblOrders[[#This Row],[ProductID]],tblProducts[ProductID],tblProducts[UnitPrice],"not found")</f>
        <v>40.01</v>
      </c>
      <c r="K1633" t="str">
        <f>_xlfn.XLOOKUP(tblOrders[[#This Row],[ProductID]],tblProducts[ProductID],tblProducts[Supplier],"not found")</f>
        <v>Owens, Gordon and Graves</v>
      </c>
      <c r="L1633" s="1" t="s">
        <v>2351</v>
      </c>
      <c r="M16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44916</v>
      </c>
      <c r="N1633">
        <v>7</v>
      </c>
      <c r="O1633">
        <v>280.07</v>
      </c>
      <c r="P1633">
        <f>tblOrders[[#This Row],[Quantity]]*tblOrders[[#This Row],[Unit Price]]</f>
        <v>280.07</v>
      </c>
      <c r="Q1633">
        <f>tblOrders[[#This Row],[TotalSales]]-tblOrders[[#This Row],[Calculated Sales]]</f>
        <v>0</v>
      </c>
    </row>
    <row r="1634" spans="1:17" x14ac:dyDescent="0.25">
      <c r="A1634">
        <v>1957</v>
      </c>
      <c r="B1634">
        <v>427</v>
      </c>
      <c r="C1634" t="str">
        <f>_xlfn.XLOOKUP(tblOrders[[#This Row],[CustomerID]],tblCustomers[CustomerID],tblCustomers[CustomerName],"not found")</f>
        <v>Tina Chapman</v>
      </c>
      <c r="D1634">
        <f>_xlfn.XLOOKUP(tblOrders[[#This Row],[CustomerID]],tblCustomers[CustomerID],tblCustomers[Age],"not found")</f>
        <v>69</v>
      </c>
      <c r="E1634" t="str">
        <f>_xlfn.XLOOKUP(tblOrders[[#This Row],[CustomerID]],tblCustomers[CustomerID],tblCustomers[Gender],"not found")</f>
        <v>Male</v>
      </c>
      <c r="F1634" t="str">
        <f>_xlfn.XLOOKUP(tblOrders[[#This Row],[CustomerID]],tblCustomers[CustomerID],tblCustomers[Region],"not found")</f>
        <v>North</v>
      </c>
      <c r="G1634">
        <v>1078</v>
      </c>
      <c r="H1634" t="str">
        <f>_xlfn.XLOOKUP(tblOrders[[#This Row],[ProductID]],tblProducts[ProductID],tblProducts[ProductName],"not found")</f>
        <v>Allow</v>
      </c>
      <c r="I1634" t="str">
        <f>_xlfn.XLOOKUP(tblOrders[[#This Row],[ProductID]],tblProducts[ProductID],tblProducts[Category],"not found")</f>
        <v>Apparel</v>
      </c>
      <c r="J1634">
        <f>_xlfn.XLOOKUP(tblOrders[[#This Row],[ProductID]],tblProducts[ProductID],tblProducts[UnitPrice],"not found")</f>
        <v>40.01</v>
      </c>
      <c r="K1634" t="str">
        <f>_xlfn.XLOOKUP(tblOrders[[#This Row],[ProductID]],tblProducts[ProductID],tblProducts[Supplier],"not found")</f>
        <v>Owens, Gordon and Graves</v>
      </c>
      <c r="L1634" s="1" t="s">
        <v>2265</v>
      </c>
      <c r="M16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45433</v>
      </c>
      <c r="N1634">
        <v>4</v>
      </c>
      <c r="O1634">
        <v>160.04</v>
      </c>
      <c r="P1634">
        <f>tblOrders[[#This Row],[Quantity]]*tblOrders[[#This Row],[Unit Price]]</f>
        <v>160.04</v>
      </c>
      <c r="Q1634">
        <f>tblOrders[[#This Row],[TotalSales]]-tblOrders[[#This Row],[Calculated Sales]]</f>
        <v>0</v>
      </c>
    </row>
    <row r="1635" spans="1:17" x14ac:dyDescent="0.25">
      <c r="A1635">
        <v>1969</v>
      </c>
      <c r="B1635">
        <v>446</v>
      </c>
      <c r="C1635" t="str">
        <f>_xlfn.XLOOKUP(tblOrders[[#This Row],[CustomerID]],tblCustomers[CustomerID],tblCustomers[CustomerName],"not found")</f>
        <v>Christopher Pugh</v>
      </c>
      <c r="D1635">
        <f>_xlfn.XLOOKUP(tblOrders[[#This Row],[CustomerID]],tblCustomers[CustomerID],tblCustomers[Age],"not found")</f>
        <v>24</v>
      </c>
      <c r="E1635" t="str">
        <f>_xlfn.XLOOKUP(tblOrders[[#This Row],[CustomerID]],tblCustomers[CustomerID],tblCustomers[Gender],"not found")</f>
        <v>Female</v>
      </c>
      <c r="F1635" t="str">
        <f>_xlfn.XLOOKUP(tblOrders[[#This Row],[CustomerID]],tblCustomers[CustomerID],tblCustomers[Region],"not found")</f>
        <v>West</v>
      </c>
      <c r="G1635">
        <v>1078</v>
      </c>
      <c r="H1635" t="str">
        <f>_xlfn.XLOOKUP(tblOrders[[#This Row],[ProductID]],tblProducts[ProductID],tblProducts[ProductName],"not found")</f>
        <v>Allow</v>
      </c>
      <c r="I1635" t="str">
        <f>_xlfn.XLOOKUP(tblOrders[[#This Row],[ProductID]],tblProducts[ProductID],tblProducts[Category],"not found")</f>
        <v>Apparel</v>
      </c>
      <c r="J1635">
        <f>_xlfn.XLOOKUP(tblOrders[[#This Row],[ProductID]],tblProducts[ProductID],tblProducts[UnitPrice],"not found")</f>
        <v>40.01</v>
      </c>
      <c r="K1635" t="str">
        <f>_xlfn.XLOOKUP(tblOrders[[#This Row],[ProductID]],tblProducts[ProductID],tblProducts[Supplier],"not found")</f>
        <v>Owens, Gordon and Graves</v>
      </c>
      <c r="L1635" s="1">
        <v>45234</v>
      </c>
      <c r="M16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45234</v>
      </c>
      <c r="N1635">
        <v>6</v>
      </c>
      <c r="O1635">
        <v>240.06</v>
      </c>
      <c r="P1635">
        <f>tblOrders[[#This Row],[Quantity]]*tblOrders[[#This Row],[Unit Price]]</f>
        <v>240.06</v>
      </c>
      <c r="Q1635">
        <f>tblOrders[[#This Row],[TotalSales]]-tblOrders[[#This Row],[Calculated Sales]]</f>
        <v>0</v>
      </c>
    </row>
    <row r="1636" spans="1:17" x14ac:dyDescent="0.25">
      <c r="A1636">
        <v>147</v>
      </c>
      <c r="B1636">
        <v>259</v>
      </c>
      <c r="C1636" t="str">
        <f>_xlfn.XLOOKUP(tblOrders[[#This Row],[CustomerID]],tblCustomers[CustomerID],tblCustomers[CustomerName],"not found")</f>
        <v>Nicholas Nichols</v>
      </c>
      <c r="D1636">
        <f>_xlfn.XLOOKUP(tblOrders[[#This Row],[CustomerID]],tblCustomers[CustomerID],tblCustomers[Age],"not found")</f>
        <v>67</v>
      </c>
      <c r="E1636" t="str">
        <f>_xlfn.XLOOKUP(tblOrders[[#This Row],[CustomerID]],tblCustomers[CustomerID],tblCustomers[Gender],"not found")</f>
        <v>Female</v>
      </c>
      <c r="F1636" t="str">
        <f>_xlfn.XLOOKUP(tblOrders[[#This Row],[CustomerID]],tblCustomers[CustomerID],tblCustomers[Region],"not found")</f>
        <v>South</v>
      </c>
      <c r="G1636">
        <v>1065</v>
      </c>
      <c r="H1636" t="str">
        <f>_xlfn.XLOOKUP(tblOrders[[#This Row],[ProductID]],tblProducts[ProductID],tblProducts[ProductName],"not found")</f>
        <v>Government</v>
      </c>
      <c r="I1636" t="str">
        <f>_xlfn.XLOOKUP(tblOrders[[#This Row],[ProductID]],tblProducts[ProductID],tblProducts[Category],"not found")</f>
        <v>Beauty</v>
      </c>
      <c r="J1636">
        <f>_xlfn.XLOOKUP(tblOrders[[#This Row],[ProductID]],tblProducts[ProductID],tblProducts[UnitPrice],"not found")</f>
        <v>424.18</v>
      </c>
      <c r="K1636" t="str">
        <f>_xlfn.XLOOKUP(tblOrders[[#This Row],[ProductID]],tblProducts[ProductID],tblProducts[Supplier],"not found")</f>
        <v>Gibbs and Sons</v>
      </c>
      <c r="L1636" s="1">
        <v>45597</v>
      </c>
      <c r="M16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45597</v>
      </c>
      <c r="N1636">
        <v>5</v>
      </c>
      <c r="O1636">
        <v>2120.9</v>
      </c>
      <c r="P1636">
        <f>tblOrders[[#This Row],[Quantity]]*tblOrders[[#This Row],[Unit Price]]</f>
        <v>2120.9</v>
      </c>
      <c r="Q1636">
        <f>tblOrders[[#This Row],[TotalSales]]-tblOrders[[#This Row],[Calculated Sales]]</f>
        <v>0</v>
      </c>
    </row>
    <row r="1637" spans="1:17" x14ac:dyDescent="0.25">
      <c r="A1637">
        <v>553</v>
      </c>
      <c r="B1637">
        <v>322</v>
      </c>
      <c r="C1637" t="str">
        <f>_xlfn.XLOOKUP(tblOrders[[#This Row],[CustomerID]],tblCustomers[CustomerID],tblCustomers[CustomerName],"not found")</f>
        <v>Michelle Hart</v>
      </c>
      <c r="D1637">
        <f>_xlfn.XLOOKUP(tblOrders[[#This Row],[CustomerID]],tblCustomers[CustomerID],tblCustomers[Age],"not found")</f>
        <v>37</v>
      </c>
      <c r="E1637" t="str">
        <f>_xlfn.XLOOKUP(tblOrders[[#This Row],[CustomerID]],tblCustomers[CustomerID],tblCustomers[Gender],"not found")</f>
        <v>Male</v>
      </c>
      <c r="F1637" t="str">
        <f>_xlfn.XLOOKUP(tblOrders[[#This Row],[CustomerID]],tblCustomers[CustomerID],tblCustomers[Region],"not found")</f>
        <v>South</v>
      </c>
      <c r="G1637">
        <v>1065</v>
      </c>
      <c r="H1637" t="str">
        <f>_xlfn.XLOOKUP(tblOrders[[#This Row],[ProductID]],tblProducts[ProductID],tblProducts[ProductName],"not found")</f>
        <v>Government</v>
      </c>
      <c r="I1637" t="str">
        <f>_xlfn.XLOOKUP(tblOrders[[#This Row],[ProductID]],tblProducts[ProductID],tblProducts[Category],"not found")</f>
        <v>Beauty</v>
      </c>
      <c r="J1637">
        <f>_xlfn.XLOOKUP(tblOrders[[#This Row],[ProductID]],tblProducts[ProductID],tblProducts[UnitPrice],"not found")</f>
        <v>424.18</v>
      </c>
      <c r="K1637" t="str">
        <f>_xlfn.XLOOKUP(tblOrders[[#This Row],[ProductID]],tblProducts[ProductID],tblProducts[Supplier],"not found")</f>
        <v>Gibbs and Sons</v>
      </c>
      <c r="L1637" s="1">
        <v>45180</v>
      </c>
      <c r="M16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45180</v>
      </c>
      <c r="N1637">
        <v>4</v>
      </c>
      <c r="O1637">
        <v>1696.72</v>
      </c>
      <c r="P1637">
        <f>tblOrders[[#This Row],[Quantity]]*tblOrders[[#This Row],[Unit Price]]</f>
        <v>1696.72</v>
      </c>
      <c r="Q1637">
        <f>tblOrders[[#This Row],[TotalSales]]-tblOrders[[#This Row],[Calculated Sales]]</f>
        <v>0</v>
      </c>
    </row>
    <row r="1638" spans="1:17" x14ac:dyDescent="0.25">
      <c r="A1638">
        <v>610</v>
      </c>
      <c r="B1638">
        <v>820</v>
      </c>
      <c r="C1638" t="str">
        <f>_xlfn.XLOOKUP(tblOrders[[#This Row],[CustomerID]],tblCustomers[CustomerID],tblCustomers[CustomerName],"not found")</f>
        <v>Roberta Jones</v>
      </c>
      <c r="D1638">
        <f>_xlfn.XLOOKUP(tblOrders[[#This Row],[CustomerID]],tblCustomers[CustomerID],tblCustomers[Age],"not found")</f>
        <v>38</v>
      </c>
      <c r="E1638" t="str">
        <f>_xlfn.XLOOKUP(tblOrders[[#This Row],[CustomerID]],tblCustomers[CustomerID],tblCustomers[Gender],"not found")</f>
        <v>Male</v>
      </c>
      <c r="F1638" t="str">
        <f>_xlfn.XLOOKUP(tblOrders[[#This Row],[CustomerID]],tblCustomers[CustomerID],tblCustomers[Region],"not found")</f>
        <v>Central</v>
      </c>
      <c r="G1638">
        <v>1065</v>
      </c>
      <c r="H1638" t="str">
        <f>_xlfn.XLOOKUP(tblOrders[[#This Row],[ProductID]],tblProducts[ProductID],tblProducts[ProductName],"not found")</f>
        <v>Government</v>
      </c>
      <c r="I1638" t="str">
        <f>_xlfn.XLOOKUP(tblOrders[[#This Row],[ProductID]],tblProducts[ProductID],tblProducts[Category],"not found")</f>
        <v>Beauty</v>
      </c>
      <c r="J1638">
        <f>_xlfn.XLOOKUP(tblOrders[[#This Row],[ProductID]],tblProducts[ProductID],tblProducts[UnitPrice],"not found")</f>
        <v>424.18</v>
      </c>
      <c r="K1638" t="str">
        <f>_xlfn.XLOOKUP(tblOrders[[#This Row],[ProductID]],tblProducts[ProductID],tblProducts[Supplier],"not found")</f>
        <v>Gibbs and Sons</v>
      </c>
      <c r="L1638" s="1">
        <v>45605</v>
      </c>
      <c r="M16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45605</v>
      </c>
      <c r="N1638">
        <v>1</v>
      </c>
      <c r="O1638">
        <v>424.18</v>
      </c>
      <c r="P1638">
        <f>tblOrders[[#This Row],[Quantity]]*tblOrders[[#This Row],[Unit Price]]</f>
        <v>424.18</v>
      </c>
      <c r="Q1638">
        <f>tblOrders[[#This Row],[TotalSales]]-tblOrders[[#This Row],[Calculated Sales]]</f>
        <v>0</v>
      </c>
    </row>
    <row r="1639" spans="1:17" x14ac:dyDescent="0.25">
      <c r="A1639">
        <v>660</v>
      </c>
      <c r="B1639">
        <v>416</v>
      </c>
      <c r="C1639" t="str">
        <f>_xlfn.XLOOKUP(tblOrders[[#This Row],[CustomerID]],tblCustomers[CustomerID],tblCustomers[CustomerName],"not found")</f>
        <v>Ronald Hawkins</v>
      </c>
      <c r="D1639">
        <f>_xlfn.XLOOKUP(tblOrders[[#This Row],[CustomerID]],tblCustomers[CustomerID],tblCustomers[Age],"not found")</f>
        <v>24</v>
      </c>
      <c r="E1639" t="str">
        <f>_xlfn.XLOOKUP(tblOrders[[#This Row],[CustomerID]],tblCustomers[CustomerID],tblCustomers[Gender],"not found")</f>
        <v>Female</v>
      </c>
      <c r="F1639" t="str">
        <f>_xlfn.XLOOKUP(tblOrders[[#This Row],[CustomerID]],tblCustomers[CustomerID],tblCustomers[Region],"not found")</f>
        <v>Central</v>
      </c>
      <c r="G1639">
        <v>1065</v>
      </c>
      <c r="H1639" t="str">
        <f>_xlfn.XLOOKUP(tblOrders[[#This Row],[ProductID]],tblProducts[ProductID],tblProducts[ProductName],"not found")</f>
        <v>Government</v>
      </c>
      <c r="I1639" t="str">
        <f>_xlfn.XLOOKUP(tblOrders[[#This Row],[ProductID]],tblProducts[ProductID],tblProducts[Category],"not found")</f>
        <v>Beauty</v>
      </c>
      <c r="J1639">
        <f>_xlfn.XLOOKUP(tblOrders[[#This Row],[ProductID]],tblProducts[ProductID],tblProducts[UnitPrice],"not found")</f>
        <v>424.18</v>
      </c>
      <c r="K1639" t="str">
        <f>_xlfn.XLOOKUP(tblOrders[[#This Row],[ProductID]],tblProducts[ProductID],tblProducts[Supplier],"not found")</f>
        <v>Gibbs and Sons</v>
      </c>
      <c r="L1639" s="1" t="s">
        <v>2039</v>
      </c>
      <c r="M16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45215</v>
      </c>
      <c r="N1639">
        <v>9</v>
      </c>
      <c r="O1639">
        <v>3817.62</v>
      </c>
      <c r="P1639">
        <f>tblOrders[[#This Row],[Quantity]]*tblOrders[[#This Row],[Unit Price]]</f>
        <v>3817.62</v>
      </c>
      <c r="Q1639">
        <f>tblOrders[[#This Row],[TotalSales]]-tblOrders[[#This Row],[Calculated Sales]]</f>
        <v>0</v>
      </c>
    </row>
    <row r="1640" spans="1:17" x14ac:dyDescent="0.25">
      <c r="A1640">
        <v>667</v>
      </c>
      <c r="B1640">
        <v>353</v>
      </c>
      <c r="C1640" t="str">
        <f>_xlfn.XLOOKUP(tblOrders[[#This Row],[CustomerID]],tblCustomers[CustomerID],tblCustomers[CustomerName],"not found")</f>
        <v>Virginia Hart</v>
      </c>
      <c r="D1640">
        <f>_xlfn.XLOOKUP(tblOrders[[#This Row],[CustomerID]],tblCustomers[CustomerID],tblCustomers[Age],"not found")</f>
        <v>67</v>
      </c>
      <c r="E1640" t="str">
        <f>_xlfn.XLOOKUP(tblOrders[[#This Row],[CustomerID]],tblCustomers[CustomerID],tblCustomers[Gender],"not found")</f>
        <v>Male</v>
      </c>
      <c r="F1640" t="str">
        <f>_xlfn.XLOOKUP(tblOrders[[#This Row],[CustomerID]],tblCustomers[CustomerID],tblCustomers[Region],"not found")</f>
        <v>North</v>
      </c>
      <c r="G1640">
        <v>1065</v>
      </c>
      <c r="H1640" t="str">
        <f>_xlfn.XLOOKUP(tblOrders[[#This Row],[ProductID]],tblProducts[ProductID],tblProducts[ProductName],"not found")</f>
        <v>Government</v>
      </c>
      <c r="I1640" t="str">
        <f>_xlfn.XLOOKUP(tblOrders[[#This Row],[ProductID]],tblProducts[ProductID],tblProducts[Category],"not found")</f>
        <v>Beauty</v>
      </c>
      <c r="J1640">
        <f>_xlfn.XLOOKUP(tblOrders[[#This Row],[ProductID]],tblProducts[ProductID],tblProducts[UnitPrice],"not found")</f>
        <v>424.18</v>
      </c>
      <c r="K1640" t="str">
        <f>_xlfn.XLOOKUP(tblOrders[[#This Row],[ProductID]],tblProducts[ProductID],tblProducts[Supplier],"not found")</f>
        <v>Gibbs and Sons</v>
      </c>
      <c r="L1640" s="1">
        <v>44964</v>
      </c>
      <c r="M16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44964</v>
      </c>
      <c r="N1640">
        <v>3</v>
      </c>
      <c r="O1640">
        <v>1272.54</v>
      </c>
      <c r="P1640">
        <f>tblOrders[[#This Row],[Quantity]]*tblOrders[[#This Row],[Unit Price]]</f>
        <v>1272.54</v>
      </c>
      <c r="Q1640">
        <f>tblOrders[[#This Row],[TotalSales]]-tblOrders[[#This Row],[Calculated Sales]]</f>
        <v>0</v>
      </c>
    </row>
    <row r="1641" spans="1:17" x14ac:dyDescent="0.25">
      <c r="A1641">
        <v>753</v>
      </c>
      <c r="B1641">
        <v>735</v>
      </c>
      <c r="C1641" t="str">
        <f>_xlfn.XLOOKUP(tblOrders[[#This Row],[CustomerID]],tblCustomers[CustomerID],tblCustomers[CustomerName],"not found")</f>
        <v>April Ferguson</v>
      </c>
      <c r="D1641">
        <f>_xlfn.XLOOKUP(tblOrders[[#This Row],[CustomerID]],tblCustomers[CustomerID],tblCustomers[Age],"not found")</f>
        <v>60</v>
      </c>
      <c r="E1641" t="str">
        <f>_xlfn.XLOOKUP(tblOrders[[#This Row],[CustomerID]],tblCustomers[CustomerID],tblCustomers[Gender],"not found")</f>
        <v>Female</v>
      </c>
      <c r="F1641" t="str">
        <f>_xlfn.XLOOKUP(tblOrders[[#This Row],[CustomerID]],tblCustomers[CustomerID],tblCustomers[Region],"not found")</f>
        <v>South</v>
      </c>
      <c r="G1641">
        <v>1065</v>
      </c>
      <c r="H1641" t="str">
        <f>_xlfn.XLOOKUP(tblOrders[[#This Row],[ProductID]],tblProducts[ProductID],tblProducts[ProductName],"not found")</f>
        <v>Government</v>
      </c>
      <c r="I1641" t="str">
        <f>_xlfn.XLOOKUP(tblOrders[[#This Row],[ProductID]],tblProducts[ProductID],tblProducts[Category],"not found")</f>
        <v>Beauty</v>
      </c>
      <c r="J1641">
        <f>_xlfn.XLOOKUP(tblOrders[[#This Row],[ProductID]],tblProducts[ProductID],tblProducts[UnitPrice],"not found")</f>
        <v>424.18</v>
      </c>
      <c r="K1641" t="str">
        <f>_xlfn.XLOOKUP(tblOrders[[#This Row],[ProductID]],tblProducts[ProductID],tblProducts[Supplier],"not found")</f>
        <v>Gibbs and Sons</v>
      </c>
      <c r="L1641" s="1" t="s">
        <v>2140</v>
      </c>
      <c r="M16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45072</v>
      </c>
      <c r="N1641">
        <v>9</v>
      </c>
      <c r="O1641">
        <v>3817.62</v>
      </c>
      <c r="P1641">
        <f>tblOrders[[#This Row],[Quantity]]*tblOrders[[#This Row],[Unit Price]]</f>
        <v>3817.62</v>
      </c>
      <c r="Q1641">
        <f>tblOrders[[#This Row],[TotalSales]]-tblOrders[[#This Row],[Calculated Sales]]</f>
        <v>0</v>
      </c>
    </row>
    <row r="1642" spans="1:17" x14ac:dyDescent="0.25">
      <c r="A1642">
        <v>868</v>
      </c>
      <c r="B1642">
        <v>14</v>
      </c>
      <c r="C1642" t="str">
        <f>_xlfn.XLOOKUP(tblOrders[[#This Row],[CustomerID]],tblCustomers[CustomerID],tblCustomers[CustomerName],"not found")</f>
        <v>Ryan King</v>
      </c>
      <c r="D1642">
        <f>_xlfn.XLOOKUP(tblOrders[[#This Row],[CustomerID]],tblCustomers[CustomerID],tblCustomers[Age],"not found")</f>
        <v>57</v>
      </c>
      <c r="E1642" t="str">
        <f>_xlfn.XLOOKUP(tblOrders[[#This Row],[CustomerID]],tblCustomers[CustomerID],tblCustomers[Gender],"not found")</f>
        <v>Female</v>
      </c>
      <c r="F1642" t="str">
        <f>_xlfn.XLOOKUP(tblOrders[[#This Row],[CustomerID]],tblCustomers[CustomerID],tblCustomers[Region],"not found")</f>
        <v>East</v>
      </c>
      <c r="G1642">
        <v>1065</v>
      </c>
      <c r="H1642" t="str">
        <f>_xlfn.XLOOKUP(tblOrders[[#This Row],[ProductID]],tblProducts[ProductID],tblProducts[ProductName],"not found")</f>
        <v>Government</v>
      </c>
      <c r="I1642" t="str">
        <f>_xlfn.XLOOKUP(tblOrders[[#This Row],[ProductID]],tblProducts[ProductID],tblProducts[Category],"not found")</f>
        <v>Beauty</v>
      </c>
      <c r="J1642">
        <f>_xlfn.XLOOKUP(tblOrders[[#This Row],[ProductID]],tblProducts[ProductID],tblProducts[UnitPrice],"not found")</f>
        <v>424.18</v>
      </c>
      <c r="K1642" t="str">
        <f>_xlfn.XLOOKUP(tblOrders[[#This Row],[ProductID]],tblProducts[ProductID],tblProducts[Supplier],"not found")</f>
        <v>Gibbs and Sons</v>
      </c>
      <c r="L1642" s="1">
        <v>45604</v>
      </c>
      <c r="M16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45604</v>
      </c>
      <c r="N1642">
        <v>7</v>
      </c>
      <c r="O1642">
        <v>2969.26</v>
      </c>
      <c r="P1642">
        <f>tblOrders[[#This Row],[Quantity]]*tblOrders[[#This Row],[Unit Price]]</f>
        <v>2969.26</v>
      </c>
      <c r="Q1642">
        <f>tblOrders[[#This Row],[TotalSales]]-tblOrders[[#This Row],[Calculated Sales]]</f>
        <v>0</v>
      </c>
    </row>
    <row r="1643" spans="1:17" x14ac:dyDescent="0.25">
      <c r="A1643">
        <v>983</v>
      </c>
      <c r="B1643">
        <v>275</v>
      </c>
      <c r="C1643" t="str">
        <f>_xlfn.XLOOKUP(tblOrders[[#This Row],[CustomerID]],tblCustomers[CustomerID],tblCustomers[CustomerName],"not found")</f>
        <v>Sabrina Gibson</v>
      </c>
      <c r="D1643">
        <f>_xlfn.XLOOKUP(tblOrders[[#This Row],[CustomerID]],tblCustomers[CustomerID],tblCustomers[Age],"not found")</f>
        <v>56</v>
      </c>
      <c r="E1643" t="str">
        <f>_xlfn.XLOOKUP(tblOrders[[#This Row],[CustomerID]],tblCustomers[CustomerID],tblCustomers[Gender],"not found")</f>
        <v>Male</v>
      </c>
      <c r="F1643" t="str">
        <f>_xlfn.XLOOKUP(tblOrders[[#This Row],[CustomerID]],tblCustomers[CustomerID],tblCustomers[Region],"not found")</f>
        <v>Central</v>
      </c>
      <c r="G1643">
        <v>1065</v>
      </c>
      <c r="H1643" t="str">
        <f>_xlfn.XLOOKUP(tblOrders[[#This Row],[ProductID]],tblProducts[ProductID],tblProducts[ProductName],"not found")</f>
        <v>Government</v>
      </c>
      <c r="I1643" t="str">
        <f>_xlfn.XLOOKUP(tblOrders[[#This Row],[ProductID]],tblProducts[ProductID],tblProducts[Category],"not found")</f>
        <v>Beauty</v>
      </c>
      <c r="J1643">
        <f>_xlfn.XLOOKUP(tblOrders[[#This Row],[ProductID]],tblProducts[ProductID],tblProducts[UnitPrice],"not found")</f>
        <v>424.18</v>
      </c>
      <c r="K1643" t="str">
        <f>_xlfn.XLOOKUP(tblOrders[[#This Row],[ProductID]],tblProducts[ProductID],tblProducts[Supplier],"not found")</f>
        <v>Gibbs and Sons</v>
      </c>
      <c r="L1643" s="1" t="s">
        <v>2071</v>
      </c>
      <c r="M16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45555</v>
      </c>
      <c r="N1643">
        <v>6</v>
      </c>
      <c r="O1643">
        <v>2545.08</v>
      </c>
      <c r="P1643">
        <f>tblOrders[[#This Row],[Quantity]]*tblOrders[[#This Row],[Unit Price]]</f>
        <v>2545.08</v>
      </c>
      <c r="Q1643">
        <f>tblOrders[[#This Row],[TotalSales]]-tblOrders[[#This Row],[Calculated Sales]]</f>
        <v>0</v>
      </c>
    </row>
    <row r="1644" spans="1:17" x14ac:dyDescent="0.25">
      <c r="A1644">
        <v>1008</v>
      </c>
      <c r="B1644">
        <v>241</v>
      </c>
      <c r="C1644" t="str">
        <f>_xlfn.XLOOKUP(tblOrders[[#This Row],[CustomerID]],tblCustomers[CustomerID],tblCustomers[CustomerName],"not found")</f>
        <v>Zoe Munoz</v>
      </c>
      <c r="D1644">
        <f>_xlfn.XLOOKUP(tblOrders[[#This Row],[CustomerID]],tblCustomers[CustomerID],tblCustomers[Age],"not found")</f>
        <v>21</v>
      </c>
      <c r="E1644" t="str">
        <f>_xlfn.XLOOKUP(tblOrders[[#This Row],[CustomerID]],tblCustomers[CustomerID],tblCustomers[Gender],"not found")</f>
        <v>Male</v>
      </c>
      <c r="F1644" t="str">
        <f>_xlfn.XLOOKUP(tblOrders[[#This Row],[CustomerID]],tblCustomers[CustomerID],tblCustomers[Region],"not found")</f>
        <v>South</v>
      </c>
      <c r="G1644">
        <v>1065</v>
      </c>
      <c r="H1644" t="str">
        <f>_xlfn.XLOOKUP(tblOrders[[#This Row],[ProductID]],tblProducts[ProductID],tblProducts[ProductName],"not found")</f>
        <v>Government</v>
      </c>
      <c r="I1644" t="str">
        <f>_xlfn.XLOOKUP(tblOrders[[#This Row],[ProductID]],tblProducts[ProductID],tblProducts[Category],"not found")</f>
        <v>Beauty</v>
      </c>
      <c r="J1644">
        <f>_xlfn.XLOOKUP(tblOrders[[#This Row],[ProductID]],tblProducts[ProductID],tblProducts[UnitPrice],"not found")</f>
        <v>424.18</v>
      </c>
      <c r="K1644" t="str">
        <f>_xlfn.XLOOKUP(tblOrders[[#This Row],[ProductID]],tblProducts[ProductID],tblProducts[Supplier],"not found")</f>
        <v>Gibbs and Sons</v>
      </c>
      <c r="L1644" s="1" t="s">
        <v>2221</v>
      </c>
      <c r="M16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45260</v>
      </c>
      <c r="N1644">
        <v>9</v>
      </c>
      <c r="O1644">
        <v>3817.62</v>
      </c>
      <c r="P1644">
        <f>tblOrders[[#This Row],[Quantity]]*tblOrders[[#This Row],[Unit Price]]</f>
        <v>3817.62</v>
      </c>
      <c r="Q1644">
        <f>tblOrders[[#This Row],[TotalSales]]-tblOrders[[#This Row],[Calculated Sales]]</f>
        <v>0</v>
      </c>
    </row>
    <row r="1645" spans="1:17" x14ac:dyDescent="0.25">
      <c r="A1645">
        <v>1014</v>
      </c>
      <c r="B1645">
        <v>445</v>
      </c>
      <c r="C1645" t="str">
        <f>_xlfn.XLOOKUP(tblOrders[[#This Row],[CustomerID]],tblCustomers[CustomerID],tblCustomers[CustomerName],"not found")</f>
        <v>Dr. Kathryn Jacobs</v>
      </c>
      <c r="D1645">
        <f>_xlfn.XLOOKUP(tblOrders[[#This Row],[CustomerID]],tblCustomers[CustomerID],tblCustomers[Age],"not found")</f>
        <v>62</v>
      </c>
      <c r="E1645" t="str">
        <f>_xlfn.XLOOKUP(tblOrders[[#This Row],[CustomerID]],tblCustomers[CustomerID],tblCustomers[Gender],"not found")</f>
        <v>Male</v>
      </c>
      <c r="F1645" t="str">
        <f>_xlfn.XLOOKUP(tblOrders[[#This Row],[CustomerID]],tblCustomers[CustomerID],tblCustomers[Region],"not found")</f>
        <v>West</v>
      </c>
      <c r="G1645">
        <v>1065</v>
      </c>
      <c r="H1645" t="str">
        <f>_xlfn.XLOOKUP(tblOrders[[#This Row],[ProductID]],tblProducts[ProductID],tblProducts[ProductName],"not found")</f>
        <v>Government</v>
      </c>
      <c r="I1645" t="str">
        <f>_xlfn.XLOOKUP(tblOrders[[#This Row],[ProductID]],tblProducts[ProductID],tblProducts[Category],"not found")</f>
        <v>Beauty</v>
      </c>
      <c r="J1645">
        <f>_xlfn.XLOOKUP(tblOrders[[#This Row],[ProductID]],tblProducts[ProductID],tblProducts[UnitPrice],"not found")</f>
        <v>424.18</v>
      </c>
      <c r="K1645" t="str">
        <f>_xlfn.XLOOKUP(tblOrders[[#This Row],[ProductID]],tblProducts[ProductID],tblProducts[Supplier],"not found")</f>
        <v>Gibbs and Sons</v>
      </c>
      <c r="L1645" s="1" t="s">
        <v>2062</v>
      </c>
      <c r="M16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45468</v>
      </c>
      <c r="N1645">
        <v>8</v>
      </c>
      <c r="O1645">
        <v>3393.44</v>
      </c>
      <c r="P1645">
        <f>tblOrders[[#This Row],[Quantity]]*tblOrders[[#This Row],[Unit Price]]</f>
        <v>3393.44</v>
      </c>
      <c r="Q1645">
        <f>tblOrders[[#This Row],[TotalSales]]-tblOrders[[#This Row],[Calculated Sales]]</f>
        <v>0</v>
      </c>
    </row>
    <row r="1646" spans="1:17" x14ac:dyDescent="0.25">
      <c r="A1646">
        <v>1015</v>
      </c>
      <c r="B1646">
        <v>684</v>
      </c>
      <c r="C1646" t="str">
        <f>_xlfn.XLOOKUP(tblOrders[[#This Row],[CustomerID]],tblCustomers[CustomerID],tblCustomers[CustomerName],"not found")</f>
        <v>Bryan Mendez Jr.</v>
      </c>
      <c r="D1646">
        <f>_xlfn.XLOOKUP(tblOrders[[#This Row],[CustomerID]],tblCustomers[CustomerID],tblCustomers[Age],"not found")</f>
        <v>67</v>
      </c>
      <c r="E1646" t="str">
        <f>_xlfn.XLOOKUP(tblOrders[[#This Row],[CustomerID]],tblCustomers[CustomerID],tblCustomers[Gender],"not found")</f>
        <v>Male</v>
      </c>
      <c r="F1646" t="str">
        <f>_xlfn.XLOOKUP(tblOrders[[#This Row],[CustomerID]],tblCustomers[CustomerID],tblCustomers[Region],"not found")</f>
        <v>Central</v>
      </c>
      <c r="G1646">
        <v>1065</v>
      </c>
      <c r="H1646" t="str">
        <f>_xlfn.XLOOKUP(tblOrders[[#This Row],[ProductID]],tblProducts[ProductID],tblProducts[ProductName],"not found")</f>
        <v>Government</v>
      </c>
      <c r="I1646" t="str">
        <f>_xlfn.XLOOKUP(tblOrders[[#This Row],[ProductID]],tblProducts[ProductID],tblProducts[Category],"not found")</f>
        <v>Beauty</v>
      </c>
      <c r="J1646">
        <f>_xlfn.XLOOKUP(tblOrders[[#This Row],[ProductID]],tblProducts[ProductID],tblProducts[UnitPrice],"not found")</f>
        <v>424.18</v>
      </c>
      <c r="K1646" t="str">
        <f>_xlfn.XLOOKUP(tblOrders[[#This Row],[ProductID]],tblProducts[ProductID],tblProducts[Supplier],"not found")</f>
        <v>Gibbs and Sons</v>
      </c>
      <c r="L1646" s="1" t="s">
        <v>2256</v>
      </c>
      <c r="M16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45011</v>
      </c>
      <c r="N1646">
        <v>2</v>
      </c>
      <c r="O1646">
        <v>848.36</v>
      </c>
      <c r="P1646">
        <f>tblOrders[[#This Row],[Quantity]]*tblOrders[[#This Row],[Unit Price]]</f>
        <v>848.36</v>
      </c>
      <c r="Q1646">
        <f>tblOrders[[#This Row],[TotalSales]]-tblOrders[[#This Row],[Calculated Sales]]</f>
        <v>0</v>
      </c>
    </row>
    <row r="1647" spans="1:17" x14ac:dyDescent="0.25">
      <c r="A1647">
        <v>1083</v>
      </c>
      <c r="B1647">
        <v>340</v>
      </c>
      <c r="C1647" t="str">
        <f>_xlfn.XLOOKUP(tblOrders[[#This Row],[CustomerID]],tblCustomers[CustomerID],tblCustomers[CustomerName],"not found")</f>
        <v>Shannon Burke</v>
      </c>
      <c r="D1647">
        <f>_xlfn.XLOOKUP(tblOrders[[#This Row],[CustomerID]],tblCustomers[CustomerID],tblCustomers[Age],"not found")</f>
        <v>59</v>
      </c>
      <c r="E1647" t="str">
        <f>_xlfn.XLOOKUP(tblOrders[[#This Row],[CustomerID]],tblCustomers[CustomerID],tblCustomers[Gender],"not found")</f>
        <v>Male</v>
      </c>
      <c r="F1647" t="str">
        <f>_xlfn.XLOOKUP(tblOrders[[#This Row],[CustomerID]],tblCustomers[CustomerID],tblCustomers[Region],"not found")</f>
        <v>West</v>
      </c>
      <c r="G1647">
        <v>1065</v>
      </c>
      <c r="H1647" t="str">
        <f>_xlfn.XLOOKUP(tblOrders[[#This Row],[ProductID]],tblProducts[ProductID],tblProducts[ProductName],"not found")</f>
        <v>Government</v>
      </c>
      <c r="I1647" t="str">
        <f>_xlfn.XLOOKUP(tblOrders[[#This Row],[ProductID]],tblProducts[ProductID],tblProducts[Category],"not found")</f>
        <v>Beauty</v>
      </c>
      <c r="J1647">
        <f>_xlfn.XLOOKUP(tblOrders[[#This Row],[ProductID]],tblProducts[ProductID],tblProducts[UnitPrice],"not found")</f>
        <v>424.18</v>
      </c>
      <c r="K1647" t="str">
        <f>_xlfn.XLOOKUP(tblOrders[[#This Row],[ProductID]],tblProducts[ProductID],tblProducts[Supplier],"not found")</f>
        <v>Gibbs and Sons</v>
      </c>
      <c r="L1647" s="1" t="s">
        <v>2114</v>
      </c>
      <c r="M16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45282</v>
      </c>
      <c r="N1647">
        <v>1</v>
      </c>
      <c r="O1647">
        <v>424.18</v>
      </c>
      <c r="P1647">
        <f>tblOrders[[#This Row],[Quantity]]*tblOrders[[#This Row],[Unit Price]]</f>
        <v>424.18</v>
      </c>
      <c r="Q1647">
        <f>tblOrders[[#This Row],[TotalSales]]-tblOrders[[#This Row],[Calculated Sales]]</f>
        <v>0</v>
      </c>
    </row>
    <row r="1648" spans="1:17" x14ac:dyDescent="0.25">
      <c r="A1648">
        <v>1184</v>
      </c>
      <c r="B1648">
        <v>353</v>
      </c>
      <c r="C1648" t="str">
        <f>_xlfn.XLOOKUP(tblOrders[[#This Row],[CustomerID]],tblCustomers[CustomerID],tblCustomers[CustomerName],"not found")</f>
        <v>Virginia Hart</v>
      </c>
      <c r="D1648">
        <f>_xlfn.XLOOKUP(tblOrders[[#This Row],[CustomerID]],tblCustomers[CustomerID],tblCustomers[Age],"not found")</f>
        <v>67</v>
      </c>
      <c r="E1648" t="str">
        <f>_xlfn.XLOOKUP(tblOrders[[#This Row],[CustomerID]],tblCustomers[CustomerID],tblCustomers[Gender],"not found")</f>
        <v>Male</v>
      </c>
      <c r="F1648" t="str">
        <f>_xlfn.XLOOKUP(tblOrders[[#This Row],[CustomerID]],tblCustomers[CustomerID],tblCustomers[Region],"not found")</f>
        <v>North</v>
      </c>
      <c r="G1648">
        <v>1065</v>
      </c>
      <c r="H1648" t="str">
        <f>_xlfn.XLOOKUP(tblOrders[[#This Row],[ProductID]],tblProducts[ProductID],tblProducts[ProductName],"not found")</f>
        <v>Government</v>
      </c>
      <c r="I1648" t="str">
        <f>_xlfn.XLOOKUP(tblOrders[[#This Row],[ProductID]],tblProducts[ProductID],tblProducts[Category],"not found")</f>
        <v>Beauty</v>
      </c>
      <c r="J1648">
        <f>_xlfn.XLOOKUP(tblOrders[[#This Row],[ProductID]],tblProducts[ProductID],tblProducts[UnitPrice],"not found")</f>
        <v>424.18</v>
      </c>
      <c r="K1648" t="str">
        <f>_xlfn.XLOOKUP(tblOrders[[#This Row],[ProductID]],tblProducts[ProductID],tblProducts[Supplier],"not found")</f>
        <v>Gibbs and Sons</v>
      </c>
      <c r="L1648" s="1">
        <v>44934</v>
      </c>
      <c r="M16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44934</v>
      </c>
      <c r="N1648">
        <v>5</v>
      </c>
      <c r="O1648">
        <v>2120.9</v>
      </c>
      <c r="P1648">
        <f>tblOrders[[#This Row],[Quantity]]*tblOrders[[#This Row],[Unit Price]]</f>
        <v>2120.9</v>
      </c>
      <c r="Q1648">
        <f>tblOrders[[#This Row],[TotalSales]]-tblOrders[[#This Row],[Calculated Sales]]</f>
        <v>0</v>
      </c>
    </row>
    <row r="1649" spans="1:17" x14ac:dyDescent="0.25">
      <c r="A1649">
        <v>1191</v>
      </c>
      <c r="B1649">
        <v>897</v>
      </c>
      <c r="C1649" t="str">
        <f>_xlfn.XLOOKUP(tblOrders[[#This Row],[CustomerID]],tblCustomers[CustomerID],tblCustomers[CustomerName],"not found")</f>
        <v>John Mcdowell</v>
      </c>
      <c r="D1649">
        <f>_xlfn.XLOOKUP(tblOrders[[#This Row],[CustomerID]],tblCustomers[CustomerID],tblCustomers[Age],"not found")</f>
        <v>48</v>
      </c>
      <c r="E1649" t="str">
        <f>_xlfn.XLOOKUP(tblOrders[[#This Row],[CustomerID]],tblCustomers[CustomerID],tblCustomers[Gender],"not found")</f>
        <v>Female</v>
      </c>
      <c r="F1649" t="str">
        <f>_xlfn.XLOOKUP(tblOrders[[#This Row],[CustomerID]],tblCustomers[CustomerID],tblCustomers[Region],"not found")</f>
        <v>North</v>
      </c>
      <c r="G1649">
        <v>1065</v>
      </c>
      <c r="H1649" t="str">
        <f>_xlfn.XLOOKUP(tblOrders[[#This Row],[ProductID]],tblProducts[ProductID],tblProducts[ProductName],"not found")</f>
        <v>Government</v>
      </c>
      <c r="I1649" t="str">
        <f>_xlfn.XLOOKUP(tblOrders[[#This Row],[ProductID]],tblProducts[ProductID],tblProducts[Category],"not found")</f>
        <v>Beauty</v>
      </c>
      <c r="J1649">
        <f>_xlfn.XLOOKUP(tblOrders[[#This Row],[ProductID]],tblProducts[ProductID],tblProducts[UnitPrice],"not found")</f>
        <v>424.18</v>
      </c>
      <c r="K1649" t="str">
        <f>_xlfn.XLOOKUP(tblOrders[[#This Row],[ProductID]],tblProducts[ProductID],tblProducts[Supplier],"not found")</f>
        <v>Gibbs and Sons</v>
      </c>
      <c r="L1649" s="1">
        <v>45082</v>
      </c>
      <c r="M16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45082</v>
      </c>
      <c r="N1649">
        <v>1</v>
      </c>
      <c r="O1649">
        <v>424.18</v>
      </c>
      <c r="P1649">
        <f>tblOrders[[#This Row],[Quantity]]*tblOrders[[#This Row],[Unit Price]]</f>
        <v>424.18</v>
      </c>
      <c r="Q1649">
        <f>tblOrders[[#This Row],[TotalSales]]-tblOrders[[#This Row],[Calculated Sales]]</f>
        <v>0</v>
      </c>
    </row>
    <row r="1650" spans="1:17" x14ac:dyDescent="0.25">
      <c r="A1650">
        <v>1205</v>
      </c>
      <c r="B1650">
        <v>208</v>
      </c>
      <c r="C1650" t="str">
        <f>_xlfn.XLOOKUP(tblOrders[[#This Row],[CustomerID]],tblCustomers[CustomerID],tblCustomers[CustomerName],"not found")</f>
        <v>Louis Mathews</v>
      </c>
      <c r="D1650">
        <f>_xlfn.XLOOKUP(tblOrders[[#This Row],[CustomerID]],tblCustomers[CustomerID],tblCustomers[Age],"not found")</f>
        <v>67</v>
      </c>
      <c r="E1650" t="str">
        <f>_xlfn.XLOOKUP(tblOrders[[#This Row],[CustomerID]],tblCustomers[CustomerID],tblCustomers[Gender],"not found")</f>
        <v>Female</v>
      </c>
      <c r="F1650" t="str">
        <f>_xlfn.XLOOKUP(tblOrders[[#This Row],[CustomerID]],tblCustomers[CustomerID],tblCustomers[Region],"not found")</f>
        <v>Central</v>
      </c>
      <c r="G1650">
        <v>1065</v>
      </c>
      <c r="H1650" t="str">
        <f>_xlfn.XLOOKUP(tblOrders[[#This Row],[ProductID]],tblProducts[ProductID],tblProducts[ProductName],"not found")</f>
        <v>Government</v>
      </c>
      <c r="I1650" t="str">
        <f>_xlfn.XLOOKUP(tblOrders[[#This Row],[ProductID]],tblProducts[ProductID],tblProducts[Category],"not found")</f>
        <v>Beauty</v>
      </c>
      <c r="J1650">
        <f>_xlfn.XLOOKUP(tblOrders[[#This Row],[ProductID]],tblProducts[ProductID],tblProducts[UnitPrice],"not found")</f>
        <v>424.18</v>
      </c>
      <c r="K1650" t="str">
        <f>_xlfn.XLOOKUP(tblOrders[[#This Row],[ProductID]],tblProducts[ProductID],tblProducts[Supplier],"not found")</f>
        <v>Gibbs and Sons</v>
      </c>
      <c r="L1650" s="1" t="s">
        <v>2251</v>
      </c>
      <c r="M16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45009</v>
      </c>
      <c r="N1650">
        <v>9</v>
      </c>
      <c r="O1650">
        <v>3817.62</v>
      </c>
      <c r="P1650">
        <f>tblOrders[[#This Row],[Quantity]]*tblOrders[[#This Row],[Unit Price]]</f>
        <v>3817.62</v>
      </c>
      <c r="Q1650">
        <f>tblOrders[[#This Row],[TotalSales]]-tblOrders[[#This Row],[Calculated Sales]]</f>
        <v>0</v>
      </c>
    </row>
    <row r="1651" spans="1:17" x14ac:dyDescent="0.25">
      <c r="A1651">
        <v>1257</v>
      </c>
      <c r="B1651">
        <v>584</v>
      </c>
      <c r="C1651" t="str">
        <f>_xlfn.XLOOKUP(tblOrders[[#This Row],[CustomerID]],tblCustomers[CustomerID],tblCustomers[CustomerName],"not found")</f>
        <v>Lisa Young</v>
      </c>
      <c r="D1651">
        <f>_xlfn.XLOOKUP(tblOrders[[#This Row],[CustomerID]],tblCustomers[CustomerID],tblCustomers[Age],"not found")</f>
        <v>33</v>
      </c>
      <c r="E1651" t="str">
        <f>_xlfn.XLOOKUP(tblOrders[[#This Row],[CustomerID]],tblCustomers[CustomerID],tblCustomers[Gender],"not found")</f>
        <v>Male</v>
      </c>
      <c r="F1651" t="str">
        <f>_xlfn.XLOOKUP(tblOrders[[#This Row],[CustomerID]],tblCustomers[CustomerID],tblCustomers[Region],"not found")</f>
        <v>East</v>
      </c>
      <c r="G1651">
        <v>1065</v>
      </c>
      <c r="H1651" t="str">
        <f>_xlfn.XLOOKUP(tblOrders[[#This Row],[ProductID]],tblProducts[ProductID],tblProducts[ProductName],"not found")</f>
        <v>Government</v>
      </c>
      <c r="I1651" t="str">
        <f>_xlfn.XLOOKUP(tblOrders[[#This Row],[ProductID]],tblProducts[ProductID],tblProducts[Category],"not found")</f>
        <v>Beauty</v>
      </c>
      <c r="J1651">
        <f>_xlfn.XLOOKUP(tblOrders[[#This Row],[ProductID]],tblProducts[ProductID],tblProducts[UnitPrice],"not found")</f>
        <v>424.18</v>
      </c>
      <c r="K1651" t="str">
        <f>_xlfn.XLOOKUP(tblOrders[[#This Row],[ProductID]],tblProducts[ProductID],tblProducts[Supplier],"not found")</f>
        <v>Gibbs and Sons</v>
      </c>
      <c r="L1651" s="1">
        <v>44989</v>
      </c>
      <c r="M16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44989</v>
      </c>
      <c r="N1651">
        <v>7</v>
      </c>
      <c r="O1651">
        <v>2969.26</v>
      </c>
      <c r="P1651">
        <f>tblOrders[[#This Row],[Quantity]]*tblOrders[[#This Row],[Unit Price]]</f>
        <v>2969.26</v>
      </c>
      <c r="Q1651">
        <f>tblOrders[[#This Row],[TotalSales]]-tblOrders[[#This Row],[Calculated Sales]]</f>
        <v>0</v>
      </c>
    </row>
    <row r="1652" spans="1:17" x14ac:dyDescent="0.25">
      <c r="A1652">
        <v>1292</v>
      </c>
      <c r="B1652">
        <v>534</v>
      </c>
      <c r="C1652" t="str">
        <f>_xlfn.XLOOKUP(tblOrders[[#This Row],[CustomerID]],tblCustomers[CustomerID],tblCustomers[CustomerName],"not found")</f>
        <v>Brett Solis</v>
      </c>
      <c r="D1652">
        <f>_xlfn.XLOOKUP(tblOrders[[#This Row],[CustomerID]],tblCustomers[CustomerID],tblCustomers[Age],"not found")</f>
        <v>33</v>
      </c>
      <c r="E1652" t="str">
        <f>_xlfn.XLOOKUP(tblOrders[[#This Row],[CustomerID]],tblCustomers[CustomerID],tblCustomers[Gender],"not found")</f>
        <v>Male</v>
      </c>
      <c r="F1652" t="str">
        <f>_xlfn.XLOOKUP(tblOrders[[#This Row],[CustomerID]],tblCustomers[CustomerID],tblCustomers[Region],"not found")</f>
        <v>West</v>
      </c>
      <c r="G1652">
        <v>1065</v>
      </c>
      <c r="H1652" t="str">
        <f>_xlfn.XLOOKUP(tblOrders[[#This Row],[ProductID]],tblProducts[ProductID],tblProducts[ProductName],"not found")</f>
        <v>Government</v>
      </c>
      <c r="I1652" t="str">
        <f>_xlfn.XLOOKUP(tblOrders[[#This Row],[ProductID]],tblProducts[ProductID],tblProducts[Category],"not found")</f>
        <v>Beauty</v>
      </c>
      <c r="J1652">
        <f>_xlfn.XLOOKUP(tblOrders[[#This Row],[ProductID]],tblProducts[ProductID],tblProducts[UnitPrice],"not found")</f>
        <v>424.18</v>
      </c>
      <c r="K1652" t="str">
        <f>_xlfn.XLOOKUP(tblOrders[[#This Row],[ProductID]],tblProducts[ProductID],tblProducts[Supplier],"not found")</f>
        <v>Gibbs and Sons</v>
      </c>
      <c r="L1652" s="1">
        <v>45537</v>
      </c>
      <c r="M16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45537</v>
      </c>
      <c r="N1652">
        <v>5</v>
      </c>
      <c r="O1652">
        <v>2120.9</v>
      </c>
      <c r="P1652">
        <f>tblOrders[[#This Row],[Quantity]]*tblOrders[[#This Row],[Unit Price]]</f>
        <v>2120.9</v>
      </c>
      <c r="Q1652">
        <f>tblOrders[[#This Row],[TotalSales]]-tblOrders[[#This Row],[Calculated Sales]]</f>
        <v>0</v>
      </c>
    </row>
    <row r="1653" spans="1:17" x14ac:dyDescent="0.25">
      <c r="A1653">
        <v>1302</v>
      </c>
      <c r="B1653">
        <v>170</v>
      </c>
      <c r="C1653" t="str">
        <f>_xlfn.XLOOKUP(tblOrders[[#This Row],[CustomerID]],tblCustomers[CustomerID],tblCustomers[CustomerName],"not found")</f>
        <v>Sheryl Rose</v>
      </c>
      <c r="D1653">
        <f>_xlfn.XLOOKUP(tblOrders[[#This Row],[CustomerID]],tblCustomers[CustomerID],tblCustomers[Age],"not found")</f>
        <v>33</v>
      </c>
      <c r="E1653" t="str">
        <f>_xlfn.XLOOKUP(tblOrders[[#This Row],[CustomerID]],tblCustomers[CustomerID],tblCustomers[Gender],"not found")</f>
        <v>Female</v>
      </c>
      <c r="F1653" t="str">
        <f>_xlfn.XLOOKUP(tblOrders[[#This Row],[CustomerID]],tblCustomers[CustomerID],tblCustomers[Region],"not found")</f>
        <v>North</v>
      </c>
      <c r="G1653">
        <v>1065</v>
      </c>
      <c r="H1653" t="str">
        <f>_xlfn.XLOOKUP(tblOrders[[#This Row],[ProductID]],tblProducts[ProductID],tblProducts[ProductName],"not found")</f>
        <v>Government</v>
      </c>
      <c r="I1653" t="str">
        <f>_xlfn.XLOOKUP(tblOrders[[#This Row],[ProductID]],tblProducts[ProductID],tblProducts[Category],"not found")</f>
        <v>Beauty</v>
      </c>
      <c r="J1653">
        <f>_xlfn.XLOOKUP(tblOrders[[#This Row],[ProductID]],tblProducts[ProductID],tblProducts[UnitPrice],"not found")</f>
        <v>424.18</v>
      </c>
      <c r="K1653" t="str">
        <f>_xlfn.XLOOKUP(tblOrders[[#This Row],[ProductID]],tblProducts[ProductID],tblProducts[Supplier],"not found")</f>
        <v>Gibbs and Sons</v>
      </c>
      <c r="L1653" s="1">
        <v>45447</v>
      </c>
      <c r="M16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45447</v>
      </c>
      <c r="N1653">
        <v>1</v>
      </c>
      <c r="O1653">
        <v>424.18</v>
      </c>
      <c r="P1653">
        <f>tblOrders[[#This Row],[Quantity]]*tblOrders[[#This Row],[Unit Price]]</f>
        <v>424.18</v>
      </c>
      <c r="Q1653">
        <f>tblOrders[[#This Row],[TotalSales]]-tblOrders[[#This Row],[Calculated Sales]]</f>
        <v>0</v>
      </c>
    </row>
    <row r="1654" spans="1:17" x14ac:dyDescent="0.25">
      <c r="A1654">
        <v>1334</v>
      </c>
      <c r="B1654">
        <v>963</v>
      </c>
      <c r="C1654" t="str">
        <f>_xlfn.XLOOKUP(tblOrders[[#This Row],[CustomerID]],tblCustomers[CustomerID],tblCustomers[CustomerName],"not found")</f>
        <v>Mrs. Lisa Torres</v>
      </c>
      <c r="D1654">
        <f>_xlfn.XLOOKUP(tblOrders[[#This Row],[CustomerID]],tblCustomers[CustomerID],tblCustomers[Age],"not found")</f>
        <v>41</v>
      </c>
      <c r="E1654" t="str">
        <f>_xlfn.XLOOKUP(tblOrders[[#This Row],[CustomerID]],tblCustomers[CustomerID],tblCustomers[Gender],"not found")</f>
        <v>Female</v>
      </c>
      <c r="F1654" t="str">
        <f>_xlfn.XLOOKUP(tblOrders[[#This Row],[CustomerID]],tblCustomers[CustomerID],tblCustomers[Region],"not found")</f>
        <v>South</v>
      </c>
      <c r="G1654">
        <v>1065</v>
      </c>
      <c r="H1654" t="str">
        <f>_xlfn.XLOOKUP(tblOrders[[#This Row],[ProductID]],tblProducts[ProductID],tblProducts[ProductName],"not found")</f>
        <v>Government</v>
      </c>
      <c r="I1654" t="str">
        <f>_xlfn.XLOOKUP(tblOrders[[#This Row],[ProductID]],tblProducts[ProductID],tblProducts[Category],"not found")</f>
        <v>Beauty</v>
      </c>
      <c r="J1654">
        <f>_xlfn.XLOOKUP(tblOrders[[#This Row],[ProductID]],tblProducts[ProductID],tblProducts[UnitPrice],"not found")</f>
        <v>424.18</v>
      </c>
      <c r="K1654" t="str">
        <f>_xlfn.XLOOKUP(tblOrders[[#This Row],[ProductID]],tblProducts[ProductID],tblProducts[Supplier],"not found")</f>
        <v>Gibbs and Sons</v>
      </c>
      <c r="L1654" s="1">
        <v>44906</v>
      </c>
      <c r="M16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44906</v>
      </c>
      <c r="N1654">
        <v>3</v>
      </c>
      <c r="O1654">
        <v>1272.54</v>
      </c>
      <c r="P1654">
        <f>tblOrders[[#This Row],[Quantity]]*tblOrders[[#This Row],[Unit Price]]</f>
        <v>1272.54</v>
      </c>
      <c r="Q1654">
        <f>tblOrders[[#This Row],[TotalSales]]-tblOrders[[#This Row],[Calculated Sales]]</f>
        <v>0</v>
      </c>
    </row>
    <row r="1655" spans="1:17" x14ac:dyDescent="0.25">
      <c r="A1655">
        <v>1552</v>
      </c>
      <c r="B1655">
        <v>26</v>
      </c>
      <c r="C1655" t="str">
        <f>_xlfn.XLOOKUP(tblOrders[[#This Row],[CustomerID]],tblCustomers[CustomerID],tblCustomers[CustomerName],"not found")</f>
        <v>Edwin Aguilar</v>
      </c>
      <c r="D1655">
        <f>_xlfn.XLOOKUP(tblOrders[[#This Row],[CustomerID]],tblCustomers[CustomerID],tblCustomers[Age],"not found")</f>
        <v>28</v>
      </c>
      <c r="E1655" t="str">
        <f>_xlfn.XLOOKUP(tblOrders[[#This Row],[CustomerID]],tblCustomers[CustomerID],tblCustomers[Gender],"not found")</f>
        <v>Female</v>
      </c>
      <c r="F1655" t="str">
        <f>_xlfn.XLOOKUP(tblOrders[[#This Row],[CustomerID]],tblCustomers[CustomerID],tblCustomers[Region],"not found")</f>
        <v>South</v>
      </c>
      <c r="G1655">
        <v>1065</v>
      </c>
      <c r="H1655" t="str">
        <f>_xlfn.XLOOKUP(tblOrders[[#This Row],[ProductID]],tblProducts[ProductID],tblProducts[ProductName],"not found")</f>
        <v>Government</v>
      </c>
      <c r="I1655" t="str">
        <f>_xlfn.XLOOKUP(tblOrders[[#This Row],[ProductID]],tblProducts[ProductID],tblProducts[Category],"not found")</f>
        <v>Beauty</v>
      </c>
      <c r="J1655">
        <f>_xlfn.XLOOKUP(tblOrders[[#This Row],[ProductID]],tblProducts[ProductID],tblProducts[UnitPrice],"not found")</f>
        <v>424.18</v>
      </c>
      <c r="K1655" t="str">
        <f>_xlfn.XLOOKUP(tblOrders[[#This Row],[ProductID]],tblProducts[ProductID],tblProducts[Supplier],"not found")</f>
        <v>Gibbs and Sons</v>
      </c>
      <c r="L1655" s="1">
        <v>45507</v>
      </c>
      <c r="M16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45507</v>
      </c>
      <c r="N1655">
        <v>9</v>
      </c>
      <c r="O1655">
        <v>3817.62</v>
      </c>
      <c r="P1655">
        <f>tblOrders[[#This Row],[Quantity]]*tblOrders[[#This Row],[Unit Price]]</f>
        <v>3817.62</v>
      </c>
      <c r="Q1655">
        <f>tblOrders[[#This Row],[TotalSales]]-tblOrders[[#This Row],[Calculated Sales]]</f>
        <v>0</v>
      </c>
    </row>
    <row r="1656" spans="1:17" x14ac:dyDescent="0.25">
      <c r="A1656">
        <v>1712</v>
      </c>
      <c r="B1656">
        <v>781</v>
      </c>
      <c r="C1656" t="str">
        <f>_xlfn.XLOOKUP(tblOrders[[#This Row],[CustomerID]],tblCustomers[CustomerID],tblCustomers[CustomerName],"not found")</f>
        <v>Jennifer Allen</v>
      </c>
      <c r="D1656">
        <f>_xlfn.XLOOKUP(tblOrders[[#This Row],[CustomerID]],tblCustomers[CustomerID],tblCustomers[Age],"not found")</f>
        <v>20</v>
      </c>
      <c r="E1656" t="str">
        <f>_xlfn.XLOOKUP(tblOrders[[#This Row],[CustomerID]],tblCustomers[CustomerID],tblCustomers[Gender],"not found")</f>
        <v>Female</v>
      </c>
      <c r="F1656" t="str">
        <f>_xlfn.XLOOKUP(tblOrders[[#This Row],[CustomerID]],tblCustomers[CustomerID],tblCustomers[Region],"not found")</f>
        <v>North</v>
      </c>
      <c r="G1656">
        <v>1065</v>
      </c>
      <c r="H1656" t="str">
        <f>_xlfn.XLOOKUP(tblOrders[[#This Row],[ProductID]],tblProducts[ProductID],tblProducts[ProductName],"not found")</f>
        <v>Government</v>
      </c>
      <c r="I1656" t="str">
        <f>_xlfn.XLOOKUP(tblOrders[[#This Row],[ProductID]],tblProducts[ProductID],tblProducts[Category],"not found")</f>
        <v>Beauty</v>
      </c>
      <c r="J1656">
        <f>_xlfn.XLOOKUP(tblOrders[[#This Row],[ProductID]],tblProducts[ProductID],tblProducts[UnitPrice],"not found")</f>
        <v>424.18</v>
      </c>
      <c r="K1656" t="str">
        <f>_xlfn.XLOOKUP(tblOrders[[#This Row],[ProductID]],tblProducts[ProductID],tblProducts[Supplier],"not found")</f>
        <v>Gibbs and Sons</v>
      </c>
      <c r="L1656" s="1" t="s">
        <v>2404</v>
      </c>
      <c r="M16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45435</v>
      </c>
      <c r="N1656">
        <v>2</v>
      </c>
      <c r="O1656">
        <v>848.36</v>
      </c>
      <c r="P1656">
        <f>tblOrders[[#This Row],[Quantity]]*tblOrders[[#This Row],[Unit Price]]</f>
        <v>848.36</v>
      </c>
      <c r="Q1656">
        <f>tblOrders[[#This Row],[TotalSales]]-tblOrders[[#This Row],[Calculated Sales]]</f>
        <v>0</v>
      </c>
    </row>
    <row r="1657" spans="1:17" x14ac:dyDescent="0.25">
      <c r="A1657">
        <v>1761</v>
      </c>
      <c r="B1657">
        <v>804</v>
      </c>
      <c r="C1657" t="str">
        <f>_xlfn.XLOOKUP(tblOrders[[#This Row],[CustomerID]],tblCustomers[CustomerID],tblCustomers[CustomerName],"not found")</f>
        <v>David Pugh</v>
      </c>
      <c r="D1657">
        <f>_xlfn.XLOOKUP(tblOrders[[#This Row],[CustomerID]],tblCustomers[CustomerID],tblCustomers[Age],"not found")</f>
        <v>56</v>
      </c>
      <c r="E1657" t="str">
        <f>_xlfn.XLOOKUP(tblOrders[[#This Row],[CustomerID]],tblCustomers[CustomerID],tblCustomers[Gender],"not found")</f>
        <v>Male</v>
      </c>
      <c r="F1657" t="str">
        <f>_xlfn.XLOOKUP(tblOrders[[#This Row],[CustomerID]],tblCustomers[CustomerID],tblCustomers[Region],"not found")</f>
        <v>East</v>
      </c>
      <c r="G1657">
        <v>1065</v>
      </c>
      <c r="H1657" t="str">
        <f>_xlfn.XLOOKUP(tblOrders[[#This Row],[ProductID]],tblProducts[ProductID],tblProducts[ProductName],"not found")</f>
        <v>Government</v>
      </c>
      <c r="I1657" t="str">
        <f>_xlfn.XLOOKUP(tblOrders[[#This Row],[ProductID]],tblProducts[ProductID],tblProducts[Category],"not found")</f>
        <v>Beauty</v>
      </c>
      <c r="J1657">
        <f>_xlfn.XLOOKUP(tblOrders[[#This Row],[ProductID]],tblProducts[ProductID],tblProducts[UnitPrice],"not found")</f>
        <v>424.18</v>
      </c>
      <c r="K1657" t="str">
        <f>_xlfn.XLOOKUP(tblOrders[[#This Row],[ProductID]],tblProducts[ProductID],tblProducts[Supplier],"not found")</f>
        <v>Gibbs and Sons</v>
      </c>
      <c r="L1657" s="1" t="s">
        <v>2231</v>
      </c>
      <c r="M16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45587</v>
      </c>
      <c r="N1657">
        <v>1</v>
      </c>
      <c r="O1657">
        <v>424.18</v>
      </c>
      <c r="P1657">
        <f>tblOrders[[#This Row],[Quantity]]*tblOrders[[#This Row],[Unit Price]]</f>
        <v>424.18</v>
      </c>
      <c r="Q1657">
        <f>tblOrders[[#This Row],[TotalSales]]-tblOrders[[#This Row],[Calculated Sales]]</f>
        <v>0</v>
      </c>
    </row>
    <row r="1658" spans="1:17" x14ac:dyDescent="0.25">
      <c r="A1658">
        <v>1763</v>
      </c>
      <c r="B1658">
        <v>887</v>
      </c>
      <c r="C1658" t="str">
        <f>_xlfn.XLOOKUP(tblOrders[[#This Row],[CustomerID]],tblCustomers[CustomerID],tblCustomers[CustomerName],"not found")</f>
        <v>Patrick Ford</v>
      </c>
      <c r="D1658">
        <f>_xlfn.XLOOKUP(tblOrders[[#This Row],[CustomerID]],tblCustomers[CustomerID],tblCustomers[Age],"not found")</f>
        <v>33</v>
      </c>
      <c r="E1658" t="str">
        <f>_xlfn.XLOOKUP(tblOrders[[#This Row],[CustomerID]],tblCustomers[CustomerID],tblCustomers[Gender],"not found")</f>
        <v>Male</v>
      </c>
      <c r="F1658" t="str">
        <f>_xlfn.XLOOKUP(tblOrders[[#This Row],[CustomerID]],tblCustomers[CustomerID],tblCustomers[Region],"not found")</f>
        <v>East</v>
      </c>
      <c r="G1658">
        <v>1065</v>
      </c>
      <c r="H1658" t="str">
        <f>_xlfn.XLOOKUP(tblOrders[[#This Row],[ProductID]],tblProducts[ProductID],tblProducts[ProductName],"not found")</f>
        <v>Government</v>
      </c>
      <c r="I1658" t="str">
        <f>_xlfn.XLOOKUP(tblOrders[[#This Row],[ProductID]],tblProducts[ProductID],tblProducts[Category],"not found")</f>
        <v>Beauty</v>
      </c>
      <c r="J1658">
        <f>_xlfn.XLOOKUP(tblOrders[[#This Row],[ProductID]],tblProducts[ProductID],tblProducts[UnitPrice],"not found")</f>
        <v>424.18</v>
      </c>
      <c r="K1658" t="str">
        <f>_xlfn.XLOOKUP(tblOrders[[#This Row],[ProductID]],tblProducts[ProductID],tblProducts[Supplier],"not found")</f>
        <v>Gibbs and Sons</v>
      </c>
      <c r="L1658" s="1" t="s">
        <v>2138</v>
      </c>
      <c r="M16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45253</v>
      </c>
      <c r="N1658">
        <v>6</v>
      </c>
      <c r="O1658">
        <v>2545.08</v>
      </c>
      <c r="P1658">
        <f>tblOrders[[#This Row],[Quantity]]*tblOrders[[#This Row],[Unit Price]]</f>
        <v>2545.08</v>
      </c>
      <c r="Q1658">
        <f>tblOrders[[#This Row],[TotalSales]]-tblOrders[[#This Row],[Calculated Sales]]</f>
        <v>0</v>
      </c>
    </row>
    <row r="1659" spans="1:17" x14ac:dyDescent="0.25">
      <c r="A1659">
        <v>1841</v>
      </c>
      <c r="B1659">
        <v>620</v>
      </c>
      <c r="C1659" t="str">
        <f>_xlfn.XLOOKUP(tblOrders[[#This Row],[CustomerID]],tblCustomers[CustomerID],tblCustomers[CustomerName],"not found")</f>
        <v>Mark Watkins</v>
      </c>
      <c r="D1659">
        <f>_xlfn.XLOOKUP(tblOrders[[#This Row],[CustomerID]],tblCustomers[CustomerID],tblCustomers[Age],"not found")</f>
        <v>28</v>
      </c>
      <c r="E1659" t="str">
        <f>_xlfn.XLOOKUP(tblOrders[[#This Row],[CustomerID]],tblCustomers[CustomerID],tblCustomers[Gender],"not found")</f>
        <v>Male</v>
      </c>
      <c r="F1659" t="str">
        <f>_xlfn.XLOOKUP(tblOrders[[#This Row],[CustomerID]],tblCustomers[CustomerID],tblCustomers[Region],"not found")</f>
        <v>West</v>
      </c>
      <c r="G1659">
        <v>1065</v>
      </c>
      <c r="H1659" t="str">
        <f>_xlfn.XLOOKUP(tblOrders[[#This Row],[ProductID]],tblProducts[ProductID],tblProducts[ProductName],"not found")</f>
        <v>Government</v>
      </c>
      <c r="I1659" t="str">
        <f>_xlfn.XLOOKUP(tblOrders[[#This Row],[ProductID]],tblProducts[ProductID],tblProducts[Category],"not found")</f>
        <v>Beauty</v>
      </c>
      <c r="J1659">
        <f>_xlfn.XLOOKUP(tblOrders[[#This Row],[ProductID]],tblProducts[ProductID],tblProducts[UnitPrice],"not found")</f>
        <v>424.18</v>
      </c>
      <c r="K1659" t="str">
        <f>_xlfn.XLOOKUP(tblOrders[[#This Row],[ProductID]],tblProducts[ProductID],tblProducts[Supplier],"not found")</f>
        <v>Gibbs and Sons</v>
      </c>
      <c r="L1659" s="1" t="s">
        <v>2391</v>
      </c>
      <c r="M16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45041</v>
      </c>
      <c r="N1659">
        <v>6</v>
      </c>
      <c r="O1659">
        <v>2545.08</v>
      </c>
      <c r="P1659">
        <f>tblOrders[[#This Row],[Quantity]]*tblOrders[[#This Row],[Unit Price]]</f>
        <v>2545.08</v>
      </c>
      <c r="Q1659">
        <f>tblOrders[[#This Row],[TotalSales]]-tblOrders[[#This Row],[Calculated Sales]]</f>
        <v>0</v>
      </c>
    </row>
    <row r="1660" spans="1:17" x14ac:dyDescent="0.25">
      <c r="A1660">
        <v>1944</v>
      </c>
      <c r="B1660">
        <v>434</v>
      </c>
      <c r="C1660" t="str">
        <f>_xlfn.XLOOKUP(tblOrders[[#This Row],[CustomerID]],tblCustomers[CustomerID],tblCustomers[CustomerName],"not found")</f>
        <v>Juan Griffin</v>
      </c>
      <c r="D1660">
        <f>_xlfn.XLOOKUP(tblOrders[[#This Row],[CustomerID]],tblCustomers[CustomerID],tblCustomers[Age],"not found")</f>
        <v>36</v>
      </c>
      <c r="E1660" t="str">
        <f>_xlfn.XLOOKUP(tblOrders[[#This Row],[CustomerID]],tblCustomers[CustomerID],tblCustomers[Gender],"not found")</f>
        <v>Female</v>
      </c>
      <c r="F1660" t="str">
        <f>_xlfn.XLOOKUP(tblOrders[[#This Row],[CustomerID]],tblCustomers[CustomerID],tblCustomers[Region],"not found")</f>
        <v>South</v>
      </c>
      <c r="G1660">
        <v>1065</v>
      </c>
      <c r="H1660" t="str">
        <f>_xlfn.XLOOKUP(tblOrders[[#This Row],[ProductID]],tblProducts[ProductID],tblProducts[ProductName],"not found")</f>
        <v>Government</v>
      </c>
      <c r="I1660" t="str">
        <f>_xlfn.XLOOKUP(tblOrders[[#This Row],[ProductID]],tblProducts[ProductID],tblProducts[Category],"not found")</f>
        <v>Beauty</v>
      </c>
      <c r="J1660">
        <f>_xlfn.XLOOKUP(tblOrders[[#This Row],[ProductID]],tblProducts[ProductID],tblProducts[UnitPrice],"not found")</f>
        <v>424.18</v>
      </c>
      <c r="K1660" t="str">
        <f>_xlfn.XLOOKUP(tblOrders[[#This Row],[ProductID]],tblProducts[ProductID],tblProducts[Supplier],"not found")</f>
        <v>Gibbs and Sons</v>
      </c>
      <c r="L1660" s="1" t="s">
        <v>2170</v>
      </c>
      <c r="M16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45283</v>
      </c>
      <c r="N1660">
        <v>1</v>
      </c>
      <c r="O1660">
        <v>424.18</v>
      </c>
      <c r="P1660">
        <f>tblOrders[[#This Row],[Quantity]]*tblOrders[[#This Row],[Unit Price]]</f>
        <v>424.18</v>
      </c>
      <c r="Q1660">
        <f>tblOrders[[#This Row],[TotalSales]]-tblOrders[[#This Row],[Calculated Sales]]</f>
        <v>0</v>
      </c>
    </row>
    <row r="1661" spans="1:17" x14ac:dyDescent="0.25">
      <c r="A1661">
        <v>1968</v>
      </c>
      <c r="B1661">
        <v>838</v>
      </c>
      <c r="C1661" t="str">
        <f>_xlfn.XLOOKUP(tblOrders[[#This Row],[CustomerID]],tblCustomers[CustomerID],tblCustomers[CustomerName],"not found")</f>
        <v>Robert Mason</v>
      </c>
      <c r="D1661">
        <f>_xlfn.XLOOKUP(tblOrders[[#This Row],[CustomerID]],tblCustomers[CustomerID],tblCustomers[Age],"not found")</f>
        <v>26</v>
      </c>
      <c r="E1661" t="str">
        <f>_xlfn.XLOOKUP(tblOrders[[#This Row],[CustomerID]],tblCustomers[CustomerID],tblCustomers[Gender],"not found")</f>
        <v>Female</v>
      </c>
      <c r="F1661" t="str">
        <f>_xlfn.XLOOKUP(tblOrders[[#This Row],[CustomerID]],tblCustomers[CustomerID],tblCustomers[Region],"not found")</f>
        <v>East</v>
      </c>
      <c r="G1661">
        <v>1065</v>
      </c>
      <c r="H1661" t="str">
        <f>_xlfn.XLOOKUP(tblOrders[[#This Row],[ProductID]],tblProducts[ProductID],tblProducts[ProductName],"not found")</f>
        <v>Government</v>
      </c>
      <c r="I1661" t="str">
        <f>_xlfn.XLOOKUP(tblOrders[[#This Row],[ProductID]],tblProducts[ProductID],tblProducts[Category],"not found")</f>
        <v>Beauty</v>
      </c>
      <c r="J1661">
        <f>_xlfn.XLOOKUP(tblOrders[[#This Row],[ProductID]],tblProducts[ProductID],tblProducts[UnitPrice],"not found")</f>
        <v>424.18</v>
      </c>
      <c r="K1661" t="str">
        <f>_xlfn.XLOOKUP(tblOrders[[#This Row],[ProductID]],tblProducts[ProductID],tblProducts[Supplier],"not found")</f>
        <v>Gibbs and Sons</v>
      </c>
      <c r="L1661" s="1">
        <v>45481</v>
      </c>
      <c r="M16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45481</v>
      </c>
      <c r="N1661">
        <v>1</v>
      </c>
      <c r="O1661">
        <v>424.18</v>
      </c>
      <c r="P1661">
        <f>tblOrders[[#This Row],[Quantity]]*tblOrders[[#This Row],[Unit Price]]</f>
        <v>424.18</v>
      </c>
      <c r="Q1661">
        <f>tblOrders[[#This Row],[TotalSales]]-tblOrders[[#This Row],[Calculated Sales]]</f>
        <v>0</v>
      </c>
    </row>
    <row r="1662" spans="1:17" x14ac:dyDescent="0.25">
      <c r="A1662">
        <v>149</v>
      </c>
      <c r="B1662">
        <v>433</v>
      </c>
      <c r="C1662" t="str">
        <f>_xlfn.XLOOKUP(tblOrders[[#This Row],[CustomerID]],tblCustomers[CustomerID],tblCustomers[CustomerName],"not found")</f>
        <v>Angela Morgan</v>
      </c>
      <c r="D1662">
        <f>_xlfn.XLOOKUP(tblOrders[[#This Row],[CustomerID]],tblCustomers[CustomerID],tblCustomers[Age],"not found")</f>
        <v>61</v>
      </c>
      <c r="E1662" t="str">
        <f>_xlfn.XLOOKUP(tblOrders[[#This Row],[CustomerID]],tblCustomers[CustomerID],tblCustomers[Gender],"not found")</f>
        <v>Female</v>
      </c>
      <c r="F1662" t="str">
        <f>_xlfn.XLOOKUP(tblOrders[[#This Row],[CustomerID]],tblCustomers[CustomerID],tblCustomers[Region],"not found")</f>
        <v>South</v>
      </c>
      <c r="G1662">
        <v>1001</v>
      </c>
      <c r="H1662" t="str">
        <f>_xlfn.XLOOKUP(tblOrders[[#This Row],[ProductID]],tblProducts[ProductID],tblProducts[ProductName],"not found")</f>
        <v>Huge</v>
      </c>
      <c r="I1662" t="str">
        <f>_xlfn.XLOOKUP(tblOrders[[#This Row],[ProductID]],tblProducts[ProductID],tblProducts[Category],"not found")</f>
        <v>Apparel</v>
      </c>
      <c r="J1662">
        <f>_xlfn.XLOOKUP(tblOrders[[#This Row],[ProductID]],tblProducts[ProductID],tblProducts[UnitPrice],"not found")</f>
        <v>99.32</v>
      </c>
      <c r="K1662" t="str">
        <f>_xlfn.XLOOKUP(tblOrders[[#This Row],[ProductID]],tblProducts[ProductID],tblProducts[Supplier],"not found")</f>
        <v>Owens Inc</v>
      </c>
      <c r="L1662" s="1">
        <v>45451</v>
      </c>
      <c r="M16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1662">
        <v>6</v>
      </c>
      <c r="O1662">
        <v>595.91999999999996</v>
      </c>
      <c r="P1662">
        <f>tblOrders[[#This Row],[Quantity]]*tblOrders[[#This Row],[Unit Price]]</f>
        <v>595.91999999999996</v>
      </c>
      <c r="Q1662">
        <f>tblOrders[[#This Row],[TotalSales]]-tblOrders[[#This Row],[Calculated Sales]]</f>
        <v>0</v>
      </c>
    </row>
    <row r="1663" spans="1:17" x14ac:dyDescent="0.25">
      <c r="A1663">
        <v>157</v>
      </c>
      <c r="B1663">
        <v>954</v>
      </c>
      <c r="C1663" t="str">
        <f>_xlfn.XLOOKUP(tblOrders[[#This Row],[CustomerID]],tblCustomers[CustomerID],tblCustomers[CustomerName],"not found")</f>
        <v>Ashley Turner</v>
      </c>
      <c r="D1663">
        <f>_xlfn.XLOOKUP(tblOrders[[#This Row],[CustomerID]],tblCustomers[CustomerID],tblCustomers[Age],"not found")</f>
        <v>23</v>
      </c>
      <c r="E1663" t="str">
        <f>_xlfn.XLOOKUP(tblOrders[[#This Row],[CustomerID]],tblCustomers[CustomerID],tblCustomers[Gender],"not found")</f>
        <v>Female</v>
      </c>
      <c r="F1663" t="str">
        <f>_xlfn.XLOOKUP(tblOrders[[#This Row],[CustomerID]],tblCustomers[CustomerID],tblCustomers[Region],"not found")</f>
        <v>North</v>
      </c>
      <c r="G1663">
        <v>1001</v>
      </c>
      <c r="H1663" t="str">
        <f>_xlfn.XLOOKUP(tblOrders[[#This Row],[ProductID]],tblProducts[ProductID],tblProducts[ProductName],"not found")</f>
        <v>Huge</v>
      </c>
      <c r="I1663" t="str">
        <f>_xlfn.XLOOKUP(tblOrders[[#This Row],[ProductID]],tblProducts[ProductID],tblProducts[Category],"not found")</f>
        <v>Apparel</v>
      </c>
      <c r="J1663">
        <f>_xlfn.XLOOKUP(tblOrders[[#This Row],[ProductID]],tblProducts[ProductID],tblProducts[UnitPrice],"not found")</f>
        <v>99.32</v>
      </c>
      <c r="K1663" t="str">
        <f>_xlfn.XLOOKUP(tblOrders[[#This Row],[ProductID]],tblProducts[ProductID],tblProducts[Supplier],"not found")</f>
        <v>Owens Inc</v>
      </c>
      <c r="L1663" s="1" t="s">
        <v>2405</v>
      </c>
      <c r="M16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45350</v>
      </c>
      <c r="N1663">
        <v>5</v>
      </c>
      <c r="O1663">
        <v>496.6</v>
      </c>
      <c r="P1663">
        <f>tblOrders[[#This Row],[Quantity]]*tblOrders[[#This Row],[Unit Price]]</f>
        <v>496.59999999999997</v>
      </c>
      <c r="Q1663">
        <f>tblOrders[[#This Row],[TotalSales]]-tblOrders[[#This Row],[Calculated Sales]]</f>
        <v>0</v>
      </c>
    </row>
    <row r="1664" spans="1:17" x14ac:dyDescent="0.25">
      <c r="A1664">
        <v>254</v>
      </c>
      <c r="B1664">
        <v>726</v>
      </c>
      <c r="C1664" t="str">
        <f>_xlfn.XLOOKUP(tblOrders[[#This Row],[CustomerID]],tblCustomers[CustomerID],tblCustomers[CustomerName],"not found")</f>
        <v>Carly Jackson</v>
      </c>
      <c r="D1664">
        <f>_xlfn.XLOOKUP(tblOrders[[#This Row],[CustomerID]],tblCustomers[CustomerID],tblCustomers[Age],"not found")</f>
        <v>51</v>
      </c>
      <c r="E1664" t="str">
        <f>_xlfn.XLOOKUP(tblOrders[[#This Row],[CustomerID]],tblCustomers[CustomerID],tblCustomers[Gender],"not found")</f>
        <v>Female</v>
      </c>
      <c r="F1664" t="str">
        <f>_xlfn.XLOOKUP(tblOrders[[#This Row],[CustomerID]],tblCustomers[CustomerID],tblCustomers[Region],"not found")</f>
        <v>South</v>
      </c>
      <c r="G1664">
        <v>1001</v>
      </c>
      <c r="H1664" t="str">
        <f>_xlfn.XLOOKUP(tblOrders[[#This Row],[ProductID]],tblProducts[ProductID],tblProducts[ProductName],"not found")</f>
        <v>Huge</v>
      </c>
      <c r="I1664" t="str">
        <f>_xlfn.XLOOKUP(tblOrders[[#This Row],[ProductID]],tblProducts[ProductID],tblProducts[Category],"not found")</f>
        <v>Apparel</v>
      </c>
      <c r="J1664">
        <f>_xlfn.XLOOKUP(tblOrders[[#This Row],[ProductID]],tblProducts[ProductID],tblProducts[UnitPrice],"not found")</f>
        <v>99.32</v>
      </c>
      <c r="K1664" t="str">
        <f>_xlfn.XLOOKUP(tblOrders[[#This Row],[ProductID]],tblProducts[ProductID],tblProducts[Supplier],"not found")</f>
        <v>Owens Inc</v>
      </c>
      <c r="L1664" s="1" t="s">
        <v>2314</v>
      </c>
      <c r="M16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44923</v>
      </c>
      <c r="N1664">
        <v>9</v>
      </c>
      <c r="O1664">
        <v>893.88</v>
      </c>
      <c r="P1664">
        <f>tblOrders[[#This Row],[Quantity]]*tblOrders[[#This Row],[Unit Price]]</f>
        <v>893.87999999999988</v>
      </c>
      <c r="Q1664">
        <f>tblOrders[[#This Row],[TotalSales]]-tblOrders[[#This Row],[Calculated Sales]]</f>
        <v>0</v>
      </c>
    </row>
    <row r="1665" spans="1:17" x14ac:dyDescent="0.25">
      <c r="A1665">
        <v>263</v>
      </c>
      <c r="B1665">
        <v>662</v>
      </c>
      <c r="C1665" t="str">
        <f>_xlfn.XLOOKUP(tblOrders[[#This Row],[CustomerID]],tblCustomers[CustomerID],tblCustomers[CustomerName],"not found")</f>
        <v>Justin Vasquez</v>
      </c>
      <c r="D1665">
        <f>_xlfn.XLOOKUP(tblOrders[[#This Row],[CustomerID]],tblCustomers[CustomerID],tblCustomers[Age],"not found")</f>
        <v>44</v>
      </c>
      <c r="E1665" t="str">
        <f>_xlfn.XLOOKUP(tblOrders[[#This Row],[CustomerID]],tblCustomers[CustomerID],tblCustomers[Gender],"not found")</f>
        <v>Female</v>
      </c>
      <c r="F1665" t="str">
        <f>_xlfn.XLOOKUP(tblOrders[[#This Row],[CustomerID]],tblCustomers[CustomerID],tblCustomers[Region],"not found")</f>
        <v>Central</v>
      </c>
      <c r="G1665">
        <v>1001</v>
      </c>
      <c r="H1665" t="str">
        <f>_xlfn.XLOOKUP(tblOrders[[#This Row],[ProductID]],tblProducts[ProductID],tblProducts[ProductName],"not found")</f>
        <v>Huge</v>
      </c>
      <c r="I1665" t="str">
        <f>_xlfn.XLOOKUP(tblOrders[[#This Row],[ProductID]],tblProducts[ProductID],tblProducts[Category],"not found")</f>
        <v>Apparel</v>
      </c>
      <c r="J1665">
        <f>_xlfn.XLOOKUP(tblOrders[[#This Row],[ProductID]],tblProducts[ProductID],tblProducts[UnitPrice],"not found")</f>
        <v>99.32</v>
      </c>
      <c r="K1665" t="str">
        <f>_xlfn.XLOOKUP(tblOrders[[#This Row],[ProductID]],tblProducts[ProductID],tblProducts[Supplier],"not found")</f>
        <v>Owens Inc</v>
      </c>
      <c r="L1665" s="1">
        <v>45144</v>
      </c>
      <c r="M16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45144</v>
      </c>
      <c r="N1665">
        <v>4</v>
      </c>
      <c r="O1665">
        <v>397.28</v>
      </c>
      <c r="P1665">
        <f>tblOrders[[#This Row],[Quantity]]*tblOrders[[#This Row],[Unit Price]]</f>
        <v>397.28</v>
      </c>
      <c r="Q1665">
        <f>tblOrders[[#This Row],[TotalSales]]-tblOrders[[#This Row],[Calculated Sales]]</f>
        <v>0</v>
      </c>
    </row>
    <row r="1666" spans="1:17" x14ac:dyDescent="0.25">
      <c r="A1666">
        <v>398</v>
      </c>
      <c r="B1666">
        <v>303</v>
      </c>
      <c r="C1666" t="str">
        <f>_xlfn.XLOOKUP(tblOrders[[#This Row],[CustomerID]],tblCustomers[CustomerID],tblCustomers[CustomerName],"not found")</f>
        <v>Amy Meyer</v>
      </c>
      <c r="D1666">
        <f>_xlfn.XLOOKUP(tblOrders[[#This Row],[CustomerID]],tblCustomers[CustomerID],tblCustomers[Age],"not found")</f>
        <v>52</v>
      </c>
      <c r="E1666" t="str">
        <f>_xlfn.XLOOKUP(tblOrders[[#This Row],[CustomerID]],tblCustomers[CustomerID],tblCustomers[Gender],"not found")</f>
        <v>Male</v>
      </c>
      <c r="F1666" t="str">
        <f>_xlfn.XLOOKUP(tblOrders[[#This Row],[CustomerID]],tblCustomers[CustomerID],tblCustomers[Region],"not found")</f>
        <v>West</v>
      </c>
      <c r="G1666">
        <v>1001</v>
      </c>
      <c r="H1666" t="str">
        <f>_xlfn.XLOOKUP(tblOrders[[#This Row],[ProductID]],tblProducts[ProductID],tblProducts[ProductName],"not found")</f>
        <v>Huge</v>
      </c>
      <c r="I1666" t="str">
        <f>_xlfn.XLOOKUP(tblOrders[[#This Row],[ProductID]],tblProducts[ProductID],tblProducts[Category],"not found")</f>
        <v>Apparel</v>
      </c>
      <c r="J1666">
        <f>_xlfn.XLOOKUP(tblOrders[[#This Row],[ProductID]],tblProducts[ProductID],tblProducts[UnitPrice],"not found")</f>
        <v>99.32</v>
      </c>
      <c r="K1666" t="str">
        <f>_xlfn.XLOOKUP(tblOrders[[#This Row],[ProductID]],tblProducts[ProductID],tblProducts[Supplier],"not found")</f>
        <v>Owens Inc</v>
      </c>
      <c r="L1666" s="1" t="s">
        <v>2049</v>
      </c>
      <c r="M16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45409</v>
      </c>
      <c r="N1666">
        <v>3</v>
      </c>
      <c r="O1666">
        <v>297.95999999999998</v>
      </c>
      <c r="P1666">
        <f>tblOrders[[#This Row],[Quantity]]*tblOrders[[#This Row],[Unit Price]]</f>
        <v>297.95999999999998</v>
      </c>
      <c r="Q1666">
        <f>tblOrders[[#This Row],[TotalSales]]-tblOrders[[#This Row],[Calculated Sales]]</f>
        <v>0</v>
      </c>
    </row>
    <row r="1667" spans="1:17" x14ac:dyDescent="0.25">
      <c r="A1667">
        <v>460</v>
      </c>
      <c r="B1667">
        <v>887</v>
      </c>
      <c r="C1667" t="str">
        <f>_xlfn.XLOOKUP(tblOrders[[#This Row],[CustomerID]],tblCustomers[CustomerID],tblCustomers[CustomerName],"not found")</f>
        <v>Patrick Ford</v>
      </c>
      <c r="D1667">
        <f>_xlfn.XLOOKUP(tblOrders[[#This Row],[CustomerID]],tblCustomers[CustomerID],tblCustomers[Age],"not found")</f>
        <v>33</v>
      </c>
      <c r="E1667" t="str">
        <f>_xlfn.XLOOKUP(tblOrders[[#This Row],[CustomerID]],tblCustomers[CustomerID],tblCustomers[Gender],"not found")</f>
        <v>Male</v>
      </c>
      <c r="F1667" t="str">
        <f>_xlfn.XLOOKUP(tblOrders[[#This Row],[CustomerID]],tblCustomers[CustomerID],tblCustomers[Region],"not found")</f>
        <v>East</v>
      </c>
      <c r="G1667">
        <v>1001</v>
      </c>
      <c r="H1667" t="str">
        <f>_xlfn.XLOOKUP(tblOrders[[#This Row],[ProductID]],tblProducts[ProductID],tblProducts[ProductName],"not found")</f>
        <v>Huge</v>
      </c>
      <c r="I1667" t="str">
        <f>_xlfn.XLOOKUP(tblOrders[[#This Row],[ProductID]],tblProducts[ProductID],tblProducts[Category],"not found")</f>
        <v>Apparel</v>
      </c>
      <c r="J1667">
        <f>_xlfn.XLOOKUP(tblOrders[[#This Row],[ProductID]],tblProducts[ProductID],tblProducts[UnitPrice],"not found")</f>
        <v>99.32</v>
      </c>
      <c r="K1667" t="str">
        <f>_xlfn.XLOOKUP(tblOrders[[#This Row],[ProductID]],tblProducts[ProductID],tblProducts[Supplier],"not found")</f>
        <v>Owens Inc</v>
      </c>
      <c r="L1667" s="1" t="s">
        <v>2064</v>
      </c>
      <c r="M16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45135</v>
      </c>
      <c r="N1667">
        <v>6</v>
      </c>
      <c r="O1667">
        <v>595.91999999999996</v>
      </c>
      <c r="P1667">
        <f>tblOrders[[#This Row],[Quantity]]*tblOrders[[#This Row],[Unit Price]]</f>
        <v>595.91999999999996</v>
      </c>
      <c r="Q1667">
        <f>tblOrders[[#This Row],[TotalSales]]-tblOrders[[#This Row],[Calculated Sales]]</f>
        <v>0</v>
      </c>
    </row>
    <row r="1668" spans="1:17" x14ac:dyDescent="0.25">
      <c r="A1668">
        <v>533</v>
      </c>
      <c r="B1668">
        <v>694</v>
      </c>
      <c r="C1668" t="str">
        <f>_xlfn.XLOOKUP(tblOrders[[#This Row],[CustomerID]],tblCustomers[CustomerID],tblCustomers[CustomerName],"not found")</f>
        <v>Andrea Rice</v>
      </c>
      <c r="D1668">
        <f>_xlfn.XLOOKUP(tblOrders[[#This Row],[CustomerID]],tblCustomers[CustomerID],tblCustomers[Age],"not found")</f>
        <v>47</v>
      </c>
      <c r="E1668" t="str">
        <f>_xlfn.XLOOKUP(tblOrders[[#This Row],[CustomerID]],tblCustomers[CustomerID],tblCustomers[Gender],"not found")</f>
        <v>Female</v>
      </c>
      <c r="F1668" t="str">
        <f>_xlfn.XLOOKUP(tblOrders[[#This Row],[CustomerID]],tblCustomers[CustomerID],tblCustomers[Region],"not found")</f>
        <v>Central</v>
      </c>
      <c r="G1668">
        <v>1001</v>
      </c>
      <c r="H1668" t="str">
        <f>_xlfn.XLOOKUP(tblOrders[[#This Row],[ProductID]],tblProducts[ProductID],tblProducts[ProductName],"not found")</f>
        <v>Huge</v>
      </c>
      <c r="I1668" t="str">
        <f>_xlfn.XLOOKUP(tblOrders[[#This Row],[ProductID]],tblProducts[ProductID],tblProducts[Category],"not found")</f>
        <v>Apparel</v>
      </c>
      <c r="J1668">
        <f>_xlfn.XLOOKUP(tblOrders[[#This Row],[ProductID]],tblProducts[ProductID],tblProducts[UnitPrice],"not found")</f>
        <v>99.32</v>
      </c>
      <c r="K1668" t="str">
        <f>_xlfn.XLOOKUP(tblOrders[[#This Row],[ProductID]],tblProducts[ProductID],tblProducts[Supplier],"not found")</f>
        <v>Owens Inc</v>
      </c>
      <c r="L1668" s="1" t="s">
        <v>2283</v>
      </c>
      <c r="M16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45099</v>
      </c>
      <c r="N1668">
        <v>7</v>
      </c>
      <c r="O1668">
        <v>695.24</v>
      </c>
      <c r="P1668">
        <f>tblOrders[[#This Row],[Quantity]]*tblOrders[[#This Row],[Unit Price]]</f>
        <v>695.24</v>
      </c>
      <c r="Q1668">
        <f>tblOrders[[#This Row],[TotalSales]]-tblOrders[[#This Row],[Calculated Sales]]</f>
        <v>0</v>
      </c>
    </row>
    <row r="1669" spans="1:17" x14ac:dyDescent="0.25">
      <c r="A1669">
        <v>601</v>
      </c>
      <c r="B1669">
        <v>456</v>
      </c>
      <c r="C1669" t="str">
        <f>_xlfn.XLOOKUP(tblOrders[[#This Row],[CustomerID]],tblCustomers[CustomerID],tblCustomers[CustomerName],"not found")</f>
        <v>Valerie Mays</v>
      </c>
      <c r="D1669">
        <f>_xlfn.XLOOKUP(tblOrders[[#This Row],[CustomerID]],tblCustomers[CustomerID],tblCustomers[Age],"not found")</f>
        <v>50</v>
      </c>
      <c r="E1669" t="str">
        <f>_xlfn.XLOOKUP(tblOrders[[#This Row],[CustomerID]],tblCustomers[CustomerID],tblCustomers[Gender],"not found")</f>
        <v>Male</v>
      </c>
      <c r="F1669" t="str">
        <f>_xlfn.XLOOKUP(tblOrders[[#This Row],[CustomerID]],tblCustomers[CustomerID],tblCustomers[Region],"not found")</f>
        <v>West</v>
      </c>
      <c r="G1669">
        <v>1001</v>
      </c>
      <c r="H1669" t="str">
        <f>_xlfn.XLOOKUP(tblOrders[[#This Row],[ProductID]],tblProducts[ProductID],tblProducts[ProductName],"not found")</f>
        <v>Huge</v>
      </c>
      <c r="I1669" t="str">
        <f>_xlfn.XLOOKUP(tblOrders[[#This Row],[ProductID]],tblProducts[ProductID],tblProducts[Category],"not found")</f>
        <v>Apparel</v>
      </c>
      <c r="J1669">
        <f>_xlfn.XLOOKUP(tblOrders[[#This Row],[ProductID]],tblProducts[ProductID],tblProducts[UnitPrice],"not found")</f>
        <v>99.32</v>
      </c>
      <c r="K1669" t="str">
        <f>_xlfn.XLOOKUP(tblOrders[[#This Row],[ProductID]],tblProducts[ProductID],tblProducts[Supplier],"not found")</f>
        <v>Owens Inc</v>
      </c>
      <c r="L1669" s="1">
        <v>45602</v>
      </c>
      <c r="M16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45602</v>
      </c>
      <c r="N1669">
        <v>3</v>
      </c>
      <c r="O1669">
        <v>297.95999999999998</v>
      </c>
      <c r="P1669">
        <f>tblOrders[[#This Row],[Quantity]]*tblOrders[[#This Row],[Unit Price]]</f>
        <v>297.95999999999998</v>
      </c>
      <c r="Q1669">
        <f>tblOrders[[#This Row],[TotalSales]]-tblOrders[[#This Row],[Calculated Sales]]</f>
        <v>0</v>
      </c>
    </row>
    <row r="1670" spans="1:17" x14ac:dyDescent="0.25">
      <c r="A1670">
        <v>683</v>
      </c>
      <c r="B1670">
        <v>834</v>
      </c>
      <c r="C1670" t="str">
        <f>_xlfn.XLOOKUP(tblOrders[[#This Row],[CustomerID]],tblCustomers[CustomerID],tblCustomers[CustomerName],"not found")</f>
        <v>Randy Taylor</v>
      </c>
      <c r="D1670">
        <f>_xlfn.XLOOKUP(tblOrders[[#This Row],[CustomerID]],tblCustomers[CustomerID],tblCustomers[Age],"not found")</f>
        <v>18</v>
      </c>
      <c r="E1670" t="str">
        <f>_xlfn.XLOOKUP(tblOrders[[#This Row],[CustomerID]],tblCustomers[CustomerID],tblCustomers[Gender],"not found")</f>
        <v>Male</v>
      </c>
      <c r="F1670" t="str">
        <f>_xlfn.XLOOKUP(tblOrders[[#This Row],[CustomerID]],tblCustomers[CustomerID],tblCustomers[Region],"not found")</f>
        <v>North</v>
      </c>
      <c r="G1670">
        <v>1001</v>
      </c>
      <c r="H1670" t="str">
        <f>_xlfn.XLOOKUP(tblOrders[[#This Row],[ProductID]],tblProducts[ProductID],tblProducts[ProductName],"not found")</f>
        <v>Huge</v>
      </c>
      <c r="I1670" t="str">
        <f>_xlfn.XLOOKUP(tblOrders[[#This Row],[ProductID]],tblProducts[ProductID],tblProducts[Category],"not found")</f>
        <v>Apparel</v>
      </c>
      <c r="J1670">
        <f>_xlfn.XLOOKUP(tblOrders[[#This Row],[ProductID]],tblProducts[ProductID],tblProducts[UnitPrice],"not found")</f>
        <v>99.32</v>
      </c>
      <c r="K1670" t="str">
        <f>_xlfn.XLOOKUP(tblOrders[[#This Row],[ProductID]],tblProducts[ProductID],tblProducts[Supplier],"not found")</f>
        <v>Owens Inc</v>
      </c>
      <c r="L1670" s="1">
        <v>45573</v>
      </c>
      <c r="M16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45573</v>
      </c>
      <c r="N1670">
        <v>5</v>
      </c>
      <c r="O1670">
        <v>496.6</v>
      </c>
      <c r="P1670">
        <f>tblOrders[[#This Row],[Quantity]]*tblOrders[[#This Row],[Unit Price]]</f>
        <v>496.59999999999997</v>
      </c>
      <c r="Q1670">
        <f>tblOrders[[#This Row],[TotalSales]]-tblOrders[[#This Row],[Calculated Sales]]</f>
        <v>0</v>
      </c>
    </row>
    <row r="1671" spans="1:17" x14ac:dyDescent="0.25">
      <c r="A1671">
        <v>751</v>
      </c>
      <c r="B1671">
        <v>885</v>
      </c>
      <c r="C1671" t="str">
        <f>_xlfn.XLOOKUP(tblOrders[[#This Row],[CustomerID]],tblCustomers[CustomerID],tblCustomers[CustomerName],"not found")</f>
        <v>Briana Barker</v>
      </c>
      <c r="D1671">
        <f>_xlfn.XLOOKUP(tblOrders[[#This Row],[CustomerID]],tblCustomers[CustomerID],tblCustomers[Age],"not found")</f>
        <v>54</v>
      </c>
      <c r="E1671" t="str">
        <f>_xlfn.XLOOKUP(tblOrders[[#This Row],[CustomerID]],tblCustomers[CustomerID],tblCustomers[Gender],"not found")</f>
        <v>Female</v>
      </c>
      <c r="F1671" t="str">
        <f>_xlfn.XLOOKUP(tblOrders[[#This Row],[CustomerID]],tblCustomers[CustomerID],tblCustomers[Region],"not found")</f>
        <v>East</v>
      </c>
      <c r="G1671">
        <v>1001</v>
      </c>
      <c r="H1671" t="str">
        <f>_xlfn.XLOOKUP(tblOrders[[#This Row],[ProductID]],tblProducts[ProductID],tblProducts[ProductName],"not found")</f>
        <v>Huge</v>
      </c>
      <c r="I1671" t="str">
        <f>_xlfn.XLOOKUP(tblOrders[[#This Row],[ProductID]],tblProducts[ProductID],tblProducts[Category],"not found")</f>
        <v>Apparel</v>
      </c>
      <c r="J1671">
        <f>_xlfn.XLOOKUP(tblOrders[[#This Row],[ProductID]],tblProducts[ProductID],tblProducts[UnitPrice],"not found")</f>
        <v>99.32</v>
      </c>
      <c r="K1671" t="str">
        <f>_xlfn.XLOOKUP(tblOrders[[#This Row],[ProductID]],tblProducts[ProductID],tblProducts[Supplier],"not found")</f>
        <v>Owens Inc</v>
      </c>
      <c r="L1671" s="1">
        <v>44815</v>
      </c>
      <c r="M16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44815</v>
      </c>
      <c r="N1671">
        <v>2</v>
      </c>
      <c r="O1671">
        <v>198.64</v>
      </c>
      <c r="P1671">
        <f>tblOrders[[#This Row],[Quantity]]*tblOrders[[#This Row],[Unit Price]]</f>
        <v>198.64</v>
      </c>
      <c r="Q1671">
        <f>tblOrders[[#This Row],[TotalSales]]-tblOrders[[#This Row],[Calculated Sales]]</f>
        <v>0</v>
      </c>
    </row>
    <row r="1672" spans="1:17" x14ac:dyDescent="0.25">
      <c r="A1672">
        <v>852</v>
      </c>
      <c r="B1672">
        <v>406</v>
      </c>
      <c r="C1672" t="str">
        <f>_xlfn.XLOOKUP(tblOrders[[#This Row],[CustomerID]],tblCustomers[CustomerID],tblCustomers[CustomerName],"not found")</f>
        <v>Tammy Harvey</v>
      </c>
      <c r="D1672">
        <f>_xlfn.XLOOKUP(tblOrders[[#This Row],[CustomerID]],tblCustomers[CustomerID],tblCustomers[Age],"not found")</f>
        <v>30</v>
      </c>
      <c r="E1672" t="str">
        <f>_xlfn.XLOOKUP(tblOrders[[#This Row],[CustomerID]],tblCustomers[CustomerID],tblCustomers[Gender],"not found")</f>
        <v>Female</v>
      </c>
      <c r="F1672" t="str">
        <f>_xlfn.XLOOKUP(tblOrders[[#This Row],[CustomerID]],tblCustomers[CustomerID],tblCustomers[Region],"not found")</f>
        <v>South</v>
      </c>
      <c r="G1672">
        <v>1001</v>
      </c>
      <c r="H1672" t="str">
        <f>_xlfn.XLOOKUP(tblOrders[[#This Row],[ProductID]],tblProducts[ProductID],tblProducts[ProductName],"not found")</f>
        <v>Huge</v>
      </c>
      <c r="I1672" t="str">
        <f>_xlfn.XLOOKUP(tblOrders[[#This Row],[ProductID]],tblProducts[ProductID],tblProducts[Category],"not found")</f>
        <v>Apparel</v>
      </c>
      <c r="J1672">
        <f>_xlfn.XLOOKUP(tblOrders[[#This Row],[ProductID]],tblProducts[ProductID],tblProducts[UnitPrice],"not found")</f>
        <v>99.32</v>
      </c>
      <c r="K1672" t="str">
        <f>_xlfn.XLOOKUP(tblOrders[[#This Row],[ProductID]],tblProducts[ProductID],tblProducts[Supplier],"not found")</f>
        <v>Owens Inc</v>
      </c>
      <c r="L1672" s="1">
        <v>45421</v>
      </c>
      <c r="M16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45421</v>
      </c>
      <c r="N1672">
        <v>8</v>
      </c>
      <c r="O1672">
        <v>794.56</v>
      </c>
      <c r="P1672">
        <f>tblOrders[[#This Row],[Quantity]]*tblOrders[[#This Row],[Unit Price]]</f>
        <v>794.56</v>
      </c>
      <c r="Q1672">
        <f>tblOrders[[#This Row],[TotalSales]]-tblOrders[[#This Row],[Calculated Sales]]</f>
        <v>0</v>
      </c>
    </row>
    <row r="1673" spans="1:17" x14ac:dyDescent="0.25">
      <c r="A1673">
        <v>915</v>
      </c>
      <c r="B1673">
        <v>31</v>
      </c>
      <c r="C1673" t="str">
        <f>_xlfn.XLOOKUP(tblOrders[[#This Row],[CustomerID]],tblCustomers[CustomerID],tblCustomers[CustomerName],"not found")</f>
        <v>Anthony Perez</v>
      </c>
      <c r="D1673">
        <f>_xlfn.XLOOKUP(tblOrders[[#This Row],[CustomerID]],tblCustomers[CustomerID],tblCustomers[Age],"not found")</f>
        <v>19</v>
      </c>
      <c r="E1673" t="str">
        <f>_xlfn.XLOOKUP(tblOrders[[#This Row],[CustomerID]],tblCustomers[CustomerID],tblCustomers[Gender],"not found")</f>
        <v>Male</v>
      </c>
      <c r="F1673" t="str">
        <f>_xlfn.XLOOKUP(tblOrders[[#This Row],[CustomerID]],tblCustomers[CustomerID],tblCustomers[Region],"not found")</f>
        <v>South</v>
      </c>
      <c r="G1673">
        <v>1001</v>
      </c>
      <c r="H1673" t="str">
        <f>_xlfn.XLOOKUP(tblOrders[[#This Row],[ProductID]],tblProducts[ProductID],tblProducts[ProductName],"not found")</f>
        <v>Huge</v>
      </c>
      <c r="I1673" t="str">
        <f>_xlfn.XLOOKUP(tblOrders[[#This Row],[ProductID]],tblProducts[ProductID],tblProducts[Category],"not found")</f>
        <v>Apparel</v>
      </c>
      <c r="J1673">
        <f>_xlfn.XLOOKUP(tblOrders[[#This Row],[ProductID]],tblProducts[ProductID],tblProducts[UnitPrice],"not found")</f>
        <v>99.32</v>
      </c>
      <c r="K1673" t="str">
        <f>_xlfn.XLOOKUP(tblOrders[[#This Row],[ProductID]],tblProducts[ProductID],tblProducts[Supplier],"not found")</f>
        <v>Owens Inc</v>
      </c>
      <c r="L1673" s="1" t="s">
        <v>2254</v>
      </c>
      <c r="M16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45579</v>
      </c>
      <c r="N1673">
        <v>9</v>
      </c>
      <c r="O1673">
        <v>893.88</v>
      </c>
      <c r="P1673">
        <f>tblOrders[[#This Row],[Quantity]]*tblOrders[[#This Row],[Unit Price]]</f>
        <v>893.87999999999988</v>
      </c>
      <c r="Q1673">
        <f>tblOrders[[#This Row],[TotalSales]]-tblOrders[[#This Row],[Calculated Sales]]</f>
        <v>0</v>
      </c>
    </row>
    <row r="1674" spans="1:17" x14ac:dyDescent="0.25">
      <c r="A1674">
        <v>926</v>
      </c>
      <c r="B1674">
        <v>408</v>
      </c>
      <c r="C1674" t="str">
        <f>_xlfn.XLOOKUP(tblOrders[[#This Row],[CustomerID]],tblCustomers[CustomerID],tblCustomers[CustomerName],"not found")</f>
        <v>Alan Parks</v>
      </c>
      <c r="D1674">
        <f>_xlfn.XLOOKUP(tblOrders[[#This Row],[CustomerID]],tblCustomers[CustomerID],tblCustomers[Age],"not found")</f>
        <v>66</v>
      </c>
      <c r="E1674" t="str">
        <f>_xlfn.XLOOKUP(tblOrders[[#This Row],[CustomerID]],tblCustomers[CustomerID],tblCustomers[Gender],"not found")</f>
        <v>Female</v>
      </c>
      <c r="F1674" t="str">
        <f>_xlfn.XLOOKUP(tblOrders[[#This Row],[CustomerID]],tblCustomers[CustomerID],tblCustomers[Region],"not found")</f>
        <v>Central</v>
      </c>
      <c r="G1674">
        <v>1001</v>
      </c>
      <c r="H1674" t="str">
        <f>_xlfn.XLOOKUP(tblOrders[[#This Row],[ProductID]],tblProducts[ProductID],tblProducts[ProductName],"not found")</f>
        <v>Huge</v>
      </c>
      <c r="I1674" t="str">
        <f>_xlfn.XLOOKUP(tblOrders[[#This Row],[ProductID]],tblProducts[ProductID],tblProducts[Category],"not found")</f>
        <v>Apparel</v>
      </c>
      <c r="J1674">
        <f>_xlfn.XLOOKUP(tblOrders[[#This Row],[ProductID]],tblProducts[ProductID],tblProducts[UnitPrice],"not found")</f>
        <v>99.32</v>
      </c>
      <c r="K1674" t="str">
        <f>_xlfn.XLOOKUP(tblOrders[[#This Row],[ProductID]],tblProducts[ProductID],tblProducts[Supplier],"not found")</f>
        <v>Owens Inc</v>
      </c>
      <c r="L1674" s="1" t="s">
        <v>2289</v>
      </c>
      <c r="M16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45091</v>
      </c>
      <c r="N1674">
        <v>8</v>
      </c>
      <c r="O1674">
        <v>794.56</v>
      </c>
      <c r="P1674">
        <f>tblOrders[[#This Row],[Quantity]]*tblOrders[[#This Row],[Unit Price]]</f>
        <v>794.56</v>
      </c>
      <c r="Q1674">
        <f>tblOrders[[#This Row],[TotalSales]]-tblOrders[[#This Row],[Calculated Sales]]</f>
        <v>0</v>
      </c>
    </row>
    <row r="1675" spans="1:17" x14ac:dyDescent="0.25">
      <c r="A1675">
        <v>1031</v>
      </c>
      <c r="B1675">
        <v>295</v>
      </c>
      <c r="C1675" t="str">
        <f>_xlfn.XLOOKUP(tblOrders[[#This Row],[CustomerID]],tblCustomers[CustomerID],tblCustomers[CustomerName],"not found")</f>
        <v>Walter Zuniga</v>
      </c>
      <c r="D1675">
        <f>_xlfn.XLOOKUP(tblOrders[[#This Row],[CustomerID]],tblCustomers[CustomerID],tblCustomers[Age],"not found")</f>
        <v>38</v>
      </c>
      <c r="E1675" t="str">
        <f>_xlfn.XLOOKUP(tblOrders[[#This Row],[CustomerID]],tblCustomers[CustomerID],tblCustomers[Gender],"not found")</f>
        <v>Female</v>
      </c>
      <c r="F1675" t="str">
        <f>_xlfn.XLOOKUP(tblOrders[[#This Row],[CustomerID]],tblCustomers[CustomerID],tblCustomers[Region],"not found")</f>
        <v>South</v>
      </c>
      <c r="G1675">
        <v>1001</v>
      </c>
      <c r="H1675" t="str">
        <f>_xlfn.XLOOKUP(tblOrders[[#This Row],[ProductID]],tblProducts[ProductID],tblProducts[ProductName],"not found")</f>
        <v>Huge</v>
      </c>
      <c r="I1675" t="str">
        <f>_xlfn.XLOOKUP(tblOrders[[#This Row],[ProductID]],tblProducts[ProductID],tblProducts[Category],"not found")</f>
        <v>Apparel</v>
      </c>
      <c r="J1675">
        <f>_xlfn.XLOOKUP(tblOrders[[#This Row],[ProductID]],tblProducts[ProductID],tblProducts[UnitPrice],"not found")</f>
        <v>99.32</v>
      </c>
      <c r="K1675" t="str">
        <f>_xlfn.XLOOKUP(tblOrders[[#This Row],[ProductID]],tblProducts[ProductID],tblProducts[Supplier],"not found")</f>
        <v>Owens Inc</v>
      </c>
      <c r="L1675" s="1">
        <v>45599</v>
      </c>
      <c r="M16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45599</v>
      </c>
      <c r="N1675">
        <v>4</v>
      </c>
      <c r="O1675">
        <v>397.28</v>
      </c>
      <c r="P1675">
        <f>tblOrders[[#This Row],[Quantity]]*tblOrders[[#This Row],[Unit Price]]</f>
        <v>397.28</v>
      </c>
      <c r="Q1675">
        <f>tblOrders[[#This Row],[TotalSales]]-tblOrders[[#This Row],[Calculated Sales]]</f>
        <v>0</v>
      </c>
    </row>
    <row r="1676" spans="1:17" x14ac:dyDescent="0.25">
      <c r="A1676">
        <v>1104</v>
      </c>
      <c r="B1676">
        <v>634</v>
      </c>
      <c r="C1676" t="str">
        <f>_xlfn.XLOOKUP(tblOrders[[#This Row],[CustomerID]],tblCustomers[CustomerID],tblCustomers[CustomerName],"not found")</f>
        <v>Chris Winters</v>
      </c>
      <c r="D1676">
        <f>_xlfn.XLOOKUP(tblOrders[[#This Row],[CustomerID]],tblCustomers[CustomerID],tblCustomers[Age],"not found")</f>
        <v>26</v>
      </c>
      <c r="E1676" t="str">
        <f>_xlfn.XLOOKUP(tblOrders[[#This Row],[CustomerID]],tblCustomers[CustomerID],tblCustomers[Gender],"not found")</f>
        <v>Male</v>
      </c>
      <c r="F1676" t="str">
        <f>_xlfn.XLOOKUP(tblOrders[[#This Row],[CustomerID]],tblCustomers[CustomerID],tblCustomers[Region],"not found")</f>
        <v>South</v>
      </c>
      <c r="G1676">
        <v>1001</v>
      </c>
      <c r="H1676" t="str">
        <f>_xlfn.XLOOKUP(tblOrders[[#This Row],[ProductID]],tblProducts[ProductID],tblProducts[ProductName],"not found")</f>
        <v>Huge</v>
      </c>
      <c r="I1676" t="str">
        <f>_xlfn.XLOOKUP(tblOrders[[#This Row],[ProductID]],tblProducts[ProductID],tblProducts[Category],"not found")</f>
        <v>Apparel</v>
      </c>
      <c r="J1676">
        <f>_xlfn.XLOOKUP(tblOrders[[#This Row],[ProductID]],tblProducts[ProductID],tblProducts[UnitPrice],"not found")</f>
        <v>99.32</v>
      </c>
      <c r="K1676" t="str">
        <f>_xlfn.XLOOKUP(tblOrders[[#This Row],[ProductID]],tblProducts[ProductID],tblProducts[Supplier],"not found")</f>
        <v>Owens Inc</v>
      </c>
      <c r="L1676" s="1">
        <v>45234</v>
      </c>
      <c r="M16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45234</v>
      </c>
      <c r="N1676">
        <v>6</v>
      </c>
      <c r="O1676">
        <v>595.91999999999996</v>
      </c>
      <c r="P1676">
        <f>tblOrders[[#This Row],[Quantity]]*tblOrders[[#This Row],[Unit Price]]</f>
        <v>595.91999999999996</v>
      </c>
      <c r="Q1676">
        <f>tblOrders[[#This Row],[TotalSales]]-tblOrders[[#This Row],[Calculated Sales]]</f>
        <v>0</v>
      </c>
    </row>
    <row r="1677" spans="1:17" x14ac:dyDescent="0.25">
      <c r="A1677">
        <v>1204</v>
      </c>
      <c r="B1677">
        <v>745</v>
      </c>
      <c r="C1677" t="str">
        <f>_xlfn.XLOOKUP(tblOrders[[#This Row],[CustomerID]],tblCustomers[CustomerID],tblCustomers[CustomerName],"not found")</f>
        <v>Nathaniel Willis</v>
      </c>
      <c r="D1677">
        <f>_xlfn.XLOOKUP(tblOrders[[#This Row],[CustomerID]],tblCustomers[CustomerID],tblCustomers[Age],"not found")</f>
        <v>51</v>
      </c>
      <c r="E1677" t="str">
        <f>_xlfn.XLOOKUP(tblOrders[[#This Row],[CustomerID]],tblCustomers[CustomerID],tblCustomers[Gender],"not found")</f>
        <v>Male</v>
      </c>
      <c r="F1677" t="str">
        <f>_xlfn.XLOOKUP(tblOrders[[#This Row],[CustomerID]],tblCustomers[CustomerID],tblCustomers[Region],"not found")</f>
        <v>North</v>
      </c>
      <c r="G1677">
        <v>1001</v>
      </c>
      <c r="H1677" t="str">
        <f>_xlfn.XLOOKUP(tblOrders[[#This Row],[ProductID]],tblProducts[ProductID],tblProducts[ProductName],"not found")</f>
        <v>Huge</v>
      </c>
      <c r="I1677" t="str">
        <f>_xlfn.XLOOKUP(tblOrders[[#This Row],[ProductID]],tblProducts[ProductID],tblProducts[Category],"not found")</f>
        <v>Apparel</v>
      </c>
      <c r="J1677">
        <f>_xlfn.XLOOKUP(tblOrders[[#This Row],[ProductID]],tblProducts[ProductID],tblProducts[UnitPrice],"not found")</f>
        <v>99.32</v>
      </c>
      <c r="K1677" t="str">
        <f>_xlfn.XLOOKUP(tblOrders[[#This Row],[ProductID]],tblProducts[ProductID],tblProducts[Supplier],"not found")</f>
        <v>Owens Inc</v>
      </c>
      <c r="L1677" s="1" t="s">
        <v>2406</v>
      </c>
      <c r="M16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45190</v>
      </c>
      <c r="N1677">
        <v>3</v>
      </c>
      <c r="O1677">
        <v>297.95999999999998</v>
      </c>
      <c r="P1677">
        <f>tblOrders[[#This Row],[Quantity]]*tblOrders[[#This Row],[Unit Price]]</f>
        <v>297.95999999999998</v>
      </c>
      <c r="Q1677">
        <f>tblOrders[[#This Row],[TotalSales]]-tblOrders[[#This Row],[Calculated Sales]]</f>
        <v>0</v>
      </c>
    </row>
    <row r="1678" spans="1:17" x14ac:dyDescent="0.25">
      <c r="A1678">
        <v>1220</v>
      </c>
      <c r="B1678">
        <v>231</v>
      </c>
      <c r="C1678" t="str">
        <f>_xlfn.XLOOKUP(tblOrders[[#This Row],[CustomerID]],tblCustomers[CustomerID],tblCustomers[CustomerName],"not found")</f>
        <v>Justin Martinez</v>
      </c>
      <c r="D1678">
        <f>_xlfn.XLOOKUP(tblOrders[[#This Row],[CustomerID]],tblCustomers[CustomerID],tblCustomers[Age],"not found")</f>
        <v>53</v>
      </c>
      <c r="E1678" t="str">
        <f>_xlfn.XLOOKUP(tblOrders[[#This Row],[CustomerID]],tblCustomers[CustomerID],tblCustomers[Gender],"not found")</f>
        <v>Male</v>
      </c>
      <c r="F1678" t="str">
        <f>_xlfn.XLOOKUP(tblOrders[[#This Row],[CustomerID]],tblCustomers[CustomerID],tblCustomers[Region],"not found")</f>
        <v>North</v>
      </c>
      <c r="G1678">
        <v>1001</v>
      </c>
      <c r="H1678" t="str">
        <f>_xlfn.XLOOKUP(tblOrders[[#This Row],[ProductID]],tblProducts[ProductID],tblProducts[ProductName],"not found")</f>
        <v>Huge</v>
      </c>
      <c r="I1678" t="str">
        <f>_xlfn.XLOOKUP(tblOrders[[#This Row],[ProductID]],tblProducts[ProductID],tblProducts[Category],"not found")</f>
        <v>Apparel</v>
      </c>
      <c r="J1678">
        <f>_xlfn.XLOOKUP(tblOrders[[#This Row],[ProductID]],tblProducts[ProductID],tblProducts[UnitPrice],"not found")</f>
        <v>99.32</v>
      </c>
      <c r="K1678" t="str">
        <f>_xlfn.XLOOKUP(tblOrders[[#This Row],[ProductID]],tblProducts[ProductID],tblProducts[Supplier],"not found")</f>
        <v>Owens Inc</v>
      </c>
      <c r="L1678" s="1" t="s">
        <v>2407</v>
      </c>
      <c r="M16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45194</v>
      </c>
      <c r="N1678">
        <v>3</v>
      </c>
      <c r="O1678">
        <v>297.95999999999998</v>
      </c>
      <c r="P1678">
        <f>tblOrders[[#This Row],[Quantity]]*tblOrders[[#This Row],[Unit Price]]</f>
        <v>297.95999999999998</v>
      </c>
      <c r="Q1678">
        <f>tblOrders[[#This Row],[TotalSales]]-tblOrders[[#This Row],[Calculated Sales]]</f>
        <v>0</v>
      </c>
    </row>
    <row r="1679" spans="1:17" x14ac:dyDescent="0.25">
      <c r="A1679">
        <v>1244</v>
      </c>
      <c r="B1679">
        <v>51</v>
      </c>
      <c r="C1679" t="str">
        <f>_xlfn.XLOOKUP(tblOrders[[#This Row],[CustomerID]],tblCustomers[CustomerID],tblCustomers[CustomerName],"not found")</f>
        <v>Randall Medina</v>
      </c>
      <c r="D1679">
        <f>_xlfn.XLOOKUP(tblOrders[[#This Row],[CustomerID]],tblCustomers[CustomerID],tblCustomers[Age],"not found")</f>
        <v>66</v>
      </c>
      <c r="E1679" t="str">
        <f>_xlfn.XLOOKUP(tblOrders[[#This Row],[CustomerID]],tblCustomers[CustomerID],tblCustomers[Gender],"not found")</f>
        <v>Male</v>
      </c>
      <c r="F1679" t="str">
        <f>_xlfn.XLOOKUP(tblOrders[[#This Row],[CustomerID]],tblCustomers[CustomerID],tblCustomers[Region],"not found")</f>
        <v>South</v>
      </c>
      <c r="G1679">
        <v>1001</v>
      </c>
      <c r="H1679" t="str">
        <f>_xlfn.XLOOKUP(tblOrders[[#This Row],[ProductID]],tblProducts[ProductID],tblProducts[ProductName],"not found")</f>
        <v>Huge</v>
      </c>
      <c r="I1679" t="str">
        <f>_xlfn.XLOOKUP(tblOrders[[#This Row],[ProductID]],tblProducts[ProductID],tblProducts[Category],"not found")</f>
        <v>Apparel</v>
      </c>
      <c r="J1679">
        <f>_xlfn.XLOOKUP(tblOrders[[#This Row],[ProductID]],tblProducts[ProductID],tblProducts[UnitPrice],"not found")</f>
        <v>99.32</v>
      </c>
      <c r="K1679" t="str">
        <f>_xlfn.XLOOKUP(tblOrders[[#This Row],[ProductID]],tblProducts[ProductID],tblProducts[Supplier],"not found")</f>
        <v>Owens Inc</v>
      </c>
      <c r="L1679" s="1" t="s">
        <v>2286</v>
      </c>
      <c r="M16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45104</v>
      </c>
      <c r="N1679">
        <v>8</v>
      </c>
      <c r="O1679">
        <v>794.56</v>
      </c>
      <c r="P1679">
        <f>tblOrders[[#This Row],[Quantity]]*tblOrders[[#This Row],[Unit Price]]</f>
        <v>794.56</v>
      </c>
      <c r="Q1679">
        <f>tblOrders[[#This Row],[TotalSales]]-tblOrders[[#This Row],[Calculated Sales]]</f>
        <v>0</v>
      </c>
    </row>
    <row r="1680" spans="1:17" x14ac:dyDescent="0.25">
      <c r="A1680">
        <v>1267</v>
      </c>
      <c r="B1680">
        <v>504</v>
      </c>
      <c r="C1680" t="str">
        <f>_xlfn.XLOOKUP(tblOrders[[#This Row],[CustomerID]],tblCustomers[CustomerID],tblCustomers[CustomerName],"not found")</f>
        <v>Debra Lee</v>
      </c>
      <c r="D1680">
        <f>_xlfn.XLOOKUP(tblOrders[[#This Row],[CustomerID]],tblCustomers[CustomerID],tblCustomers[Age],"not found")</f>
        <v>35</v>
      </c>
      <c r="E1680" t="str">
        <f>_xlfn.XLOOKUP(tblOrders[[#This Row],[CustomerID]],tblCustomers[CustomerID],tblCustomers[Gender],"not found")</f>
        <v>Male</v>
      </c>
      <c r="F1680" t="str">
        <f>_xlfn.XLOOKUP(tblOrders[[#This Row],[CustomerID]],tblCustomers[CustomerID],tblCustomers[Region],"not found")</f>
        <v>Central</v>
      </c>
      <c r="G1680">
        <v>1001</v>
      </c>
      <c r="H1680" t="str">
        <f>_xlfn.XLOOKUP(tblOrders[[#This Row],[ProductID]],tblProducts[ProductID],tblProducts[ProductName],"not found")</f>
        <v>Huge</v>
      </c>
      <c r="I1680" t="str">
        <f>_xlfn.XLOOKUP(tblOrders[[#This Row],[ProductID]],tblProducts[ProductID],tblProducts[Category],"not found")</f>
        <v>Apparel</v>
      </c>
      <c r="J1680">
        <f>_xlfn.XLOOKUP(tblOrders[[#This Row],[ProductID]],tblProducts[ProductID],tblProducts[UnitPrice],"not found")</f>
        <v>99.32</v>
      </c>
      <c r="K1680" t="str">
        <f>_xlfn.XLOOKUP(tblOrders[[#This Row],[ProductID]],tblProducts[ProductID],tblProducts[Supplier],"not found")</f>
        <v>Owens Inc</v>
      </c>
      <c r="L1680" s="1" t="s">
        <v>2025</v>
      </c>
      <c r="M16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45407</v>
      </c>
      <c r="N1680">
        <v>3</v>
      </c>
      <c r="O1680">
        <v>297.95999999999998</v>
      </c>
      <c r="P1680">
        <f>tblOrders[[#This Row],[Quantity]]*tblOrders[[#This Row],[Unit Price]]</f>
        <v>297.95999999999998</v>
      </c>
      <c r="Q1680">
        <f>tblOrders[[#This Row],[TotalSales]]-tblOrders[[#This Row],[Calculated Sales]]</f>
        <v>0</v>
      </c>
    </row>
    <row r="1681" spans="1:17" x14ac:dyDescent="0.25">
      <c r="A1681">
        <v>1335</v>
      </c>
      <c r="B1681">
        <v>758</v>
      </c>
      <c r="C1681" t="str">
        <f>_xlfn.XLOOKUP(tblOrders[[#This Row],[CustomerID]],tblCustomers[CustomerID],tblCustomers[CustomerName],"not found")</f>
        <v>Daniel Long</v>
      </c>
      <c r="D1681">
        <f>_xlfn.XLOOKUP(tblOrders[[#This Row],[CustomerID]],tblCustomers[CustomerID],tblCustomers[Age],"not found")</f>
        <v>25</v>
      </c>
      <c r="E1681" t="str">
        <f>_xlfn.XLOOKUP(tblOrders[[#This Row],[CustomerID]],tblCustomers[CustomerID],tblCustomers[Gender],"not found")</f>
        <v>Male</v>
      </c>
      <c r="F1681" t="str">
        <f>_xlfn.XLOOKUP(tblOrders[[#This Row],[CustomerID]],tblCustomers[CustomerID],tblCustomers[Region],"not found")</f>
        <v>Central</v>
      </c>
      <c r="G1681">
        <v>1001</v>
      </c>
      <c r="H1681" t="str">
        <f>_xlfn.XLOOKUP(tblOrders[[#This Row],[ProductID]],tblProducts[ProductID],tblProducts[ProductName],"not found")</f>
        <v>Huge</v>
      </c>
      <c r="I1681" t="str">
        <f>_xlfn.XLOOKUP(tblOrders[[#This Row],[ProductID]],tblProducts[ProductID],tblProducts[Category],"not found")</f>
        <v>Apparel</v>
      </c>
      <c r="J1681">
        <f>_xlfn.XLOOKUP(tblOrders[[#This Row],[ProductID]],tblProducts[ProductID],tblProducts[UnitPrice],"not found")</f>
        <v>99.32</v>
      </c>
      <c r="K1681" t="str">
        <f>_xlfn.XLOOKUP(tblOrders[[#This Row],[ProductID]],tblProducts[ProductID],tblProducts[Supplier],"not found")</f>
        <v>Owens Inc</v>
      </c>
      <c r="L1681" s="1" t="s">
        <v>2123</v>
      </c>
      <c r="M16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45592</v>
      </c>
      <c r="N1681">
        <v>2</v>
      </c>
      <c r="O1681">
        <v>198.64</v>
      </c>
      <c r="P1681">
        <f>tblOrders[[#This Row],[Quantity]]*tblOrders[[#This Row],[Unit Price]]</f>
        <v>198.64</v>
      </c>
      <c r="Q1681">
        <f>tblOrders[[#This Row],[TotalSales]]-tblOrders[[#This Row],[Calculated Sales]]</f>
        <v>0</v>
      </c>
    </row>
    <row r="1682" spans="1:17" x14ac:dyDescent="0.25">
      <c r="A1682">
        <v>1350</v>
      </c>
      <c r="B1682">
        <v>753</v>
      </c>
      <c r="C1682" t="str">
        <f>_xlfn.XLOOKUP(tblOrders[[#This Row],[CustomerID]],tblCustomers[CustomerID],tblCustomers[CustomerName],"not found")</f>
        <v>Douglas Moore</v>
      </c>
      <c r="D1682">
        <f>_xlfn.XLOOKUP(tblOrders[[#This Row],[CustomerID]],tblCustomers[CustomerID],tblCustomers[Age],"not found")</f>
        <v>21</v>
      </c>
      <c r="E1682" t="str">
        <f>_xlfn.XLOOKUP(tblOrders[[#This Row],[CustomerID]],tblCustomers[CustomerID],tblCustomers[Gender],"not found")</f>
        <v>Female</v>
      </c>
      <c r="F1682" t="str">
        <f>_xlfn.XLOOKUP(tblOrders[[#This Row],[CustomerID]],tblCustomers[CustomerID],tblCustomers[Region],"not found")</f>
        <v>North</v>
      </c>
      <c r="G1682">
        <v>1001</v>
      </c>
      <c r="H1682" t="str">
        <f>_xlfn.XLOOKUP(tblOrders[[#This Row],[ProductID]],tblProducts[ProductID],tblProducts[ProductName],"not found")</f>
        <v>Huge</v>
      </c>
      <c r="I1682" t="str">
        <f>_xlfn.XLOOKUP(tblOrders[[#This Row],[ProductID]],tblProducts[ProductID],tblProducts[Category],"not found")</f>
        <v>Apparel</v>
      </c>
      <c r="J1682">
        <f>_xlfn.XLOOKUP(tblOrders[[#This Row],[ProductID]],tblProducts[ProductID],tblProducts[UnitPrice],"not found")</f>
        <v>99.32</v>
      </c>
      <c r="K1682" t="str">
        <f>_xlfn.XLOOKUP(tblOrders[[#This Row],[ProductID]],tblProducts[ProductID],tblProducts[Supplier],"not found")</f>
        <v>Owens Inc</v>
      </c>
      <c r="L1682" s="1" t="s">
        <v>2183</v>
      </c>
      <c r="M16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45304</v>
      </c>
      <c r="N1682">
        <v>4</v>
      </c>
      <c r="O1682">
        <v>397.28</v>
      </c>
      <c r="P1682">
        <f>tblOrders[[#This Row],[Quantity]]*tblOrders[[#This Row],[Unit Price]]</f>
        <v>397.28</v>
      </c>
      <c r="Q1682">
        <f>tblOrders[[#This Row],[TotalSales]]-tblOrders[[#This Row],[Calculated Sales]]</f>
        <v>0</v>
      </c>
    </row>
    <row r="1683" spans="1:17" x14ac:dyDescent="0.25">
      <c r="A1683">
        <v>1386</v>
      </c>
      <c r="B1683">
        <v>681</v>
      </c>
      <c r="C1683" t="str">
        <f>_xlfn.XLOOKUP(tblOrders[[#This Row],[CustomerID]],tblCustomers[CustomerID],tblCustomers[CustomerName],"not found")</f>
        <v>Robert Brown</v>
      </c>
      <c r="D1683">
        <f>_xlfn.XLOOKUP(tblOrders[[#This Row],[CustomerID]],tblCustomers[CustomerID],tblCustomers[Age],"not found")</f>
        <v>22</v>
      </c>
      <c r="E1683" t="str">
        <f>_xlfn.XLOOKUP(tblOrders[[#This Row],[CustomerID]],tblCustomers[CustomerID],tblCustomers[Gender],"not found")</f>
        <v>Female</v>
      </c>
      <c r="F1683" t="str">
        <f>_xlfn.XLOOKUP(tblOrders[[#This Row],[CustomerID]],tblCustomers[CustomerID],tblCustomers[Region],"not found")</f>
        <v>East</v>
      </c>
      <c r="G1683">
        <v>1001</v>
      </c>
      <c r="H1683" t="str">
        <f>_xlfn.XLOOKUP(tblOrders[[#This Row],[ProductID]],tblProducts[ProductID],tblProducts[ProductName],"not found")</f>
        <v>Huge</v>
      </c>
      <c r="I1683" t="str">
        <f>_xlfn.XLOOKUP(tblOrders[[#This Row],[ProductID]],tblProducts[ProductID],tblProducts[Category],"not found")</f>
        <v>Apparel</v>
      </c>
      <c r="J1683">
        <f>_xlfn.XLOOKUP(tblOrders[[#This Row],[ProductID]],tblProducts[ProductID],tblProducts[UnitPrice],"not found")</f>
        <v>99.32</v>
      </c>
      <c r="K1683" t="str">
        <f>_xlfn.XLOOKUP(tblOrders[[#This Row],[ProductID]],tblProducts[ProductID],tblProducts[Supplier],"not found")</f>
        <v>Owens Inc</v>
      </c>
      <c r="L1683" s="1" t="s">
        <v>2105</v>
      </c>
      <c r="M16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45279</v>
      </c>
      <c r="N1683">
        <v>5</v>
      </c>
      <c r="O1683">
        <v>496.6</v>
      </c>
      <c r="P1683">
        <f>tblOrders[[#This Row],[Quantity]]*tblOrders[[#This Row],[Unit Price]]</f>
        <v>496.59999999999997</v>
      </c>
      <c r="Q1683">
        <f>tblOrders[[#This Row],[TotalSales]]-tblOrders[[#This Row],[Calculated Sales]]</f>
        <v>0</v>
      </c>
    </row>
    <row r="1684" spans="1:17" x14ac:dyDescent="0.25">
      <c r="A1684">
        <v>1392</v>
      </c>
      <c r="B1684">
        <v>183</v>
      </c>
      <c r="C1684" t="str">
        <f>_xlfn.XLOOKUP(tblOrders[[#This Row],[CustomerID]],tblCustomers[CustomerID],tblCustomers[CustomerName],"not found")</f>
        <v>Ryan Martinez</v>
      </c>
      <c r="D1684">
        <f>_xlfn.XLOOKUP(tblOrders[[#This Row],[CustomerID]],tblCustomers[CustomerID],tblCustomers[Age],"not found")</f>
        <v>23</v>
      </c>
      <c r="E1684" t="str">
        <f>_xlfn.XLOOKUP(tblOrders[[#This Row],[CustomerID]],tblCustomers[CustomerID],tblCustomers[Gender],"not found")</f>
        <v>Male</v>
      </c>
      <c r="F1684" t="str">
        <f>_xlfn.XLOOKUP(tblOrders[[#This Row],[CustomerID]],tblCustomers[CustomerID],tblCustomers[Region],"not found")</f>
        <v>West</v>
      </c>
      <c r="G1684">
        <v>1001</v>
      </c>
      <c r="H1684" t="str">
        <f>_xlfn.XLOOKUP(tblOrders[[#This Row],[ProductID]],tblProducts[ProductID],tblProducts[ProductName],"not found")</f>
        <v>Huge</v>
      </c>
      <c r="I1684" t="str">
        <f>_xlfn.XLOOKUP(tblOrders[[#This Row],[ProductID]],tblProducts[ProductID],tblProducts[Category],"not found")</f>
        <v>Apparel</v>
      </c>
      <c r="J1684">
        <f>_xlfn.XLOOKUP(tblOrders[[#This Row],[ProductID]],tblProducts[ProductID],tblProducts[UnitPrice],"not found")</f>
        <v>99.32</v>
      </c>
      <c r="K1684" t="str">
        <f>_xlfn.XLOOKUP(tblOrders[[#This Row],[ProductID]],tblProducts[ProductID],tblProducts[Supplier],"not found")</f>
        <v>Owens Inc</v>
      </c>
      <c r="L1684" s="1">
        <v>44967</v>
      </c>
      <c r="M16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44967</v>
      </c>
      <c r="N1684">
        <v>5</v>
      </c>
      <c r="O1684">
        <v>496.6</v>
      </c>
      <c r="P1684">
        <f>tblOrders[[#This Row],[Quantity]]*tblOrders[[#This Row],[Unit Price]]</f>
        <v>496.59999999999997</v>
      </c>
      <c r="Q1684">
        <f>tblOrders[[#This Row],[TotalSales]]-tblOrders[[#This Row],[Calculated Sales]]</f>
        <v>0</v>
      </c>
    </row>
    <row r="1685" spans="1:17" x14ac:dyDescent="0.25">
      <c r="A1685">
        <v>1449</v>
      </c>
      <c r="B1685">
        <v>322</v>
      </c>
      <c r="C1685" t="str">
        <f>_xlfn.XLOOKUP(tblOrders[[#This Row],[CustomerID]],tblCustomers[CustomerID],tblCustomers[CustomerName],"not found")</f>
        <v>Michelle Hart</v>
      </c>
      <c r="D1685">
        <f>_xlfn.XLOOKUP(tblOrders[[#This Row],[CustomerID]],tblCustomers[CustomerID],tblCustomers[Age],"not found")</f>
        <v>37</v>
      </c>
      <c r="E1685" t="str">
        <f>_xlfn.XLOOKUP(tblOrders[[#This Row],[CustomerID]],tblCustomers[CustomerID],tblCustomers[Gender],"not found")</f>
        <v>Male</v>
      </c>
      <c r="F1685" t="str">
        <f>_xlfn.XLOOKUP(tblOrders[[#This Row],[CustomerID]],tblCustomers[CustomerID],tblCustomers[Region],"not found")</f>
        <v>South</v>
      </c>
      <c r="G1685">
        <v>1001</v>
      </c>
      <c r="H1685" t="str">
        <f>_xlfn.XLOOKUP(tblOrders[[#This Row],[ProductID]],tblProducts[ProductID],tblProducts[ProductName],"not found")</f>
        <v>Huge</v>
      </c>
      <c r="I1685" t="str">
        <f>_xlfn.XLOOKUP(tblOrders[[#This Row],[ProductID]],tblProducts[ProductID],tblProducts[Category],"not found")</f>
        <v>Apparel</v>
      </c>
      <c r="J1685">
        <f>_xlfn.XLOOKUP(tblOrders[[#This Row],[ProductID]],tblProducts[ProductID],tblProducts[UnitPrice],"not found")</f>
        <v>99.32</v>
      </c>
      <c r="K1685" t="str">
        <f>_xlfn.XLOOKUP(tblOrders[[#This Row],[ProductID]],tblProducts[ProductID],tblProducts[Supplier],"not found")</f>
        <v>Owens Inc</v>
      </c>
      <c r="L1685" s="1" t="s">
        <v>2366</v>
      </c>
      <c r="M16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45258</v>
      </c>
      <c r="N1685">
        <v>8</v>
      </c>
      <c r="O1685">
        <v>794.56</v>
      </c>
      <c r="P1685">
        <f>tblOrders[[#This Row],[Quantity]]*tblOrders[[#This Row],[Unit Price]]</f>
        <v>794.56</v>
      </c>
      <c r="Q1685">
        <f>tblOrders[[#This Row],[TotalSales]]-tblOrders[[#This Row],[Calculated Sales]]</f>
        <v>0</v>
      </c>
    </row>
    <row r="1686" spans="1:17" x14ac:dyDescent="0.25">
      <c r="A1686">
        <v>1467</v>
      </c>
      <c r="B1686">
        <v>363</v>
      </c>
      <c r="C1686" t="str">
        <f>_xlfn.XLOOKUP(tblOrders[[#This Row],[CustomerID]],tblCustomers[CustomerID],tblCustomers[CustomerName],"not found")</f>
        <v>Dale Black</v>
      </c>
      <c r="D1686">
        <f>_xlfn.XLOOKUP(tblOrders[[#This Row],[CustomerID]],tblCustomers[CustomerID],tblCustomers[Age],"not found")</f>
        <v>33</v>
      </c>
      <c r="E1686" t="str">
        <f>_xlfn.XLOOKUP(tblOrders[[#This Row],[CustomerID]],tblCustomers[CustomerID],tblCustomers[Gender],"not found")</f>
        <v>Female</v>
      </c>
      <c r="F1686" t="str">
        <f>_xlfn.XLOOKUP(tblOrders[[#This Row],[CustomerID]],tblCustomers[CustomerID],tblCustomers[Region],"not found")</f>
        <v>Central</v>
      </c>
      <c r="G1686">
        <v>1001</v>
      </c>
      <c r="H1686" t="str">
        <f>_xlfn.XLOOKUP(tblOrders[[#This Row],[ProductID]],tblProducts[ProductID],tblProducts[ProductName],"not found")</f>
        <v>Huge</v>
      </c>
      <c r="I1686" t="str">
        <f>_xlfn.XLOOKUP(tblOrders[[#This Row],[ProductID]],tblProducts[ProductID],tblProducts[Category],"not found")</f>
        <v>Apparel</v>
      </c>
      <c r="J1686">
        <f>_xlfn.XLOOKUP(tblOrders[[#This Row],[ProductID]],tblProducts[ProductID],tblProducts[UnitPrice],"not found")</f>
        <v>99.32</v>
      </c>
      <c r="K1686" t="str">
        <f>_xlfn.XLOOKUP(tblOrders[[#This Row],[ProductID]],tblProducts[ProductID],tblProducts[Supplier],"not found")</f>
        <v>Owens Inc</v>
      </c>
      <c r="L1686" s="1">
        <v>45392</v>
      </c>
      <c r="M16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45392</v>
      </c>
      <c r="N1686">
        <v>3</v>
      </c>
      <c r="O1686">
        <v>297.95999999999998</v>
      </c>
      <c r="P1686">
        <f>tblOrders[[#This Row],[Quantity]]*tblOrders[[#This Row],[Unit Price]]</f>
        <v>297.95999999999998</v>
      </c>
      <c r="Q1686">
        <f>tblOrders[[#This Row],[TotalSales]]-tblOrders[[#This Row],[Calculated Sales]]</f>
        <v>0</v>
      </c>
    </row>
    <row r="1687" spans="1:17" x14ac:dyDescent="0.25">
      <c r="A1687">
        <v>1521</v>
      </c>
      <c r="B1687">
        <v>899</v>
      </c>
      <c r="C1687" t="str">
        <f>_xlfn.XLOOKUP(tblOrders[[#This Row],[CustomerID]],tblCustomers[CustomerID],tblCustomers[CustomerName],"not found")</f>
        <v>David Sosa</v>
      </c>
      <c r="D1687">
        <f>_xlfn.XLOOKUP(tblOrders[[#This Row],[CustomerID]],tblCustomers[CustomerID],tblCustomers[Age],"not found")</f>
        <v>47</v>
      </c>
      <c r="E1687" t="str">
        <f>_xlfn.XLOOKUP(tblOrders[[#This Row],[CustomerID]],tblCustomers[CustomerID],tblCustomers[Gender],"not found")</f>
        <v>Female</v>
      </c>
      <c r="F1687" t="str">
        <f>_xlfn.XLOOKUP(tblOrders[[#This Row],[CustomerID]],tblCustomers[CustomerID],tblCustomers[Region],"not found")</f>
        <v>North</v>
      </c>
      <c r="G1687">
        <v>1001</v>
      </c>
      <c r="H1687" t="str">
        <f>_xlfn.XLOOKUP(tblOrders[[#This Row],[ProductID]],tblProducts[ProductID],tblProducts[ProductName],"not found")</f>
        <v>Huge</v>
      </c>
      <c r="I1687" t="str">
        <f>_xlfn.XLOOKUP(tblOrders[[#This Row],[ProductID]],tblProducts[ProductID],tblProducts[Category],"not found")</f>
        <v>Apparel</v>
      </c>
      <c r="J1687">
        <f>_xlfn.XLOOKUP(tblOrders[[#This Row],[ProductID]],tblProducts[ProductID],tblProducts[UnitPrice],"not found")</f>
        <v>99.32</v>
      </c>
      <c r="K1687" t="str">
        <f>_xlfn.XLOOKUP(tblOrders[[#This Row],[ProductID]],tblProducts[ProductID],tblProducts[Supplier],"not found")</f>
        <v>Owens Inc</v>
      </c>
      <c r="L1687" s="1">
        <v>45242</v>
      </c>
      <c r="M16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45242</v>
      </c>
      <c r="N1687">
        <v>7</v>
      </c>
      <c r="O1687">
        <v>695.24</v>
      </c>
      <c r="P1687">
        <f>tblOrders[[#This Row],[Quantity]]*tblOrders[[#This Row],[Unit Price]]</f>
        <v>695.24</v>
      </c>
      <c r="Q1687">
        <f>tblOrders[[#This Row],[TotalSales]]-tblOrders[[#This Row],[Calculated Sales]]</f>
        <v>0</v>
      </c>
    </row>
    <row r="1688" spans="1:17" x14ac:dyDescent="0.25">
      <c r="A1688">
        <v>1588</v>
      </c>
      <c r="B1688">
        <v>754</v>
      </c>
      <c r="C1688" t="str">
        <f>_xlfn.XLOOKUP(tblOrders[[#This Row],[CustomerID]],tblCustomers[CustomerID],tblCustomers[CustomerName],"not found")</f>
        <v>Jermaine Potter</v>
      </c>
      <c r="D1688">
        <f>_xlfn.XLOOKUP(tblOrders[[#This Row],[CustomerID]],tblCustomers[CustomerID],tblCustomers[Age],"not found")</f>
        <v>63</v>
      </c>
      <c r="E1688" t="str">
        <f>_xlfn.XLOOKUP(tblOrders[[#This Row],[CustomerID]],tblCustomers[CustomerID],tblCustomers[Gender],"not found")</f>
        <v>Female</v>
      </c>
      <c r="F1688" t="str">
        <f>_xlfn.XLOOKUP(tblOrders[[#This Row],[CustomerID]],tblCustomers[CustomerID],tblCustomers[Region],"not found")</f>
        <v>North</v>
      </c>
      <c r="G1688">
        <v>1001</v>
      </c>
      <c r="H1688" t="str">
        <f>_xlfn.XLOOKUP(tblOrders[[#This Row],[ProductID]],tblProducts[ProductID],tblProducts[ProductName],"not found")</f>
        <v>Huge</v>
      </c>
      <c r="I1688" t="str">
        <f>_xlfn.XLOOKUP(tblOrders[[#This Row],[ProductID]],tblProducts[ProductID],tblProducts[Category],"not found")</f>
        <v>Apparel</v>
      </c>
      <c r="J1688">
        <f>_xlfn.XLOOKUP(tblOrders[[#This Row],[ProductID]],tblProducts[ProductID],tblProducts[UnitPrice],"not found")</f>
        <v>99.32</v>
      </c>
      <c r="K1688" t="str">
        <f>_xlfn.XLOOKUP(tblOrders[[#This Row],[ProductID]],tblProducts[ProductID],tblProducts[Supplier],"not found")</f>
        <v>Owens Inc</v>
      </c>
      <c r="L1688" s="1" t="s">
        <v>2287</v>
      </c>
      <c r="M16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45105</v>
      </c>
      <c r="N1688">
        <v>7</v>
      </c>
      <c r="O1688">
        <v>695.24</v>
      </c>
      <c r="P1688">
        <f>tblOrders[[#This Row],[Quantity]]*tblOrders[[#This Row],[Unit Price]]</f>
        <v>695.24</v>
      </c>
      <c r="Q1688">
        <f>tblOrders[[#This Row],[TotalSales]]-tblOrders[[#This Row],[Calculated Sales]]</f>
        <v>0</v>
      </c>
    </row>
    <row r="1689" spans="1:17" x14ac:dyDescent="0.25">
      <c r="A1689">
        <v>1592</v>
      </c>
      <c r="B1689">
        <v>792</v>
      </c>
      <c r="C1689" t="str">
        <f>_xlfn.XLOOKUP(tblOrders[[#This Row],[CustomerID]],tblCustomers[CustomerID],tblCustomers[CustomerName],"not found")</f>
        <v>Stephanie Garcia</v>
      </c>
      <c r="D1689">
        <f>_xlfn.XLOOKUP(tblOrders[[#This Row],[CustomerID]],tblCustomers[CustomerID],tblCustomers[Age],"not found")</f>
        <v>29</v>
      </c>
      <c r="E1689" t="str">
        <f>_xlfn.XLOOKUP(tblOrders[[#This Row],[CustomerID]],tblCustomers[CustomerID],tblCustomers[Gender],"not found")</f>
        <v>Male</v>
      </c>
      <c r="F1689" t="str">
        <f>_xlfn.XLOOKUP(tblOrders[[#This Row],[CustomerID]],tblCustomers[CustomerID],tblCustomers[Region],"not found")</f>
        <v>East</v>
      </c>
      <c r="G1689">
        <v>1001</v>
      </c>
      <c r="H1689" t="str">
        <f>_xlfn.XLOOKUP(tblOrders[[#This Row],[ProductID]],tblProducts[ProductID],tblProducts[ProductName],"not found")</f>
        <v>Huge</v>
      </c>
      <c r="I1689" t="str">
        <f>_xlfn.XLOOKUP(tblOrders[[#This Row],[ProductID]],tblProducts[ProductID],tblProducts[Category],"not found")</f>
        <v>Apparel</v>
      </c>
      <c r="J1689">
        <f>_xlfn.XLOOKUP(tblOrders[[#This Row],[ProductID]],tblProducts[ProductID],tblProducts[UnitPrice],"not found")</f>
        <v>99.32</v>
      </c>
      <c r="K1689" t="str">
        <f>_xlfn.XLOOKUP(tblOrders[[#This Row],[ProductID]],tblProducts[ProductID],tblProducts[Supplier],"not found")</f>
        <v>Owens Inc</v>
      </c>
      <c r="L1689" s="1">
        <v>45536</v>
      </c>
      <c r="M16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45536</v>
      </c>
      <c r="N1689">
        <v>4</v>
      </c>
      <c r="O1689">
        <v>397.28</v>
      </c>
      <c r="P1689">
        <f>tblOrders[[#This Row],[Quantity]]*tblOrders[[#This Row],[Unit Price]]</f>
        <v>397.28</v>
      </c>
      <c r="Q1689">
        <f>tblOrders[[#This Row],[TotalSales]]-tblOrders[[#This Row],[Calculated Sales]]</f>
        <v>0</v>
      </c>
    </row>
    <row r="1690" spans="1:17" x14ac:dyDescent="0.25">
      <c r="A1690">
        <v>1605</v>
      </c>
      <c r="B1690">
        <v>4</v>
      </c>
      <c r="C1690" t="str">
        <f>_xlfn.XLOOKUP(tblOrders[[#This Row],[CustomerID]],tblCustomers[CustomerID],tblCustomers[CustomerName],"not found")</f>
        <v>Laura King</v>
      </c>
      <c r="D1690">
        <f>_xlfn.XLOOKUP(tblOrders[[#This Row],[CustomerID]],tblCustomers[CustomerID],tblCustomers[Age],"not found")</f>
        <v>20</v>
      </c>
      <c r="E1690" t="str">
        <f>_xlfn.XLOOKUP(tblOrders[[#This Row],[CustomerID]],tblCustomers[CustomerID],tblCustomers[Gender],"not found")</f>
        <v>Male</v>
      </c>
      <c r="F1690" t="str">
        <f>_xlfn.XLOOKUP(tblOrders[[#This Row],[CustomerID]],tblCustomers[CustomerID],tblCustomers[Region],"not found")</f>
        <v>Central</v>
      </c>
      <c r="G1690">
        <v>1001</v>
      </c>
      <c r="H1690" t="str">
        <f>_xlfn.XLOOKUP(tblOrders[[#This Row],[ProductID]],tblProducts[ProductID],tblProducts[ProductName],"not found")</f>
        <v>Huge</v>
      </c>
      <c r="I1690" t="str">
        <f>_xlfn.XLOOKUP(tblOrders[[#This Row],[ProductID]],tblProducts[ProductID],tblProducts[Category],"not found")</f>
        <v>Apparel</v>
      </c>
      <c r="J1690">
        <f>_xlfn.XLOOKUP(tblOrders[[#This Row],[ProductID]],tblProducts[ProductID],tblProducts[UnitPrice],"not found")</f>
        <v>99.32</v>
      </c>
      <c r="K1690" t="str">
        <f>_xlfn.XLOOKUP(tblOrders[[#This Row],[ProductID]],tblProducts[ProductID],tblProducts[Supplier],"not found")</f>
        <v>Owens Inc</v>
      </c>
      <c r="L1690" s="1" t="s">
        <v>2151</v>
      </c>
      <c r="M16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45218</v>
      </c>
      <c r="N1690">
        <v>6</v>
      </c>
      <c r="O1690">
        <v>595.91999999999996</v>
      </c>
      <c r="P1690">
        <f>tblOrders[[#This Row],[Quantity]]*tblOrders[[#This Row],[Unit Price]]</f>
        <v>595.91999999999996</v>
      </c>
      <c r="Q1690">
        <f>tblOrders[[#This Row],[TotalSales]]-tblOrders[[#This Row],[Calculated Sales]]</f>
        <v>0</v>
      </c>
    </row>
    <row r="1691" spans="1:17" x14ac:dyDescent="0.25">
      <c r="A1691">
        <v>1638</v>
      </c>
      <c r="B1691">
        <v>346</v>
      </c>
      <c r="C1691" t="str">
        <f>_xlfn.XLOOKUP(tblOrders[[#This Row],[CustomerID]],tblCustomers[CustomerID],tblCustomers[CustomerName],"not found")</f>
        <v>Austin Bell</v>
      </c>
      <c r="D1691">
        <f>_xlfn.XLOOKUP(tblOrders[[#This Row],[CustomerID]],tblCustomers[CustomerID],tblCustomers[Age],"not found")</f>
        <v>58</v>
      </c>
      <c r="E1691" t="str">
        <f>_xlfn.XLOOKUP(tblOrders[[#This Row],[CustomerID]],tblCustomers[CustomerID],tblCustomers[Gender],"not found")</f>
        <v>Female</v>
      </c>
      <c r="F1691" t="str">
        <f>_xlfn.XLOOKUP(tblOrders[[#This Row],[CustomerID]],tblCustomers[CustomerID],tblCustomers[Region],"not found")</f>
        <v>Central</v>
      </c>
      <c r="G1691">
        <v>1001</v>
      </c>
      <c r="H1691" t="str">
        <f>_xlfn.XLOOKUP(tblOrders[[#This Row],[ProductID]],tblProducts[ProductID],tblProducts[ProductName],"not found")</f>
        <v>Huge</v>
      </c>
      <c r="I1691" t="str">
        <f>_xlfn.XLOOKUP(tblOrders[[#This Row],[ProductID]],tblProducts[ProductID],tblProducts[Category],"not found")</f>
        <v>Apparel</v>
      </c>
      <c r="J1691">
        <f>_xlfn.XLOOKUP(tblOrders[[#This Row],[ProductID]],tblProducts[ProductID],tblProducts[UnitPrice],"not found")</f>
        <v>99.32</v>
      </c>
      <c r="K1691" t="str">
        <f>_xlfn.XLOOKUP(tblOrders[[#This Row],[ProductID]],tblProducts[ProductID],tblProducts[Supplier],"not found")</f>
        <v>Owens Inc</v>
      </c>
      <c r="L1691" s="1">
        <v>45208</v>
      </c>
      <c r="M16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45208</v>
      </c>
      <c r="N1691">
        <v>1</v>
      </c>
      <c r="O1691">
        <v>99.32</v>
      </c>
      <c r="P1691">
        <f>tblOrders[[#This Row],[Quantity]]*tblOrders[[#This Row],[Unit Price]]</f>
        <v>99.32</v>
      </c>
      <c r="Q1691">
        <f>tblOrders[[#This Row],[TotalSales]]-tblOrders[[#This Row],[Calculated Sales]]</f>
        <v>0</v>
      </c>
    </row>
    <row r="1692" spans="1:17" x14ac:dyDescent="0.25">
      <c r="A1692">
        <v>1673</v>
      </c>
      <c r="B1692">
        <v>921</v>
      </c>
      <c r="C1692" t="str">
        <f>_xlfn.XLOOKUP(tblOrders[[#This Row],[CustomerID]],tblCustomers[CustomerID],tblCustomers[CustomerName],"not found")</f>
        <v>Dennis Stone</v>
      </c>
      <c r="D1692">
        <f>_xlfn.XLOOKUP(tblOrders[[#This Row],[CustomerID]],tblCustomers[CustomerID],tblCustomers[Age],"not found")</f>
        <v>48</v>
      </c>
      <c r="E1692" t="str">
        <f>_xlfn.XLOOKUP(tblOrders[[#This Row],[CustomerID]],tblCustomers[CustomerID],tblCustomers[Gender],"not found")</f>
        <v>Male</v>
      </c>
      <c r="F1692" t="str">
        <f>_xlfn.XLOOKUP(tblOrders[[#This Row],[CustomerID]],tblCustomers[CustomerID],tblCustomers[Region],"not found")</f>
        <v>East</v>
      </c>
      <c r="G1692">
        <v>1001</v>
      </c>
      <c r="H1692" t="str">
        <f>_xlfn.XLOOKUP(tblOrders[[#This Row],[ProductID]],tblProducts[ProductID],tblProducts[ProductName],"not found")</f>
        <v>Huge</v>
      </c>
      <c r="I1692" t="str">
        <f>_xlfn.XLOOKUP(tblOrders[[#This Row],[ProductID]],tblProducts[ProductID],tblProducts[Category],"not found")</f>
        <v>Apparel</v>
      </c>
      <c r="J1692">
        <f>_xlfn.XLOOKUP(tblOrders[[#This Row],[ProductID]],tblProducts[ProductID],tblProducts[UnitPrice],"not found")</f>
        <v>99.32</v>
      </c>
      <c r="K1692" t="str">
        <f>_xlfn.XLOOKUP(tblOrders[[#This Row],[ProductID]],tblProducts[ProductID],tblProducts[Supplier],"not found")</f>
        <v>Owens Inc</v>
      </c>
      <c r="L1692" s="1" t="s">
        <v>2371</v>
      </c>
      <c r="M16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45313</v>
      </c>
      <c r="N1692">
        <v>8</v>
      </c>
      <c r="O1692">
        <v>794.56</v>
      </c>
      <c r="P1692">
        <f>tblOrders[[#This Row],[Quantity]]*tblOrders[[#This Row],[Unit Price]]</f>
        <v>794.56</v>
      </c>
      <c r="Q1692">
        <f>tblOrders[[#This Row],[TotalSales]]-tblOrders[[#This Row],[Calculated Sales]]</f>
        <v>0</v>
      </c>
    </row>
    <row r="1693" spans="1:17" x14ac:dyDescent="0.25">
      <c r="A1693">
        <v>1801</v>
      </c>
      <c r="B1693">
        <v>227</v>
      </c>
      <c r="C1693" t="str">
        <f>_xlfn.XLOOKUP(tblOrders[[#This Row],[CustomerID]],tblCustomers[CustomerID],tblCustomers[CustomerName],"not found")</f>
        <v>Bridget Newton</v>
      </c>
      <c r="D1693">
        <f>_xlfn.XLOOKUP(tblOrders[[#This Row],[CustomerID]],tblCustomers[CustomerID],tblCustomers[Age],"not found")</f>
        <v>19</v>
      </c>
      <c r="E1693" t="str">
        <f>_xlfn.XLOOKUP(tblOrders[[#This Row],[CustomerID]],tblCustomers[CustomerID],tblCustomers[Gender],"not found")</f>
        <v>Male</v>
      </c>
      <c r="F1693" t="str">
        <f>_xlfn.XLOOKUP(tblOrders[[#This Row],[CustomerID]],tblCustomers[CustomerID],tblCustomers[Region],"not found")</f>
        <v>East</v>
      </c>
      <c r="G1693">
        <v>1001</v>
      </c>
      <c r="H1693" t="str">
        <f>_xlfn.XLOOKUP(tblOrders[[#This Row],[ProductID]],tblProducts[ProductID],tblProducts[ProductName],"not found")</f>
        <v>Huge</v>
      </c>
      <c r="I1693" t="str">
        <f>_xlfn.XLOOKUP(tblOrders[[#This Row],[ProductID]],tblProducts[ProductID],tblProducts[Category],"not found")</f>
        <v>Apparel</v>
      </c>
      <c r="J1693">
        <f>_xlfn.XLOOKUP(tblOrders[[#This Row],[ProductID]],tblProducts[ProductID],tblProducts[UnitPrice],"not found")</f>
        <v>99.32</v>
      </c>
      <c r="K1693" t="str">
        <f>_xlfn.XLOOKUP(tblOrders[[#This Row],[ProductID]],tblProducts[ProductID],tblProducts[Supplier],"not found")</f>
        <v>Owens Inc</v>
      </c>
      <c r="L1693" s="1">
        <v>45632</v>
      </c>
      <c r="M16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1693">
        <v>4</v>
      </c>
      <c r="O1693">
        <v>397.28</v>
      </c>
      <c r="P1693">
        <f>tblOrders[[#This Row],[Quantity]]*tblOrders[[#This Row],[Unit Price]]</f>
        <v>397.28</v>
      </c>
      <c r="Q1693">
        <f>tblOrders[[#This Row],[TotalSales]]-tblOrders[[#This Row],[Calculated Sales]]</f>
        <v>0</v>
      </c>
    </row>
    <row r="1694" spans="1:17" x14ac:dyDescent="0.25">
      <c r="A1694">
        <v>1820</v>
      </c>
      <c r="B1694">
        <v>312</v>
      </c>
      <c r="C1694" t="str">
        <f>_xlfn.XLOOKUP(tblOrders[[#This Row],[CustomerID]],tblCustomers[CustomerID],tblCustomers[CustomerName],"not found")</f>
        <v>Brandon Smith</v>
      </c>
      <c r="D1694">
        <f>_xlfn.XLOOKUP(tblOrders[[#This Row],[CustomerID]],tblCustomers[CustomerID],tblCustomers[Age],"not found")</f>
        <v>44</v>
      </c>
      <c r="E1694" t="str">
        <f>_xlfn.XLOOKUP(tblOrders[[#This Row],[CustomerID]],tblCustomers[CustomerID],tblCustomers[Gender],"not found")</f>
        <v>Female</v>
      </c>
      <c r="F1694" t="str">
        <f>_xlfn.XLOOKUP(tblOrders[[#This Row],[CustomerID]],tblCustomers[CustomerID],tblCustomers[Region],"not found")</f>
        <v>Central</v>
      </c>
      <c r="G1694">
        <v>1001</v>
      </c>
      <c r="H1694" t="str">
        <f>_xlfn.XLOOKUP(tblOrders[[#This Row],[ProductID]],tblProducts[ProductID],tblProducts[ProductName],"not found")</f>
        <v>Huge</v>
      </c>
      <c r="I1694" t="str">
        <f>_xlfn.XLOOKUP(tblOrders[[#This Row],[ProductID]],tblProducts[ProductID],tblProducts[Category],"not found")</f>
        <v>Apparel</v>
      </c>
      <c r="J1694">
        <f>_xlfn.XLOOKUP(tblOrders[[#This Row],[ProductID]],tblProducts[ProductID],tblProducts[UnitPrice],"not found")</f>
        <v>99.32</v>
      </c>
      <c r="K1694" t="str">
        <f>_xlfn.XLOOKUP(tblOrders[[#This Row],[ProductID]],tblProducts[ProductID],tblProducts[Supplier],"not found")</f>
        <v>Owens Inc</v>
      </c>
      <c r="L1694" s="1" t="s">
        <v>2152</v>
      </c>
      <c r="M16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45314</v>
      </c>
      <c r="N1694">
        <v>6</v>
      </c>
      <c r="O1694">
        <v>595.91999999999996</v>
      </c>
      <c r="P1694">
        <f>tblOrders[[#This Row],[Quantity]]*tblOrders[[#This Row],[Unit Price]]</f>
        <v>595.91999999999996</v>
      </c>
      <c r="Q1694">
        <f>tblOrders[[#This Row],[TotalSales]]-tblOrders[[#This Row],[Calculated Sales]]</f>
        <v>0</v>
      </c>
    </row>
    <row r="1695" spans="1:17" x14ac:dyDescent="0.25">
      <c r="A1695">
        <v>1965</v>
      </c>
      <c r="B1695">
        <v>23</v>
      </c>
      <c r="C1695" t="str">
        <f>_xlfn.XLOOKUP(tblOrders[[#This Row],[CustomerID]],tblCustomers[CustomerID],tblCustomers[CustomerName],"not found")</f>
        <v>James Harvey</v>
      </c>
      <c r="D1695">
        <f>_xlfn.XLOOKUP(tblOrders[[#This Row],[CustomerID]],tblCustomers[CustomerID],tblCustomers[Age],"not found")</f>
        <v>67</v>
      </c>
      <c r="E1695" t="str">
        <f>_xlfn.XLOOKUP(tblOrders[[#This Row],[CustomerID]],tblCustomers[CustomerID],tblCustomers[Gender],"not found")</f>
        <v>Male</v>
      </c>
      <c r="F1695" t="str">
        <f>_xlfn.XLOOKUP(tblOrders[[#This Row],[CustomerID]],tblCustomers[CustomerID],tblCustomers[Region],"not found")</f>
        <v>West</v>
      </c>
      <c r="G1695">
        <v>1001</v>
      </c>
      <c r="H1695" t="str">
        <f>_xlfn.XLOOKUP(tblOrders[[#This Row],[ProductID]],tblProducts[ProductID],tblProducts[ProductName],"not found")</f>
        <v>Huge</v>
      </c>
      <c r="I1695" t="str">
        <f>_xlfn.XLOOKUP(tblOrders[[#This Row],[ProductID]],tblProducts[ProductID],tblProducts[Category],"not found")</f>
        <v>Apparel</v>
      </c>
      <c r="J1695">
        <f>_xlfn.XLOOKUP(tblOrders[[#This Row],[ProductID]],tblProducts[ProductID],tblProducts[UnitPrice],"not found")</f>
        <v>99.32</v>
      </c>
      <c r="K1695" t="str">
        <f>_xlfn.XLOOKUP(tblOrders[[#This Row],[ProductID]],tblProducts[ProductID],tblProducts[Supplier],"not found")</f>
        <v>Owens Inc</v>
      </c>
      <c r="L1695" s="1">
        <v>44906</v>
      </c>
      <c r="M16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44906</v>
      </c>
      <c r="N1695">
        <v>5</v>
      </c>
      <c r="O1695">
        <v>496.6</v>
      </c>
      <c r="P1695">
        <f>tblOrders[[#This Row],[Quantity]]*tblOrders[[#This Row],[Unit Price]]</f>
        <v>496.59999999999997</v>
      </c>
      <c r="Q1695">
        <f>tblOrders[[#This Row],[TotalSales]]-tblOrders[[#This Row],[Calculated Sales]]</f>
        <v>0</v>
      </c>
    </row>
    <row r="1696" spans="1:17" x14ac:dyDescent="0.25">
      <c r="A1696">
        <v>1984</v>
      </c>
      <c r="B1696">
        <v>728</v>
      </c>
      <c r="C1696" t="str">
        <f>_xlfn.XLOOKUP(tblOrders[[#This Row],[CustomerID]],tblCustomers[CustomerID],tblCustomers[CustomerName],"not found")</f>
        <v>Jared Wise</v>
      </c>
      <c r="D1696">
        <f>_xlfn.XLOOKUP(tblOrders[[#This Row],[CustomerID]],tblCustomers[CustomerID],tblCustomers[Age],"not found")</f>
        <v>25</v>
      </c>
      <c r="E1696" t="str">
        <f>_xlfn.XLOOKUP(tblOrders[[#This Row],[CustomerID]],tblCustomers[CustomerID],tblCustomers[Gender],"not found")</f>
        <v>Female</v>
      </c>
      <c r="F1696" t="str">
        <f>_xlfn.XLOOKUP(tblOrders[[#This Row],[CustomerID]],tblCustomers[CustomerID],tblCustomers[Region],"not found")</f>
        <v>West</v>
      </c>
      <c r="G1696">
        <v>1001</v>
      </c>
      <c r="H1696" t="str">
        <f>_xlfn.XLOOKUP(tblOrders[[#This Row],[ProductID]],tblProducts[ProductID],tblProducts[ProductName],"not found")</f>
        <v>Huge</v>
      </c>
      <c r="I1696" t="str">
        <f>_xlfn.XLOOKUP(tblOrders[[#This Row],[ProductID]],tblProducts[ProductID],tblProducts[Category],"not found")</f>
        <v>Apparel</v>
      </c>
      <c r="J1696">
        <f>_xlfn.XLOOKUP(tblOrders[[#This Row],[ProductID]],tblProducts[ProductID],tblProducts[UnitPrice],"not found")</f>
        <v>99.32</v>
      </c>
      <c r="K1696" t="str">
        <f>_xlfn.XLOOKUP(tblOrders[[#This Row],[ProductID]],tblProducts[ProductID],tblProducts[Supplier],"not found")</f>
        <v>Owens Inc</v>
      </c>
      <c r="L1696" s="1">
        <v>45511</v>
      </c>
      <c r="M16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45511</v>
      </c>
      <c r="N1696">
        <v>9</v>
      </c>
      <c r="O1696">
        <v>893.88</v>
      </c>
      <c r="P1696">
        <f>tblOrders[[#This Row],[Quantity]]*tblOrders[[#This Row],[Unit Price]]</f>
        <v>893.87999999999988</v>
      </c>
      <c r="Q1696">
        <f>tblOrders[[#This Row],[TotalSales]]-tblOrders[[#This Row],[Calculated Sales]]</f>
        <v>0</v>
      </c>
    </row>
    <row r="1697" spans="1:17" x14ac:dyDescent="0.25">
      <c r="A1697">
        <v>163</v>
      </c>
      <c r="B1697">
        <v>228</v>
      </c>
      <c r="C1697" t="str">
        <f>_xlfn.XLOOKUP(tblOrders[[#This Row],[CustomerID]],tblCustomers[CustomerID],tblCustomers[CustomerName],"not found")</f>
        <v>Sherry Brown</v>
      </c>
      <c r="D1697">
        <f>_xlfn.XLOOKUP(tblOrders[[#This Row],[CustomerID]],tblCustomers[CustomerID],tblCustomers[Age],"not found")</f>
        <v>59</v>
      </c>
      <c r="E1697" t="str">
        <f>_xlfn.XLOOKUP(tblOrders[[#This Row],[CustomerID]],tblCustomers[CustomerID],tblCustomers[Gender],"not found")</f>
        <v>Female</v>
      </c>
      <c r="F1697" t="str">
        <f>_xlfn.XLOOKUP(tblOrders[[#This Row],[CustomerID]],tblCustomers[CustomerID],tblCustomers[Region],"not found")</f>
        <v>East</v>
      </c>
      <c r="G1697">
        <v>1021</v>
      </c>
      <c r="H1697" t="str">
        <f>_xlfn.XLOOKUP(tblOrders[[#This Row],[ProductID]],tblProducts[ProductID],tblProducts[ProductName],"not found")</f>
        <v>Offer</v>
      </c>
      <c r="I1697" t="str">
        <f>_xlfn.XLOOKUP(tblOrders[[#This Row],[ProductID]],tblProducts[ProductID],tblProducts[Category],"not found")</f>
        <v>Electronics</v>
      </c>
      <c r="J1697">
        <f>_xlfn.XLOOKUP(tblOrders[[#This Row],[ProductID]],tblProducts[ProductID],tblProducts[UnitPrice],"not found")</f>
        <v>389.41</v>
      </c>
      <c r="K1697" t="str">
        <f>_xlfn.XLOOKUP(tblOrders[[#This Row],[ProductID]],tblProducts[ProductID],tblProducts[Supplier],"not found")</f>
        <v>Snyder-Stephens</v>
      </c>
      <c r="L1697" s="1" t="s">
        <v>2147</v>
      </c>
      <c r="M16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1697">
        <v>4</v>
      </c>
      <c r="O1697">
        <v>1557.64</v>
      </c>
      <c r="P1697">
        <f>tblOrders[[#This Row],[Quantity]]*tblOrders[[#This Row],[Unit Price]]</f>
        <v>1557.64</v>
      </c>
      <c r="Q1697">
        <f>tblOrders[[#This Row],[TotalSales]]-tblOrders[[#This Row],[Calculated Sales]]</f>
        <v>0</v>
      </c>
    </row>
    <row r="1698" spans="1:17" x14ac:dyDescent="0.25">
      <c r="A1698">
        <v>272</v>
      </c>
      <c r="B1698">
        <v>76</v>
      </c>
      <c r="C1698" t="str">
        <f>_xlfn.XLOOKUP(tblOrders[[#This Row],[CustomerID]],tblCustomers[CustomerID],tblCustomers[CustomerName],"not found")</f>
        <v>Monica Ross</v>
      </c>
      <c r="D1698">
        <f>_xlfn.XLOOKUP(tblOrders[[#This Row],[CustomerID]],tblCustomers[CustomerID],tblCustomers[Age],"not found")</f>
        <v>67</v>
      </c>
      <c r="E1698" t="str">
        <f>_xlfn.XLOOKUP(tblOrders[[#This Row],[CustomerID]],tblCustomers[CustomerID],tblCustomers[Gender],"not found")</f>
        <v>Male</v>
      </c>
      <c r="F1698" t="str">
        <f>_xlfn.XLOOKUP(tblOrders[[#This Row],[CustomerID]],tblCustomers[CustomerID],tblCustomers[Region],"not found")</f>
        <v>North</v>
      </c>
      <c r="G1698">
        <v>1021</v>
      </c>
      <c r="H1698" t="str">
        <f>_xlfn.XLOOKUP(tblOrders[[#This Row],[ProductID]],tblProducts[ProductID],tblProducts[ProductName],"not found")</f>
        <v>Offer</v>
      </c>
      <c r="I1698" t="str">
        <f>_xlfn.XLOOKUP(tblOrders[[#This Row],[ProductID]],tblProducts[ProductID],tblProducts[Category],"not found")</f>
        <v>Electronics</v>
      </c>
      <c r="J1698">
        <f>_xlfn.XLOOKUP(tblOrders[[#This Row],[ProductID]],tblProducts[ProductID],tblProducts[UnitPrice],"not found")</f>
        <v>389.41</v>
      </c>
      <c r="K1698" t="str">
        <f>_xlfn.XLOOKUP(tblOrders[[#This Row],[ProductID]],tblProducts[ProductID],tblProducts[Supplier],"not found")</f>
        <v>Snyder-Stephens</v>
      </c>
      <c r="L1698" s="1">
        <v>45570</v>
      </c>
      <c r="M16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45570</v>
      </c>
      <c r="N1698">
        <v>6</v>
      </c>
      <c r="O1698">
        <v>2336.46</v>
      </c>
      <c r="P1698">
        <f>tblOrders[[#This Row],[Quantity]]*tblOrders[[#This Row],[Unit Price]]</f>
        <v>2336.46</v>
      </c>
      <c r="Q1698">
        <f>tblOrders[[#This Row],[TotalSales]]-tblOrders[[#This Row],[Calculated Sales]]</f>
        <v>0</v>
      </c>
    </row>
    <row r="1699" spans="1:17" x14ac:dyDescent="0.25">
      <c r="A1699">
        <v>273</v>
      </c>
      <c r="B1699">
        <v>376</v>
      </c>
      <c r="C1699" t="str">
        <f>_xlfn.XLOOKUP(tblOrders[[#This Row],[CustomerID]],tblCustomers[CustomerID],tblCustomers[CustomerName],"not found")</f>
        <v>Kristen Rodriguez</v>
      </c>
      <c r="D1699">
        <f>_xlfn.XLOOKUP(tblOrders[[#This Row],[CustomerID]],tblCustomers[CustomerID],tblCustomers[Age],"not found")</f>
        <v>31</v>
      </c>
      <c r="E1699" t="str">
        <f>_xlfn.XLOOKUP(tblOrders[[#This Row],[CustomerID]],tblCustomers[CustomerID],tblCustomers[Gender],"not found")</f>
        <v>Female</v>
      </c>
      <c r="F1699" t="str">
        <f>_xlfn.XLOOKUP(tblOrders[[#This Row],[CustomerID]],tblCustomers[CustomerID],tblCustomers[Region],"not found")</f>
        <v>South</v>
      </c>
      <c r="G1699">
        <v>1021</v>
      </c>
      <c r="H1699" t="str">
        <f>_xlfn.XLOOKUP(tblOrders[[#This Row],[ProductID]],tblProducts[ProductID],tblProducts[ProductName],"not found")</f>
        <v>Offer</v>
      </c>
      <c r="I1699" t="str">
        <f>_xlfn.XLOOKUP(tblOrders[[#This Row],[ProductID]],tblProducts[ProductID],tblProducts[Category],"not found")</f>
        <v>Electronics</v>
      </c>
      <c r="J1699">
        <f>_xlfn.XLOOKUP(tblOrders[[#This Row],[ProductID]],tblProducts[ProductID],tblProducts[UnitPrice],"not found")</f>
        <v>389.41</v>
      </c>
      <c r="K1699" t="str">
        <f>_xlfn.XLOOKUP(tblOrders[[#This Row],[ProductID]],tblProducts[ProductID],tblProducts[Supplier],"not found")</f>
        <v>Snyder-Stephens</v>
      </c>
      <c r="L1699" s="1">
        <v>45505</v>
      </c>
      <c r="M16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45505</v>
      </c>
      <c r="N1699">
        <v>4</v>
      </c>
      <c r="O1699">
        <v>1557.64</v>
      </c>
      <c r="P1699">
        <f>tblOrders[[#This Row],[Quantity]]*tblOrders[[#This Row],[Unit Price]]</f>
        <v>1557.64</v>
      </c>
      <c r="Q1699">
        <f>tblOrders[[#This Row],[TotalSales]]-tblOrders[[#This Row],[Calculated Sales]]</f>
        <v>0</v>
      </c>
    </row>
    <row r="1700" spans="1:17" x14ac:dyDescent="0.25">
      <c r="A1700">
        <v>356</v>
      </c>
      <c r="B1700">
        <v>17</v>
      </c>
      <c r="C1700" t="str">
        <f>_xlfn.XLOOKUP(tblOrders[[#This Row],[CustomerID]],tblCustomers[CustomerID],tblCustomers[CustomerName],"not found")</f>
        <v>John Lopez</v>
      </c>
      <c r="D1700">
        <f>_xlfn.XLOOKUP(tblOrders[[#This Row],[CustomerID]],tblCustomers[CustomerID],tblCustomers[Age],"not found")</f>
        <v>61</v>
      </c>
      <c r="E1700" t="str">
        <f>_xlfn.XLOOKUP(tblOrders[[#This Row],[CustomerID]],tblCustomers[CustomerID],tblCustomers[Gender],"not found")</f>
        <v>Male</v>
      </c>
      <c r="F1700" t="str">
        <f>_xlfn.XLOOKUP(tblOrders[[#This Row],[CustomerID]],tblCustomers[CustomerID],tblCustomers[Region],"not found")</f>
        <v>West</v>
      </c>
      <c r="G1700">
        <v>1021</v>
      </c>
      <c r="H1700" t="str">
        <f>_xlfn.XLOOKUP(tblOrders[[#This Row],[ProductID]],tblProducts[ProductID],tblProducts[ProductName],"not found")</f>
        <v>Offer</v>
      </c>
      <c r="I1700" t="str">
        <f>_xlfn.XLOOKUP(tblOrders[[#This Row],[ProductID]],tblProducts[ProductID],tblProducts[Category],"not found")</f>
        <v>Electronics</v>
      </c>
      <c r="J1700">
        <f>_xlfn.XLOOKUP(tblOrders[[#This Row],[ProductID]],tblProducts[ProductID],tblProducts[UnitPrice],"not found")</f>
        <v>389.41</v>
      </c>
      <c r="K1700" t="str">
        <f>_xlfn.XLOOKUP(tblOrders[[#This Row],[ProductID]],tblProducts[ProductID],tblProducts[Supplier],"not found")</f>
        <v>Snyder-Stephens</v>
      </c>
      <c r="L1700" s="1" t="s">
        <v>2155</v>
      </c>
      <c r="M17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45584</v>
      </c>
      <c r="N1700">
        <v>9</v>
      </c>
      <c r="O1700">
        <v>3504.69</v>
      </c>
      <c r="P1700">
        <f>tblOrders[[#This Row],[Quantity]]*tblOrders[[#This Row],[Unit Price]]</f>
        <v>3504.69</v>
      </c>
      <c r="Q1700">
        <f>tblOrders[[#This Row],[TotalSales]]-tblOrders[[#This Row],[Calculated Sales]]</f>
        <v>0</v>
      </c>
    </row>
    <row r="1701" spans="1:17" x14ac:dyDescent="0.25">
      <c r="A1701">
        <v>643</v>
      </c>
      <c r="B1701">
        <v>798</v>
      </c>
      <c r="C1701" t="str">
        <f>_xlfn.XLOOKUP(tblOrders[[#This Row],[CustomerID]],tblCustomers[CustomerID],tblCustomers[CustomerName],"not found")</f>
        <v>Joshua Stanton</v>
      </c>
      <c r="D1701">
        <f>_xlfn.XLOOKUP(tblOrders[[#This Row],[CustomerID]],tblCustomers[CustomerID],tblCustomers[Age],"not found")</f>
        <v>21</v>
      </c>
      <c r="E1701" t="str">
        <f>_xlfn.XLOOKUP(tblOrders[[#This Row],[CustomerID]],tblCustomers[CustomerID],tblCustomers[Gender],"not found")</f>
        <v>Female</v>
      </c>
      <c r="F1701" t="str">
        <f>_xlfn.XLOOKUP(tblOrders[[#This Row],[CustomerID]],tblCustomers[CustomerID],tblCustomers[Region],"not found")</f>
        <v>South</v>
      </c>
      <c r="G1701">
        <v>1021</v>
      </c>
      <c r="H1701" t="str">
        <f>_xlfn.XLOOKUP(tblOrders[[#This Row],[ProductID]],tblProducts[ProductID],tblProducts[ProductName],"not found")</f>
        <v>Offer</v>
      </c>
      <c r="I1701" t="str">
        <f>_xlfn.XLOOKUP(tblOrders[[#This Row],[ProductID]],tblProducts[ProductID],tblProducts[Category],"not found")</f>
        <v>Electronics</v>
      </c>
      <c r="J1701">
        <f>_xlfn.XLOOKUP(tblOrders[[#This Row],[ProductID]],tblProducts[ProductID],tblProducts[UnitPrice],"not found")</f>
        <v>389.41</v>
      </c>
      <c r="K1701" t="str">
        <f>_xlfn.XLOOKUP(tblOrders[[#This Row],[ProductID]],tblProducts[ProductID],tblProducts[Supplier],"not found")</f>
        <v>Snyder-Stephens</v>
      </c>
      <c r="L1701" s="1" t="s">
        <v>2408</v>
      </c>
      <c r="M17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45437</v>
      </c>
      <c r="N1701">
        <v>9</v>
      </c>
      <c r="O1701">
        <v>3504.69</v>
      </c>
      <c r="P1701">
        <f>tblOrders[[#This Row],[Quantity]]*tblOrders[[#This Row],[Unit Price]]</f>
        <v>3504.69</v>
      </c>
      <c r="Q1701">
        <f>tblOrders[[#This Row],[TotalSales]]-tblOrders[[#This Row],[Calculated Sales]]</f>
        <v>0</v>
      </c>
    </row>
    <row r="1702" spans="1:17" x14ac:dyDescent="0.25">
      <c r="A1702">
        <v>670</v>
      </c>
      <c r="B1702">
        <v>186</v>
      </c>
      <c r="C1702" t="str">
        <f>_xlfn.XLOOKUP(tblOrders[[#This Row],[CustomerID]],tblCustomers[CustomerID],tblCustomers[CustomerName],"not found")</f>
        <v>Chase Ross</v>
      </c>
      <c r="D1702">
        <f>_xlfn.XLOOKUP(tblOrders[[#This Row],[CustomerID]],tblCustomers[CustomerID],tblCustomers[Age],"not found")</f>
        <v>43</v>
      </c>
      <c r="E1702" t="str">
        <f>_xlfn.XLOOKUP(tblOrders[[#This Row],[CustomerID]],tblCustomers[CustomerID],tblCustomers[Gender],"not found")</f>
        <v>Male</v>
      </c>
      <c r="F1702" t="str">
        <f>_xlfn.XLOOKUP(tblOrders[[#This Row],[CustomerID]],tblCustomers[CustomerID],tblCustomers[Region],"not found")</f>
        <v>Central</v>
      </c>
      <c r="G1702">
        <v>1021</v>
      </c>
      <c r="H1702" t="str">
        <f>_xlfn.XLOOKUP(tblOrders[[#This Row],[ProductID]],tblProducts[ProductID],tblProducts[ProductName],"not found")</f>
        <v>Offer</v>
      </c>
      <c r="I1702" t="str">
        <f>_xlfn.XLOOKUP(tblOrders[[#This Row],[ProductID]],tblProducts[ProductID],tblProducts[Category],"not found")</f>
        <v>Electronics</v>
      </c>
      <c r="J1702">
        <f>_xlfn.XLOOKUP(tblOrders[[#This Row],[ProductID]],tblProducts[ProductID],tblProducts[UnitPrice],"not found")</f>
        <v>389.41</v>
      </c>
      <c r="K1702" t="str">
        <f>_xlfn.XLOOKUP(tblOrders[[#This Row],[ProductID]],tblProducts[ProductID],tblProducts[Supplier],"not found")</f>
        <v>Snyder-Stephens</v>
      </c>
      <c r="L1702" s="1">
        <v>45139</v>
      </c>
      <c r="M17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45139</v>
      </c>
      <c r="N1702">
        <v>5</v>
      </c>
      <c r="O1702">
        <v>1947.05</v>
      </c>
      <c r="P1702">
        <f>tblOrders[[#This Row],[Quantity]]*tblOrders[[#This Row],[Unit Price]]</f>
        <v>1947.0500000000002</v>
      </c>
      <c r="Q1702">
        <f>tblOrders[[#This Row],[TotalSales]]-tblOrders[[#This Row],[Calculated Sales]]</f>
        <v>0</v>
      </c>
    </row>
    <row r="1703" spans="1:17" x14ac:dyDescent="0.25">
      <c r="A1703">
        <v>964</v>
      </c>
      <c r="B1703">
        <v>939</v>
      </c>
      <c r="C1703" t="str">
        <f>_xlfn.XLOOKUP(tblOrders[[#This Row],[CustomerID]],tblCustomers[CustomerID],tblCustomers[CustomerName],"not found")</f>
        <v>Krista Moore</v>
      </c>
      <c r="D1703">
        <f>_xlfn.XLOOKUP(tblOrders[[#This Row],[CustomerID]],tblCustomers[CustomerID],tblCustomers[Age],"not found")</f>
        <v>60</v>
      </c>
      <c r="E1703" t="str">
        <f>_xlfn.XLOOKUP(tblOrders[[#This Row],[CustomerID]],tblCustomers[CustomerID],tblCustomers[Gender],"not found")</f>
        <v>Female</v>
      </c>
      <c r="F1703" t="str">
        <f>_xlfn.XLOOKUP(tblOrders[[#This Row],[CustomerID]],tblCustomers[CustomerID],tblCustomers[Region],"not found")</f>
        <v>West</v>
      </c>
      <c r="G1703">
        <v>1021</v>
      </c>
      <c r="H1703" t="str">
        <f>_xlfn.XLOOKUP(tblOrders[[#This Row],[ProductID]],tblProducts[ProductID],tblProducts[ProductName],"not found")</f>
        <v>Offer</v>
      </c>
      <c r="I1703" t="str">
        <f>_xlfn.XLOOKUP(tblOrders[[#This Row],[ProductID]],tblProducts[ProductID],tblProducts[Category],"not found")</f>
        <v>Electronics</v>
      </c>
      <c r="J1703">
        <f>_xlfn.XLOOKUP(tblOrders[[#This Row],[ProductID]],tblProducts[ProductID],tblProducts[UnitPrice],"not found")</f>
        <v>389.41</v>
      </c>
      <c r="K1703" t="str">
        <f>_xlfn.XLOOKUP(tblOrders[[#This Row],[ProductID]],tblProducts[ProductID],tblProducts[Supplier],"not found")</f>
        <v>Snyder-Stephens</v>
      </c>
      <c r="L1703" s="1" t="s">
        <v>2278</v>
      </c>
      <c r="M17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45289</v>
      </c>
      <c r="N1703">
        <v>2</v>
      </c>
      <c r="O1703">
        <v>778.82</v>
      </c>
      <c r="P1703">
        <f>tblOrders[[#This Row],[Quantity]]*tblOrders[[#This Row],[Unit Price]]</f>
        <v>778.82</v>
      </c>
      <c r="Q1703">
        <f>tblOrders[[#This Row],[TotalSales]]-tblOrders[[#This Row],[Calculated Sales]]</f>
        <v>0</v>
      </c>
    </row>
    <row r="1704" spans="1:17" x14ac:dyDescent="0.25">
      <c r="A1704">
        <v>1259</v>
      </c>
      <c r="B1704">
        <v>748</v>
      </c>
      <c r="C1704" t="str">
        <f>_xlfn.XLOOKUP(tblOrders[[#This Row],[CustomerID]],tblCustomers[CustomerID],tblCustomers[CustomerName],"not found")</f>
        <v>Heather Carter</v>
      </c>
      <c r="D1704">
        <f>_xlfn.XLOOKUP(tblOrders[[#This Row],[CustomerID]],tblCustomers[CustomerID],tblCustomers[Age],"not found")</f>
        <v>37</v>
      </c>
      <c r="E1704" t="str">
        <f>_xlfn.XLOOKUP(tblOrders[[#This Row],[CustomerID]],tblCustomers[CustomerID],tblCustomers[Gender],"not found")</f>
        <v>Male</v>
      </c>
      <c r="F1704" t="str">
        <f>_xlfn.XLOOKUP(tblOrders[[#This Row],[CustomerID]],tblCustomers[CustomerID],tblCustomers[Region],"not found")</f>
        <v>Central</v>
      </c>
      <c r="G1704">
        <v>1021</v>
      </c>
      <c r="H1704" t="str">
        <f>_xlfn.XLOOKUP(tblOrders[[#This Row],[ProductID]],tblProducts[ProductID],tblProducts[ProductName],"not found")</f>
        <v>Offer</v>
      </c>
      <c r="I1704" t="str">
        <f>_xlfn.XLOOKUP(tblOrders[[#This Row],[ProductID]],tblProducts[ProductID],tblProducts[Category],"not found")</f>
        <v>Electronics</v>
      </c>
      <c r="J1704">
        <f>_xlfn.XLOOKUP(tblOrders[[#This Row],[ProductID]],tblProducts[ProductID],tblProducts[UnitPrice],"not found")</f>
        <v>389.41</v>
      </c>
      <c r="K1704" t="str">
        <f>_xlfn.XLOOKUP(tblOrders[[#This Row],[ProductID]],tblProducts[ProductID],tblProducts[Supplier],"not found")</f>
        <v>Snyder-Stephens</v>
      </c>
      <c r="L1704" s="1">
        <v>45509</v>
      </c>
      <c r="M17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45509</v>
      </c>
      <c r="N1704">
        <v>2</v>
      </c>
      <c r="O1704">
        <v>778.82</v>
      </c>
      <c r="P1704">
        <f>tblOrders[[#This Row],[Quantity]]*tblOrders[[#This Row],[Unit Price]]</f>
        <v>778.82</v>
      </c>
      <c r="Q1704">
        <f>tblOrders[[#This Row],[TotalSales]]-tblOrders[[#This Row],[Calculated Sales]]</f>
        <v>0</v>
      </c>
    </row>
    <row r="1705" spans="1:17" x14ac:dyDescent="0.25">
      <c r="A1705">
        <v>1363</v>
      </c>
      <c r="B1705">
        <v>31</v>
      </c>
      <c r="C1705" t="str">
        <f>_xlfn.XLOOKUP(tblOrders[[#This Row],[CustomerID]],tblCustomers[CustomerID],tblCustomers[CustomerName],"not found")</f>
        <v>Anthony Perez</v>
      </c>
      <c r="D1705">
        <f>_xlfn.XLOOKUP(tblOrders[[#This Row],[CustomerID]],tblCustomers[CustomerID],tblCustomers[Age],"not found")</f>
        <v>19</v>
      </c>
      <c r="E1705" t="str">
        <f>_xlfn.XLOOKUP(tblOrders[[#This Row],[CustomerID]],tblCustomers[CustomerID],tblCustomers[Gender],"not found")</f>
        <v>Male</v>
      </c>
      <c r="F1705" t="str">
        <f>_xlfn.XLOOKUP(tblOrders[[#This Row],[CustomerID]],tblCustomers[CustomerID],tblCustomers[Region],"not found")</f>
        <v>South</v>
      </c>
      <c r="G1705">
        <v>1021</v>
      </c>
      <c r="H1705" t="str">
        <f>_xlfn.XLOOKUP(tblOrders[[#This Row],[ProductID]],tblProducts[ProductID],tblProducts[ProductName],"not found")</f>
        <v>Offer</v>
      </c>
      <c r="I1705" t="str">
        <f>_xlfn.XLOOKUP(tblOrders[[#This Row],[ProductID]],tblProducts[ProductID],tblProducts[Category],"not found")</f>
        <v>Electronics</v>
      </c>
      <c r="J1705">
        <f>_xlfn.XLOOKUP(tblOrders[[#This Row],[ProductID]],tblProducts[ProductID],tblProducts[UnitPrice],"not found")</f>
        <v>389.41</v>
      </c>
      <c r="K1705" t="str">
        <f>_xlfn.XLOOKUP(tblOrders[[#This Row],[ProductID]],tblProducts[ProductID],tblProducts[Supplier],"not found")</f>
        <v>Snyder-Stephens</v>
      </c>
      <c r="L1705" s="1" t="s">
        <v>2407</v>
      </c>
      <c r="M17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45194</v>
      </c>
      <c r="N1705">
        <v>3</v>
      </c>
      <c r="O1705">
        <v>1168.23</v>
      </c>
      <c r="P1705">
        <f>tblOrders[[#This Row],[Quantity]]*tblOrders[[#This Row],[Unit Price]]</f>
        <v>1168.23</v>
      </c>
      <c r="Q1705">
        <f>tblOrders[[#This Row],[TotalSales]]-tblOrders[[#This Row],[Calculated Sales]]</f>
        <v>0</v>
      </c>
    </row>
    <row r="1706" spans="1:17" x14ac:dyDescent="0.25">
      <c r="A1706">
        <v>1487</v>
      </c>
      <c r="B1706">
        <v>123</v>
      </c>
      <c r="C1706" t="str">
        <f>_xlfn.XLOOKUP(tblOrders[[#This Row],[CustomerID]],tblCustomers[CustomerID],tblCustomers[CustomerName],"not found")</f>
        <v>Jacqueline Cooper</v>
      </c>
      <c r="D1706">
        <f>_xlfn.XLOOKUP(tblOrders[[#This Row],[CustomerID]],tblCustomers[CustomerID],tblCustomers[Age],"not found")</f>
        <v>65</v>
      </c>
      <c r="E1706" t="str">
        <f>_xlfn.XLOOKUP(tblOrders[[#This Row],[CustomerID]],tblCustomers[CustomerID],tblCustomers[Gender],"not found")</f>
        <v>Male</v>
      </c>
      <c r="F1706" t="str">
        <f>_xlfn.XLOOKUP(tblOrders[[#This Row],[CustomerID]],tblCustomers[CustomerID],tblCustomers[Region],"not found")</f>
        <v>East</v>
      </c>
      <c r="G1706">
        <v>1021</v>
      </c>
      <c r="H1706" t="str">
        <f>_xlfn.XLOOKUP(tblOrders[[#This Row],[ProductID]],tblProducts[ProductID],tblProducts[ProductName],"not found")</f>
        <v>Offer</v>
      </c>
      <c r="I1706" t="str">
        <f>_xlfn.XLOOKUP(tblOrders[[#This Row],[ProductID]],tblProducts[ProductID],tblProducts[Category],"not found")</f>
        <v>Electronics</v>
      </c>
      <c r="J1706">
        <f>_xlfn.XLOOKUP(tblOrders[[#This Row],[ProductID]],tblProducts[ProductID],tblProducts[UnitPrice],"not found")</f>
        <v>389.41</v>
      </c>
      <c r="K1706" t="str">
        <f>_xlfn.XLOOKUP(tblOrders[[#This Row],[ProductID]],tblProducts[ProductID],tblProducts[Supplier],"not found")</f>
        <v>Snyder-Stephens</v>
      </c>
      <c r="L1706" s="1" t="s">
        <v>2111</v>
      </c>
      <c r="M17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45343</v>
      </c>
      <c r="N1706">
        <v>6</v>
      </c>
      <c r="O1706">
        <v>2336.46</v>
      </c>
      <c r="P1706">
        <f>tblOrders[[#This Row],[Quantity]]*tblOrders[[#This Row],[Unit Price]]</f>
        <v>2336.46</v>
      </c>
      <c r="Q1706">
        <f>tblOrders[[#This Row],[TotalSales]]-tblOrders[[#This Row],[Calculated Sales]]</f>
        <v>0</v>
      </c>
    </row>
    <row r="1707" spans="1:17" x14ac:dyDescent="0.25">
      <c r="A1707">
        <v>1642</v>
      </c>
      <c r="B1707">
        <v>17</v>
      </c>
      <c r="C1707" t="str">
        <f>_xlfn.XLOOKUP(tblOrders[[#This Row],[CustomerID]],tblCustomers[CustomerID],tblCustomers[CustomerName],"not found")</f>
        <v>John Lopez</v>
      </c>
      <c r="D1707">
        <f>_xlfn.XLOOKUP(tblOrders[[#This Row],[CustomerID]],tblCustomers[CustomerID],tblCustomers[Age],"not found")</f>
        <v>61</v>
      </c>
      <c r="E1707" t="str">
        <f>_xlfn.XLOOKUP(tblOrders[[#This Row],[CustomerID]],tblCustomers[CustomerID],tblCustomers[Gender],"not found")</f>
        <v>Male</v>
      </c>
      <c r="F1707" t="str">
        <f>_xlfn.XLOOKUP(tblOrders[[#This Row],[CustomerID]],tblCustomers[CustomerID],tblCustomers[Region],"not found")</f>
        <v>West</v>
      </c>
      <c r="G1707">
        <v>1021</v>
      </c>
      <c r="H1707" t="str">
        <f>_xlfn.XLOOKUP(tblOrders[[#This Row],[ProductID]],tblProducts[ProductID],tblProducts[ProductName],"not found")</f>
        <v>Offer</v>
      </c>
      <c r="I1707" t="str">
        <f>_xlfn.XLOOKUP(tblOrders[[#This Row],[ProductID]],tblProducts[ProductID],tblProducts[Category],"not found")</f>
        <v>Electronics</v>
      </c>
      <c r="J1707">
        <f>_xlfn.XLOOKUP(tblOrders[[#This Row],[ProductID]],tblProducts[ProductID],tblProducts[UnitPrice],"not found")</f>
        <v>389.41</v>
      </c>
      <c r="K1707" t="str">
        <f>_xlfn.XLOOKUP(tblOrders[[#This Row],[ProductID]],tblProducts[ProductID],tblProducts[Supplier],"not found")</f>
        <v>Snyder-Stephens</v>
      </c>
      <c r="L1707" s="1">
        <v>45359</v>
      </c>
      <c r="M17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45359</v>
      </c>
      <c r="N1707">
        <v>9</v>
      </c>
      <c r="O1707">
        <v>3504.69</v>
      </c>
      <c r="P1707">
        <f>tblOrders[[#This Row],[Quantity]]*tblOrders[[#This Row],[Unit Price]]</f>
        <v>3504.69</v>
      </c>
      <c r="Q1707">
        <f>tblOrders[[#This Row],[TotalSales]]-tblOrders[[#This Row],[Calculated Sales]]</f>
        <v>0</v>
      </c>
    </row>
    <row r="1708" spans="1:17" x14ac:dyDescent="0.25">
      <c r="A1708">
        <v>1912</v>
      </c>
      <c r="B1708">
        <v>139</v>
      </c>
      <c r="C1708" t="str">
        <f>_xlfn.XLOOKUP(tblOrders[[#This Row],[CustomerID]],tblCustomers[CustomerID],tblCustomers[CustomerName],"not found")</f>
        <v>Bradley Fernandez</v>
      </c>
      <c r="D1708">
        <f>_xlfn.XLOOKUP(tblOrders[[#This Row],[CustomerID]],tblCustomers[CustomerID],tblCustomers[Age],"not found")</f>
        <v>62</v>
      </c>
      <c r="E1708" t="str">
        <f>_xlfn.XLOOKUP(tblOrders[[#This Row],[CustomerID]],tblCustomers[CustomerID],tblCustomers[Gender],"not found")</f>
        <v>Female</v>
      </c>
      <c r="F1708" t="str">
        <f>_xlfn.XLOOKUP(tblOrders[[#This Row],[CustomerID]],tblCustomers[CustomerID],tblCustomers[Region],"not found")</f>
        <v>West</v>
      </c>
      <c r="G1708">
        <v>1021</v>
      </c>
      <c r="H1708" t="str">
        <f>_xlfn.XLOOKUP(tblOrders[[#This Row],[ProductID]],tblProducts[ProductID],tblProducts[ProductName],"not found")</f>
        <v>Offer</v>
      </c>
      <c r="I1708" t="str">
        <f>_xlfn.XLOOKUP(tblOrders[[#This Row],[ProductID]],tblProducts[ProductID],tblProducts[Category],"not found")</f>
        <v>Electronics</v>
      </c>
      <c r="J1708">
        <f>_xlfn.XLOOKUP(tblOrders[[#This Row],[ProductID]],tblProducts[ProductID],tblProducts[UnitPrice],"not found")</f>
        <v>389.41</v>
      </c>
      <c r="K1708" t="str">
        <f>_xlfn.XLOOKUP(tblOrders[[#This Row],[ProductID]],tblProducts[ProductID],tblProducts[Supplier],"not found")</f>
        <v>Snyder-Stephens</v>
      </c>
      <c r="L1708" s="1">
        <v>45538</v>
      </c>
      <c r="M17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45538</v>
      </c>
      <c r="N1708">
        <v>2</v>
      </c>
      <c r="O1708">
        <v>778.82</v>
      </c>
      <c r="P1708">
        <f>tblOrders[[#This Row],[Quantity]]*tblOrders[[#This Row],[Unit Price]]</f>
        <v>778.82</v>
      </c>
      <c r="Q1708">
        <f>tblOrders[[#This Row],[TotalSales]]-tblOrders[[#This Row],[Calculated Sales]]</f>
        <v>0</v>
      </c>
    </row>
    <row r="1709" spans="1:17" x14ac:dyDescent="0.25">
      <c r="A1709">
        <v>166</v>
      </c>
      <c r="B1709">
        <v>210</v>
      </c>
      <c r="C1709" t="str">
        <f>_xlfn.XLOOKUP(tblOrders[[#This Row],[CustomerID]],tblCustomers[CustomerID],tblCustomers[CustomerName],"not found")</f>
        <v>Ashley Green</v>
      </c>
      <c r="D1709">
        <f>_xlfn.XLOOKUP(tblOrders[[#This Row],[CustomerID]],tblCustomers[CustomerID],tblCustomers[Age],"not found")</f>
        <v>68</v>
      </c>
      <c r="E1709" t="str">
        <f>_xlfn.XLOOKUP(tblOrders[[#This Row],[CustomerID]],tblCustomers[CustomerID],tblCustomers[Gender],"not found")</f>
        <v>Female</v>
      </c>
      <c r="F1709" t="str">
        <f>_xlfn.XLOOKUP(tblOrders[[#This Row],[CustomerID]],tblCustomers[CustomerID],tblCustomers[Region],"not found")</f>
        <v>West</v>
      </c>
      <c r="G1709">
        <v>1045</v>
      </c>
      <c r="H1709" t="str">
        <f>_xlfn.XLOOKUP(tblOrders[[#This Row],[ProductID]],tblProducts[ProductID],tblProducts[ProductName],"not found")</f>
        <v>Have</v>
      </c>
      <c r="I1709" t="str">
        <f>_xlfn.XLOOKUP(tblOrders[[#This Row],[ProductID]],tblProducts[ProductID],tblProducts[Category],"not found")</f>
        <v>Apparel</v>
      </c>
      <c r="J1709">
        <f>_xlfn.XLOOKUP(tblOrders[[#This Row],[ProductID]],tblProducts[ProductID],tblProducts[UnitPrice],"not found")</f>
        <v>75.489999999999995</v>
      </c>
      <c r="K1709" t="str">
        <f>_xlfn.XLOOKUP(tblOrders[[#This Row],[ProductID]],tblProducts[ProductID],tblProducts[Supplier],"not found")</f>
        <v>Hernandez and Sons</v>
      </c>
      <c r="L1709" s="1">
        <v>45606</v>
      </c>
      <c r="M17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45606</v>
      </c>
      <c r="N1709">
        <v>5</v>
      </c>
      <c r="O1709">
        <v>377.45</v>
      </c>
      <c r="P1709">
        <f>tblOrders[[#This Row],[Quantity]]*tblOrders[[#This Row],[Unit Price]]</f>
        <v>377.45</v>
      </c>
      <c r="Q1709">
        <f>tblOrders[[#This Row],[TotalSales]]-tblOrders[[#This Row],[Calculated Sales]]</f>
        <v>0</v>
      </c>
    </row>
    <row r="1710" spans="1:17" x14ac:dyDescent="0.25">
      <c r="A1710">
        <v>215</v>
      </c>
      <c r="B1710">
        <v>594</v>
      </c>
      <c r="C1710" t="str">
        <f>_xlfn.XLOOKUP(tblOrders[[#This Row],[CustomerID]],tblCustomers[CustomerID],tblCustomers[CustomerName],"not found")</f>
        <v>Rachel Jones</v>
      </c>
      <c r="D1710">
        <f>_xlfn.XLOOKUP(tblOrders[[#This Row],[CustomerID]],tblCustomers[CustomerID],tblCustomers[Age],"not found")</f>
        <v>51</v>
      </c>
      <c r="E1710" t="str">
        <f>_xlfn.XLOOKUP(tblOrders[[#This Row],[CustomerID]],tblCustomers[CustomerID],tblCustomers[Gender],"not found")</f>
        <v>Male</v>
      </c>
      <c r="F1710" t="str">
        <f>_xlfn.XLOOKUP(tblOrders[[#This Row],[CustomerID]],tblCustomers[CustomerID],tblCustomers[Region],"not found")</f>
        <v>Central</v>
      </c>
      <c r="G1710">
        <v>1045</v>
      </c>
      <c r="H1710" t="str">
        <f>_xlfn.XLOOKUP(tblOrders[[#This Row],[ProductID]],tblProducts[ProductID],tblProducts[ProductName],"not found")</f>
        <v>Have</v>
      </c>
      <c r="I1710" t="str">
        <f>_xlfn.XLOOKUP(tblOrders[[#This Row],[ProductID]],tblProducts[ProductID],tblProducts[Category],"not found")</f>
        <v>Apparel</v>
      </c>
      <c r="J1710">
        <f>_xlfn.XLOOKUP(tblOrders[[#This Row],[ProductID]],tblProducts[ProductID],tblProducts[UnitPrice],"not found")</f>
        <v>75.489999999999995</v>
      </c>
      <c r="K1710" t="str">
        <f>_xlfn.XLOOKUP(tblOrders[[#This Row],[ProductID]],tblProducts[ProductID],tblProducts[Supplier],"not found")</f>
        <v>Hernandez and Sons</v>
      </c>
      <c r="L1710" s="1" t="s">
        <v>2057</v>
      </c>
      <c r="M17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44972</v>
      </c>
      <c r="N1710">
        <v>3</v>
      </c>
      <c r="O1710">
        <v>226.47</v>
      </c>
      <c r="P1710">
        <f>tblOrders[[#This Row],[Quantity]]*tblOrders[[#This Row],[Unit Price]]</f>
        <v>226.46999999999997</v>
      </c>
      <c r="Q1710">
        <f>tblOrders[[#This Row],[TotalSales]]-tblOrders[[#This Row],[Calculated Sales]]</f>
        <v>0</v>
      </c>
    </row>
    <row r="1711" spans="1:17" x14ac:dyDescent="0.25">
      <c r="A1711">
        <v>817</v>
      </c>
      <c r="B1711">
        <v>148</v>
      </c>
      <c r="C1711" t="str">
        <f>_xlfn.XLOOKUP(tblOrders[[#This Row],[CustomerID]],tblCustomers[CustomerID],tblCustomers[CustomerName],"not found")</f>
        <v>Dana Young</v>
      </c>
      <c r="D1711">
        <f>_xlfn.XLOOKUP(tblOrders[[#This Row],[CustomerID]],tblCustomers[CustomerID],tblCustomers[Age],"not found")</f>
        <v>33</v>
      </c>
      <c r="E1711" t="str">
        <f>_xlfn.XLOOKUP(tblOrders[[#This Row],[CustomerID]],tblCustomers[CustomerID],tblCustomers[Gender],"not found")</f>
        <v>Male</v>
      </c>
      <c r="F1711" t="str">
        <f>_xlfn.XLOOKUP(tblOrders[[#This Row],[CustomerID]],tblCustomers[CustomerID],tblCustomers[Region],"not found")</f>
        <v>South</v>
      </c>
      <c r="G1711">
        <v>1045</v>
      </c>
      <c r="H1711" t="str">
        <f>_xlfn.XLOOKUP(tblOrders[[#This Row],[ProductID]],tblProducts[ProductID],tblProducts[ProductName],"not found")</f>
        <v>Have</v>
      </c>
      <c r="I1711" t="str">
        <f>_xlfn.XLOOKUP(tblOrders[[#This Row],[ProductID]],tblProducts[ProductID],tblProducts[Category],"not found")</f>
        <v>Apparel</v>
      </c>
      <c r="J1711">
        <f>_xlfn.XLOOKUP(tblOrders[[#This Row],[ProductID]],tblProducts[ProductID],tblProducts[UnitPrice],"not found")</f>
        <v>75.489999999999995</v>
      </c>
      <c r="K1711" t="str">
        <f>_xlfn.XLOOKUP(tblOrders[[#This Row],[ProductID]],tblProducts[ProductID],tblProducts[Supplier],"not found")</f>
        <v>Hernandez and Sons</v>
      </c>
      <c r="L1711" s="1">
        <v>45020</v>
      </c>
      <c r="M17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45020</v>
      </c>
      <c r="N1711">
        <v>3</v>
      </c>
      <c r="O1711">
        <v>226.47</v>
      </c>
      <c r="P1711">
        <f>tblOrders[[#This Row],[Quantity]]*tblOrders[[#This Row],[Unit Price]]</f>
        <v>226.46999999999997</v>
      </c>
      <c r="Q1711">
        <f>tblOrders[[#This Row],[TotalSales]]-tblOrders[[#This Row],[Calculated Sales]]</f>
        <v>0</v>
      </c>
    </row>
    <row r="1712" spans="1:17" x14ac:dyDescent="0.25">
      <c r="A1712">
        <v>876</v>
      </c>
      <c r="B1712">
        <v>4</v>
      </c>
      <c r="C1712" t="str">
        <f>_xlfn.XLOOKUP(tblOrders[[#This Row],[CustomerID]],tblCustomers[CustomerID],tblCustomers[CustomerName],"not found")</f>
        <v>Laura King</v>
      </c>
      <c r="D1712">
        <f>_xlfn.XLOOKUP(tblOrders[[#This Row],[CustomerID]],tblCustomers[CustomerID],tblCustomers[Age],"not found")</f>
        <v>20</v>
      </c>
      <c r="E1712" t="str">
        <f>_xlfn.XLOOKUP(tblOrders[[#This Row],[CustomerID]],tblCustomers[CustomerID],tblCustomers[Gender],"not found")</f>
        <v>Male</v>
      </c>
      <c r="F1712" t="str">
        <f>_xlfn.XLOOKUP(tblOrders[[#This Row],[CustomerID]],tblCustomers[CustomerID],tblCustomers[Region],"not found")</f>
        <v>Central</v>
      </c>
      <c r="G1712">
        <v>1045</v>
      </c>
      <c r="H1712" t="str">
        <f>_xlfn.XLOOKUP(tblOrders[[#This Row],[ProductID]],tblProducts[ProductID],tblProducts[ProductName],"not found")</f>
        <v>Have</v>
      </c>
      <c r="I1712" t="str">
        <f>_xlfn.XLOOKUP(tblOrders[[#This Row],[ProductID]],tblProducts[ProductID],tblProducts[Category],"not found")</f>
        <v>Apparel</v>
      </c>
      <c r="J1712">
        <f>_xlfn.XLOOKUP(tblOrders[[#This Row],[ProductID]],tblProducts[ProductID],tblProducts[UnitPrice],"not found")</f>
        <v>75.489999999999995</v>
      </c>
      <c r="K1712" t="str">
        <f>_xlfn.XLOOKUP(tblOrders[[#This Row],[ProductID]],tblProducts[ProductID],tblProducts[Supplier],"not found")</f>
        <v>Hernandez and Sons</v>
      </c>
      <c r="L1712" s="1">
        <v>45054</v>
      </c>
      <c r="M17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45054</v>
      </c>
      <c r="N1712">
        <v>2</v>
      </c>
      <c r="O1712">
        <v>150.97999999999999</v>
      </c>
      <c r="P1712">
        <f>tblOrders[[#This Row],[Quantity]]*tblOrders[[#This Row],[Unit Price]]</f>
        <v>150.97999999999999</v>
      </c>
      <c r="Q1712">
        <f>tblOrders[[#This Row],[TotalSales]]-tblOrders[[#This Row],[Calculated Sales]]</f>
        <v>0</v>
      </c>
    </row>
    <row r="1713" spans="1:17" x14ac:dyDescent="0.25">
      <c r="A1713">
        <v>919</v>
      </c>
      <c r="B1713">
        <v>542</v>
      </c>
      <c r="C1713" t="str">
        <f>_xlfn.XLOOKUP(tblOrders[[#This Row],[CustomerID]],tblCustomers[CustomerID],tblCustomers[CustomerName],"not found")</f>
        <v>Joshua Hensley</v>
      </c>
      <c r="D1713">
        <f>_xlfn.XLOOKUP(tblOrders[[#This Row],[CustomerID]],tblCustomers[CustomerID],tblCustomers[Age],"not found")</f>
        <v>69</v>
      </c>
      <c r="E1713" t="str">
        <f>_xlfn.XLOOKUP(tblOrders[[#This Row],[CustomerID]],tblCustomers[CustomerID],tblCustomers[Gender],"not found")</f>
        <v>Male</v>
      </c>
      <c r="F1713" t="str">
        <f>_xlfn.XLOOKUP(tblOrders[[#This Row],[CustomerID]],tblCustomers[CustomerID],tblCustomers[Region],"not found")</f>
        <v>South</v>
      </c>
      <c r="G1713">
        <v>1045</v>
      </c>
      <c r="H1713" t="str">
        <f>_xlfn.XLOOKUP(tblOrders[[#This Row],[ProductID]],tblProducts[ProductID],tblProducts[ProductName],"not found")</f>
        <v>Have</v>
      </c>
      <c r="I1713" t="str">
        <f>_xlfn.XLOOKUP(tblOrders[[#This Row],[ProductID]],tblProducts[ProductID],tblProducts[Category],"not found")</f>
        <v>Apparel</v>
      </c>
      <c r="J1713">
        <f>_xlfn.XLOOKUP(tblOrders[[#This Row],[ProductID]],tblProducts[ProductID],tblProducts[UnitPrice],"not found")</f>
        <v>75.489999999999995</v>
      </c>
      <c r="K1713" t="str">
        <f>_xlfn.XLOOKUP(tblOrders[[#This Row],[ProductID]],tblProducts[ProductID],tblProducts[Supplier],"not found")</f>
        <v>Hernandez and Sons</v>
      </c>
      <c r="L1713" s="1" t="s">
        <v>2409</v>
      </c>
      <c r="M17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45070</v>
      </c>
      <c r="N1713">
        <v>8</v>
      </c>
      <c r="O1713">
        <v>603.91999999999996</v>
      </c>
      <c r="P1713">
        <f>tblOrders[[#This Row],[Quantity]]*tblOrders[[#This Row],[Unit Price]]</f>
        <v>603.91999999999996</v>
      </c>
      <c r="Q1713">
        <f>tblOrders[[#This Row],[TotalSales]]-tblOrders[[#This Row],[Calculated Sales]]</f>
        <v>0</v>
      </c>
    </row>
    <row r="1714" spans="1:17" x14ac:dyDescent="0.25">
      <c r="A1714">
        <v>927</v>
      </c>
      <c r="B1714">
        <v>601</v>
      </c>
      <c r="C1714" t="str">
        <f>_xlfn.XLOOKUP(tblOrders[[#This Row],[CustomerID]],tblCustomers[CustomerID],tblCustomers[CustomerName],"not found")</f>
        <v>Jenna Lane</v>
      </c>
      <c r="D1714">
        <f>_xlfn.XLOOKUP(tblOrders[[#This Row],[CustomerID]],tblCustomers[CustomerID],tblCustomers[Age],"not found")</f>
        <v>21</v>
      </c>
      <c r="E1714" t="str">
        <f>_xlfn.XLOOKUP(tblOrders[[#This Row],[CustomerID]],tblCustomers[CustomerID],tblCustomers[Gender],"not found")</f>
        <v>Female</v>
      </c>
      <c r="F1714" t="str">
        <f>_xlfn.XLOOKUP(tblOrders[[#This Row],[CustomerID]],tblCustomers[CustomerID],tblCustomers[Region],"not found")</f>
        <v>East</v>
      </c>
      <c r="G1714">
        <v>1045</v>
      </c>
      <c r="H1714" t="str">
        <f>_xlfn.XLOOKUP(tblOrders[[#This Row],[ProductID]],tblProducts[ProductID],tblProducts[ProductName],"not found")</f>
        <v>Have</v>
      </c>
      <c r="I1714" t="str">
        <f>_xlfn.XLOOKUP(tblOrders[[#This Row],[ProductID]],tblProducts[ProductID],tblProducts[Category],"not found")</f>
        <v>Apparel</v>
      </c>
      <c r="J1714">
        <f>_xlfn.XLOOKUP(tblOrders[[#This Row],[ProductID]],tblProducts[ProductID],tblProducts[UnitPrice],"not found")</f>
        <v>75.489999999999995</v>
      </c>
      <c r="K1714" t="str">
        <f>_xlfn.XLOOKUP(tblOrders[[#This Row],[ProductID]],tblProducts[ProductID],tblProducts[Supplier],"not found")</f>
        <v>Hernandez and Sons</v>
      </c>
      <c r="L1714" s="1" t="s">
        <v>2227</v>
      </c>
      <c r="M17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45244</v>
      </c>
      <c r="N1714">
        <v>6</v>
      </c>
      <c r="O1714">
        <v>452.94</v>
      </c>
      <c r="P1714">
        <f>tblOrders[[#This Row],[Quantity]]*tblOrders[[#This Row],[Unit Price]]</f>
        <v>452.93999999999994</v>
      </c>
      <c r="Q1714">
        <f>tblOrders[[#This Row],[TotalSales]]-tblOrders[[#This Row],[Calculated Sales]]</f>
        <v>0</v>
      </c>
    </row>
    <row r="1715" spans="1:17" x14ac:dyDescent="0.25">
      <c r="A1715">
        <v>1082</v>
      </c>
      <c r="B1715">
        <v>729</v>
      </c>
      <c r="C1715" t="str">
        <f>_xlfn.XLOOKUP(tblOrders[[#This Row],[CustomerID]],tblCustomers[CustomerID],tblCustomers[CustomerName],"not found")</f>
        <v>Dr. Michelle Wilson</v>
      </c>
      <c r="D1715">
        <f>_xlfn.XLOOKUP(tblOrders[[#This Row],[CustomerID]],tblCustomers[CustomerID],tblCustomers[Age],"not found")</f>
        <v>21</v>
      </c>
      <c r="E1715" t="str">
        <f>_xlfn.XLOOKUP(tblOrders[[#This Row],[CustomerID]],tblCustomers[CustomerID],tblCustomers[Gender],"not found")</f>
        <v>Male</v>
      </c>
      <c r="F1715" t="str">
        <f>_xlfn.XLOOKUP(tblOrders[[#This Row],[CustomerID]],tblCustomers[CustomerID],tblCustomers[Region],"not found")</f>
        <v>West</v>
      </c>
      <c r="G1715">
        <v>1045</v>
      </c>
      <c r="H1715" t="str">
        <f>_xlfn.XLOOKUP(tblOrders[[#This Row],[ProductID]],tblProducts[ProductID],tblProducts[ProductName],"not found")</f>
        <v>Have</v>
      </c>
      <c r="I1715" t="str">
        <f>_xlfn.XLOOKUP(tblOrders[[#This Row],[ProductID]],tblProducts[ProductID],tblProducts[Category],"not found")</f>
        <v>Apparel</v>
      </c>
      <c r="J1715">
        <f>_xlfn.XLOOKUP(tblOrders[[#This Row],[ProductID]],tblProducts[ProductID],tblProducts[UnitPrice],"not found")</f>
        <v>75.489999999999995</v>
      </c>
      <c r="K1715" t="str">
        <f>_xlfn.XLOOKUP(tblOrders[[#This Row],[ProductID]],tblProducts[ProductID],tblProducts[Supplier],"not found")</f>
        <v>Hernandez and Sons</v>
      </c>
      <c r="L1715" s="1" t="s">
        <v>2128</v>
      </c>
      <c r="M17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45044</v>
      </c>
      <c r="N1715">
        <v>7</v>
      </c>
      <c r="O1715">
        <v>528.42999999999995</v>
      </c>
      <c r="P1715">
        <f>tblOrders[[#This Row],[Quantity]]*tblOrders[[#This Row],[Unit Price]]</f>
        <v>528.42999999999995</v>
      </c>
      <c r="Q1715">
        <f>tblOrders[[#This Row],[TotalSales]]-tblOrders[[#This Row],[Calculated Sales]]</f>
        <v>0</v>
      </c>
    </row>
    <row r="1716" spans="1:17" x14ac:dyDescent="0.25">
      <c r="A1716">
        <v>1315</v>
      </c>
      <c r="B1716">
        <v>757</v>
      </c>
      <c r="C1716" t="str">
        <f>_xlfn.XLOOKUP(tblOrders[[#This Row],[CustomerID]],tblCustomers[CustomerID],tblCustomers[CustomerName],"not found")</f>
        <v>Dana Sanders</v>
      </c>
      <c r="D1716">
        <f>_xlfn.XLOOKUP(tblOrders[[#This Row],[CustomerID]],tblCustomers[CustomerID],tblCustomers[Age],"not found")</f>
        <v>51</v>
      </c>
      <c r="E1716" t="str">
        <f>_xlfn.XLOOKUP(tblOrders[[#This Row],[CustomerID]],tblCustomers[CustomerID],tblCustomers[Gender],"not found")</f>
        <v>Female</v>
      </c>
      <c r="F1716" t="str">
        <f>_xlfn.XLOOKUP(tblOrders[[#This Row],[CustomerID]],tblCustomers[CustomerID],tblCustomers[Region],"not found")</f>
        <v>West</v>
      </c>
      <c r="G1716">
        <v>1045</v>
      </c>
      <c r="H1716" t="str">
        <f>_xlfn.XLOOKUP(tblOrders[[#This Row],[ProductID]],tblProducts[ProductID],tblProducts[ProductName],"not found")</f>
        <v>Have</v>
      </c>
      <c r="I1716" t="str">
        <f>_xlfn.XLOOKUP(tblOrders[[#This Row],[ProductID]],tblProducts[ProductID],tblProducts[Category],"not found")</f>
        <v>Apparel</v>
      </c>
      <c r="J1716">
        <f>_xlfn.XLOOKUP(tblOrders[[#This Row],[ProductID]],tblProducts[ProductID],tblProducts[UnitPrice],"not found")</f>
        <v>75.489999999999995</v>
      </c>
      <c r="K1716" t="str">
        <f>_xlfn.XLOOKUP(tblOrders[[#This Row],[ProductID]],tblProducts[ProductID],tblProducts[Supplier],"not found")</f>
        <v>Hernandez and Sons</v>
      </c>
      <c r="L1716" s="1" t="s">
        <v>2251</v>
      </c>
      <c r="M17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45009</v>
      </c>
      <c r="N1716">
        <v>3</v>
      </c>
      <c r="O1716">
        <v>226.47</v>
      </c>
      <c r="P1716">
        <f>tblOrders[[#This Row],[Quantity]]*tblOrders[[#This Row],[Unit Price]]</f>
        <v>226.46999999999997</v>
      </c>
      <c r="Q1716">
        <f>tblOrders[[#This Row],[TotalSales]]-tblOrders[[#This Row],[Calculated Sales]]</f>
        <v>0</v>
      </c>
    </row>
    <row r="1717" spans="1:17" x14ac:dyDescent="0.25">
      <c r="A1717">
        <v>1344</v>
      </c>
      <c r="B1717">
        <v>512</v>
      </c>
      <c r="C1717" t="str">
        <f>_xlfn.XLOOKUP(tblOrders[[#This Row],[CustomerID]],tblCustomers[CustomerID],tblCustomers[CustomerName],"not found")</f>
        <v>Alicia Taylor</v>
      </c>
      <c r="D1717">
        <f>_xlfn.XLOOKUP(tblOrders[[#This Row],[CustomerID]],tblCustomers[CustomerID],tblCustomers[Age],"not found")</f>
        <v>45</v>
      </c>
      <c r="E1717" t="str">
        <f>_xlfn.XLOOKUP(tblOrders[[#This Row],[CustomerID]],tblCustomers[CustomerID],tblCustomers[Gender],"not found")</f>
        <v>Male</v>
      </c>
      <c r="F1717" t="str">
        <f>_xlfn.XLOOKUP(tblOrders[[#This Row],[CustomerID]],tblCustomers[CustomerID],tblCustomers[Region],"not found")</f>
        <v>East</v>
      </c>
      <c r="G1717">
        <v>1045</v>
      </c>
      <c r="H1717" t="str">
        <f>_xlfn.XLOOKUP(tblOrders[[#This Row],[ProductID]],tblProducts[ProductID],tblProducts[ProductName],"not found")</f>
        <v>Have</v>
      </c>
      <c r="I1717" t="str">
        <f>_xlfn.XLOOKUP(tblOrders[[#This Row],[ProductID]],tblProducts[ProductID],tblProducts[Category],"not found")</f>
        <v>Apparel</v>
      </c>
      <c r="J1717">
        <f>_xlfn.XLOOKUP(tblOrders[[#This Row],[ProductID]],tblProducts[ProductID],tblProducts[UnitPrice],"not found")</f>
        <v>75.489999999999995</v>
      </c>
      <c r="K1717" t="str">
        <f>_xlfn.XLOOKUP(tblOrders[[#This Row],[ProductID]],tblProducts[ProductID],tblProducts[Supplier],"not found")</f>
        <v>Hernandez and Sons</v>
      </c>
      <c r="L1717" s="1" t="s">
        <v>2185</v>
      </c>
      <c r="M17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44890</v>
      </c>
      <c r="N1717">
        <v>8</v>
      </c>
      <c r="O1717">
        <v>603.91999999999996</v>
      </c>
      <c r="P1717">
        <f>tblOrders[[#This Row],[Quantity]]*tblOrders[[#This Row],[Unit Price]]</f>
        <v>603.91999999999996</v>
      </c>
      <c r="Q1717">
        <f>tblOrders[[#This Row],[TotalSales]]-tblOrders[[#This Row],[Calculated Sales]]</f>
        <v>0</v>
      </c>
    </row>
    <row r="1718" spans="1:17" x14ac:dyDescent="0.25">
      <c r="A1718">
        <v>1428</v>
      </c>
      <c r="B1718">
        <v>751</v>
      </c>
      <c r="C1718" t="str">
        <f>_xlfn.XLOOKUP(tblOrders[[#This Row],[CustomerID]],tblCustomers[CustomerID],tblCustomers[CustomerName],"not found")</f>
        <v>Christina Morris</v>
      </c>
      <c r="D1718">
        <f>_xlfn.XLOOKUP(tblOrders[[#This Row],[CustomerID]],tblCustomers[CustomerID],tblCustomers[Age],"not found")</f>
        <v>49</v>
      </c>
      <c r="E1718" t="str">
        <f>_xlfn.XLOOKUP(tblOrders[[#This Row],[CustomerID]],tblCustomers[CustomerID],tblCustomers[Gender],"not found")</f>
        <v>Male</v>
      </c>
      <c r="F1718" t="str">
        <f>_xlfn.XLOOKUP(tblOrders[[#This Row],[CustomerID]],tblCustomers[CustomerID],tblCustomers[Region],"not found")</f>
        <v>West</v>
      </c>
      <c r="G1718">
        <v>1045</v>
      </c>
      <c r="H1718" t="str">
        <f>_xlfn.XLOOKUP(tblOrders[[#This Row],[ProductID]],tblProducts[ProductID],tblProducts[ProductName],"not found")</f>
        <v>Have</v>
      </c>
      <c r="I1718" t="str">
        <f>_xlfn.XLOOKUP(tblOrders[[#This Row],[ProductID]],tblProducts[ProductID],tblProducts[Category],"not found")</f>
        <v>Apparel</v>
      </c>
      <c r="J1718">
        <f>_xlfn.XLOOKUP(tblOrders[[#This Row],[ProductID]],tblProducts[ProductID],tblProducts[UnitPrice],"not found")</f>
        <v>75.489999999999995</v>
      </c>
      <c r="K1718" t="str">
        <f>_xlfn.XLOOKUP(tblOrders[[#This Row],[ProductID]],tblProducts[ProductID],tblProducts[Supplier],"not found")</f>
        <v>Hernandez and Sons</v>
      </c>
      <c r="L1718" s="1">
        <v>44932</v>
      </c>
      <c r="M17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44932</v>
      </c>
      <c r="N1718">
        <v>5</v>
      </c>
      <c r="O1718">
        <v>377.45</v>
      </c>
      <c r="P1718">
        <f>tblOrders[[#This Row],[Quantity]]*tblOrders[[#This Row],[Unit Price]]</f>
        <v>377.45</v>
      </c>
      <c r="Q1718">
        <f>tblOrders[[#This Row],[TotalSales]]-tblOrders[[#This Row],[Calculated Sales]]</f>
        <v>0</v>
      </c>
    </row>
    <row r="1719" spans="1:17" x14ac:dyDescent="0.25">
      <c r="A1719">
        <v>1442</v>
      </c>
      <c r="B1719">
        <v>983</v>
      </c>
      <c r="C1719" t="str">
        <f>_xlfn.XLOOKUP(tblOrders[[#This Row],[CustomerID]],tblCustomers[CustomerID],tblCustomers[CustomerName],"not found")</f>
        <v>Sara Liu</v>
      </c>
      <c r="D1719">
        <f>_xlfn.XLOOKUP(tblOrders[[#This Row],[CustomerID]],tblCustomers[CustomerID],tblCustomers[Age],"not found")</f>
        <v>26</v>
      </c>
      <c r="E1719" t="str">
        <f>_xlfn.XLOOKUP(tblOrders[[#This Row],[CustomerID]],tblCustomers[CustomerID],tblCustomers[Gender],"not found")</f>
        <v>Female</v>
      </c>
      <c r="F1719" t="str">
        <f>_xlfn.XLOOKUP(tblOrders[[#This Row],[CustomerID]],tblCustomers[CustomerID],tblCustomers[Region],"not found")</f>
        <v>South</v>
      </c>
      <c r="G1719">
        <v>1045</v>
      </c>
      <c r="H1719" t="str">
        <f>_xlfn.XLOOKUP(tblOrders[[#This Row],[ProductID]],tblProducts[ProductID],tblProducts[ProductName],"not found")</f>
        <v>Have</v>
      </c>
      <c r="I1719" t="str">
        <f>_xlfn.XLOOKUP(tblOrders[[#This Row],[ProductID]],tblProducts[ProductID],tblProducts[Category],"not found")</f>
        <v>Apparel</v>
      </c>
      <c r="J1719">
        <f>_xlfn.XLOOKUP(tblOrders[[#This Row],[ProductID]],tblProducts[ProductID],tblProducts[UnitPrice],"not found")</f>
        <v>75.489999999999995</v>
      </c>
      <c r="K1719" t="str">
        <f>_xlfn.XLOOKUP(tblOrders[[#This Row],[ProductID]],tblProducts[ProductID],tblProducts[Supplier],"not found")</f>
        <v>Hernandez and Sons</v>
      </c>
      <c r="L1719" s="1">
        <v>45048</v>
      </c>
      <c r="M17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45048</v>
      </c>
      <c r="N1719">
        <v>9</v>
      </c>
      <c r="O1719">
        <v>679.41</v>
      </c>
      <c r="P1719">
        <f>tblOrders[[#This Row],[Quantity]]*tblOrders[[#This Row],[Unit Price]]</f>
        <v>679.41</v>
      </c>
      <c r="Q1719">
        <f>tblOrders[[#This Row],[TotalSales]]-tblOrders[[#This Row],[Calculated Sales]]</f>
        <v>0</v>
      </c>
    </row>
    <row r="1720" spans="1:17" x14ac:dyDescent="0.25">
      <c r="A1720">
        <v>1480</v>
      </c>
      <c r="B1720">
        <v>416</v>
      </c>
      <c r="C1720" t="str">
        <f>_xlfn.XLOOKUP(tblOrders[[#This Row],[CustomerID]],tblCustomers[CustomerID],tblCustomers[CustomerName],"not found")</f>
        <v>Ronald Hawkins</v>
      </c>
      <c r="D1720">
        <f>_xlfn.XLOOKUP(tblOrders[[#This Row],[CustomerID]],tblCustomers[CustomerID],tblCustomers[Age],"not found")</f>
        <v>24</v>
      </c>
      <c r="E1720" t="str">
        <f>_xlfn.XLOOKUP(tblOrders[[#This Row],[CustomerID]],tblCustomers[CustomerID],tblCustomers[Gender],"not found")</f>
        <v>Female</v>
      </c>
      <c r="F1720" t="str">
        <f>_xlfn.XLOOKUP(tblOrders[[#This Row],[CustomerID]],tblCustomers[CustomerID],tblCustomers[Region],"not found")</f>
        <v>Central</v>
      </c>
      <c r="G1720">
        <v>1045</v>
      </c>
      <c r="H1720" t="str">
        <f>_xlfn.XLOOKUP(tblOrders[[#This Row],[ProductID]],tblProducts[ProductID],tblProducts[ProductName],"not found")</f>
        <v>Have</v>
      </c>
      <c r="I1720" t="str">
        <f>_xlfn.XLOOKUP(tblOrders[[#This Row],[ProductID]],tblProducts[ProductID],tblProducts[Category],"not found")</f>
        <v>Apparel</v>
      </c>
      <c r="J1720">
        <f>_xlfn.XLOOKUP(tblOrders[[#This Row],[ProductID]],tblProducts[ProductID],tblProducts[UnitPrice],"not found")</f>
        <v>75.489999999999995</v>
      </c>
      <c r="K1720" t="str">
        <f>_xlfn.XLOOKUP(tblOrders[[#This Row],[ProductID]],tblProducts[ProductID],tblProducts[Supplier],"not found")</f>
        <v>Hernandez and Sons</v>
      </c>
      <c r="L1720" s="1" t="s">
        <v>2092</v>
      </c>
      <c r="M17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45434</v>
      </c>
      <c r="N1720">
        <v>7</v>
      </c>
      <c r="O1720">
        <v>528.42999999999995</v>
      </c>
      <c r="P1720">
        <f>tblOrders[[#This Row],[Quantity]]*tblOrders[[#This Row],[Unit Price]]</f>
        <v>528.42999999999995</v>
      </c>
      <c r="Q1720">
        <f>tblOrders[[#This Row],[TotalSales]]-tblOrders[[#This Row],[Calculated Sales]]</f>
        <v>0</v>
      </c>
    </row>
    <row r="1721" spans="1:17" x14ac:dyDescent="0.25">
      <c r="A1721">
        <v>1687</v>
      </c>
      <c r="B1721">
        <v>430</v>
      </c>
      <c r="C1721" t="str">
        <f>_xlfn.XLOOKUP(tblOrders[[#This Row],[CustomerID]],tblCustomers[CustomerID],tblCustomers[CustomerName],"not found")</f>
        <v>Emily Frazier</v>
      </c>
      <c r="D1721">
        <f>_xlfn.XLOOKUP(tblOrders[[#This Row],[CustomerID]],tblCustomers[CustomerID],tblCustomers[Age],"not found")</f>
        <v>51</v>
      </c>
      <c r="E1721" t="str">
        <f>_xlfn.XLOOKUP(tblOrders[[#This Row],[CustomerID]],tblCustomers[CustomerID],tblCustomers[Gender],"not found")</f>
        <v>Male</v>
      </c>
      <c r="F1721" t="str">
        <f>_xlfn.XLOOKUP(tblOrders[[#This Row],[CustomerID]],tblCustomers[CustomerID],tblCustomers[Region],"not found")</f>
        <v>North</v>
      </c>
      <c r="G1721">
        <v>1045</v>
      </c>
      <c r="H1721" t="str">
        <f>_xlfn.XLOOKUP(tblOrders[[#This Row],[ProductID]],tblProducts[ProductID],tblProducts[ProductName],"not found")</f>
        <v>Have</v>
      </c>
      <c r="I1721" t="str">
        <f>_xlfn.XLOOKUP(tblOrders[[#This Row],[ProductID]],tblProducts[ProductID],tblProducts[Category],"not found")</f>
        <v>Apparel</v>
      </c>
      <c r="J1721">
        <f>_xlfn.XLOOKUP(tblOrders[[#This Row],[ProductID]],tblProducts[ProductID],tblProducts[UnitPrice],"not found")</f>
        <v>75.489999999999995</v>
      </c>
      <c r="K1721" t="str">
        <f>_xlfn.XLOOKUP(tblOrders[[#This Row],[ProductID]],tblProducts[ProductID],tblProducts[Supplier],"not found")</f>
        <v>Hernandez and Sons</v>
      </c>
      <c r="L1721" s="1">
        <v>45147</v>
      </c>
      <c r="M17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45147</v>
      </c>
      <c r="N1721">
        <v>2</v>
      </c>
      <c r="O1721">
        <v>150.97999999999999</v>
      </c>
      <c r="P1721">
        <f>tblOrders[[#This Row],[Quantity]]*tblOrders[[#This Row],[Unit Price]]</f>
        <v>150.97999999999999</v>
      </c>
      <c r="Q1721">
        <f>tblOrders[[#This Row],[TotalSales]]-tblOrders[[#This Row],[Calculated Sales]]</f>
        <v>0</v>
      </c>
    </row>
    <row r="1722" spans="1:17" x14ac:dyDescent="0.25">
      <c r="A1722">
        <v>1708</v>
      </c>
      <c r="B1722">
        <v>666</v>
      </c>
      <c r="C1722" t="str">
        <f>_xlfn.XLOOKUP(tblOrders[[#This Row],[CustomerID]],tblCustomers[CustomerID],tblCustomers[CustomerName],"not found")</f>
        <v>Haley Hudson</v>
      </c>
      <c r="D1722">
        <f>_xlfn.XLOOKUP(tblOrders[[#This Row],[CustomerID]],tblCustomers[CustomerID],tblCustomers[Age],"not found")</f>
        <v>54</v>
      </c>
      <c r="E1722" t="str">
        <f>_xlfn.XLOOKUP(tblOrders[[#This Row],[CustomerID]],tblCustomers[CustomerID],tblCustomers[Gender],"not found")</f>
        <v>Female</v>
      </c>
      <c r="F1722" t="str">
        <f>_xlfn.XLOOKUP(tblOrders[[#This Row],[CustomerID]],tblCustomers[CustomerID],tblCustomers[Region],"not found")</f>
        <v>North</v>
      </c>
      <c r="G1722">
        <v>1045</v>
      </c>
      <c r="H1722" t="str">
        <f>_xlfn.XLOOKUP(tblOrders[[#This Row],[ProductID]],tblProducts[ProductID],tblProducts[ProductName],"not found")</f>
        <v>Have</v>
      </c>
      <c r="I1722" t="str">
        <f>_xlfn.XLOOKUP(tblOrders[[#This Row],[ProductID]],tblProducts[ProductID],tblProducts[Category],"not found")</f>
        <v>Apparel</v>
      </c>
      <c r="J1722">
        <f>_xlfn.XLOOKUP(tblOrders[[#This Row],[ProductID]],tblProducts[ProductID],tblProducts[UnitPrice],"not found")</f>
        <v>75.489999999999995</v>
      </c>
      <c r="K1722" t="str">
        <f>_xlfn.XLOOKUP(tblOrders[[#This Row],[ProductID]],tblProducts[ProductID],tblProducts[Supplier],"not found")</f>
        <v>Hernandez and Sons</v>
      </c>
      <c r="L1722" s="1" t="s">
        <v>2082</v>
      </c>
      <c r="M17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45377</v>
      </c>
      <c r="N1722">
        <v>5</v>
      </c>
      <c r="O1722">
        <v>377.45</v>
      </c>
      <c r="P1722">
        <f>tblOrders[[#This Row],[Quantity]]*tblOrders[[#This Row],[Unit Price]]</f>
        <v>377.45</v>
      </c>
      <c r="Q1722">
        <f>tblOrders[[#This Row],[TotalSales]]-tblOrders[[#This Row],[Calculated Sales]]</f>
        <v>0</v>
      </c>
    </row>
    <row r="1723" spans="1:17" x14ac:dyDescent="0.25">
      <c r="A1723">
        <v>1855</v>
      </c>
      <c r="B1723">
        <v>119</v>
      </c>
      <c r="C1723" t="str">
        <f>_xlfn.XLOOKUP(tblOrders[[#This Row],[CustomerID]],tblCustomers[CustomerID],tblCustomers[CustomerName],"not found")</f>
        <v>Adam Valencia</v>
      </c>
      <c r="D1723">
        <f>_xlfn.XLOOKUP(tblOrders[[#This Row],[CustomerID]],tblCustomers[CustomerID],tblCustomers[Age],"not found")</f>
        <v>42</v>
      </c>
      <c r="E1723" t="str">
        <f>_xlfn.XLOOKUP(tblOrders[[#This Row],[CustomerID]],tblCustomers[CustomerID],tblCustomers[Gender],"not found")</f>
        <v>Male</v>
      </c>
      <c r="F1723" t="str">
        <f>_xlfn.XLOOKUP(tblOrders[[#This Row],[CustomerID]],tblCustomers[CustomerID],tblCustomers[Region],"not found")</f>
        <v>North</v>
      </c>
      <c r="G1723">
        <v>1045</v>
      </c>
      <c r="H1723" t="str">
        <f>_xlfn.XLOOKUP(tblOrders[[#This Row],[ProductID]],tblProducts[ProductID],tblProducts[ProductName],"not found")</f>
        <v>Have</v>
      </c>
      <c r="I1723" t="str">
        <f>_xlfn.XLOOKUP(tblOrders[[#This Row],[ProductID]],tblProducts[ProductID],tblProducts[Category],"not found")</f>
        <v>Apparel</v>
      </c>
      <c r="J1723">
        <f>_xlfn.XLOOKUP(tblOrders[[#This Row],[ProductID]],tblProducts[ProductID],tblProducts[UnitPrice],"not found")</f>
        <v>75.489999999999995</v>
      </c>
      <c r="K1723" t="str">
        <f>_xlfn.XLOOKUP(tblOrders[[#This Row],[ProductID]],tblProducts[ProductID],tblProducts[Supplier],"not found")</f>
        <v>Hernandez and Sons</v>
      </c>
      <c r="L1723" s="1" t="s">
        <v>2264</v>
      </c>
      <c r="M17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45527</v>
      </c>
      <c r="N1723">
        <v>4</v>
      </c>
      <c r="O1723">
        <v>301.95999999999998</v>
      </c>
      <c r="P1723">
        <f>tblOrders[[#This Row],[Quantity]]*tblOrders[[#This Row],[Unit Price]]</f>
        <v>301.95999999999998</v>
      </c>
      <c r="Q1723">
        <f>tblOrders[[#This Row],[TotalSales]]-tblOrders[[#This Row],[Calculated Sales]]</f>
        <v>0</v>
      </c>
    </row>
    <row r="1724" spans="1:17" x14ac:dyDescent="0.25">
      <c r="A1724">
        <v>1865</v>
      </c>
      <c r="B1724">
        <v>921</v>
      </c>
      <c r="C1724" t="str">
        <f>_xlfn.XLOOKUP(tblOrders[[#This Row],[CustomerID]],tblCustomers[CustomerID],tblCustomers[CustomerName],"not found")</f>
        <v>Dennis Stone</v>
      </c>
      <c r="D1724">
        <f>_xlfn.XLOOKUP(tblOrders[[#This Row],[CustomerID]],tblCustomers[CustomerID],tblCustomers[Age],"not found")</f>
        <v>48</v>
      </c>
      <c r="E1724" t="str">
        <f>_xlfn.XLOOKUP(tblOrders[[#This Row],[CustomerID]],tblCustomers[CustomerID],tblCustomers[Gender],"not found")</f>
        <v>Male</v>
      </c>
      <c r="F1724" t="str">
        <f>_xlfn.XLOOKUP(tblOrders[[#This Row],[CustomerID]],tblCustomers[CustomerID],tblCustomers[Region],"not found")</f>
        <v>East</v>
      </c>
      <c r="G1724">
        <v>1045</v>
      </c>
      <c r="H1724" t="str">
        <f>_xlfn.XLOOKUP(tblOrders[[#This Row],[ProductID]],tblProducts[ProductID],tblProducts[ProductName],"not found")</f>
        <v>Have</v>
      </c>
      <c r="I1724" t="str">
        <f>_xlfn.XLOOKUP(tblOrders[[#This Row],[ProductID]],tblProducts[ProductID],tblProducts[Category],"not found")</f>
        <v>Apparel</v>
      </c>
      <c r="J1724">
        <f>_xlfn.XLOOKUP(tblOrders[[#This Row],[ProductID]],tblProducts[ProductID],tblProducts[UnitPrice],"not found")</f>
        <v>75.489999999999995</v>
      </c>
      <c r="K1724" t="str">
        <f>_xlfn.XLOOKUP(tblOrders[[#This Row],[ProductID]],tblProducts[ProductID],tblProducts[Supplier],"not found")</f>
        <v>Hernandez and Sons</v>
      </c>
      <c r="L1724" s="1" t="s">
        <v>2218</v>
      </c>
      <c r="M17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45098</v>
      </c>
      <c r="N1724">
        <v>2</v>
      </c>
      <c r="O1724">
        <v>150.97999999999999</v>
      </c>
      <c r="P1724">
        <f>tblOrders[[#This Row],[Quantity]]*tblOrders[[#This Row],[Unit Price]]</f>
        <v>150.97999999999999</v>
      </c>
      <c r="Q1724">
        <f>tblOrders[[#This Row],[TotalSales]]-tblOrders[[#This Row],[Calculated Sales]]</f>
        <v>0</v>
      </c>
    </row>
    <row r="1725" spans="1:17" x14ac:dyDescent="0.25">
      <c r="A1725">
        <v>1896</v>
      </c>
      <c r="B1725">
        <v>620</v>
      </c>
      <c r="C1725" t="str">
        <f>_xlfn.XLOOKUP(tblOrders[[#This Row],[CustomerID]],tblCustomers[CustomerID],tblCustomers[CustomerName],"not found")</f>
        <v>Mark Watkins</v>
      </c>
      <c r="D1725">
        <f>_xlfn.XLOOKUP(tblOrders[[#This Row],[CustomerID]],tblCustomers[CustomerID],tblCustomers[Age],"not found")</f>
        <v>28</v>
      </c>
      <c r="E1725" t="str">
        <f>_xlfn.XLOOKUP(tblOrders[[#This Row],[CustomerID]],tblCustomers[CustomerID],tblCustomers[Gender],"not found")</f>
        <v>Male</v>
      </c>
      <c r="F1725" t="str">
        <f>_xlfn.XLOOKUP(tblOrders[[#This Row],[CustomerID]],tblCustomers[CustomerID],tblCustomers[Region],"not found")</f>
        <v>West</v>
      </c>
      <c r="G1725">
        <v>1045</v>
      </c>
      <c r="H1725" t="str">
        <f>_xlfn.XLOOKUP(tblOrders[[#This Row],[ProductID]],tblProducts[ProductID],tblProducts[ProductName],"not found")</f>
        <v>Have</v>
      </c>
      <c r="I1725" t="str">
        <f>_xlfn.XLOOKUP(tblOrders[[#This Row],[ProductID]],tblProducts[ProductID],tblProducts[Category],"not found")</f>
        <v>Apparel</v>
      </c>
      <c r="J1725">
        <f>_xlfn.XLOOKUP(tblOrders[[#This Row],[ProductID]],tblProducts[ProductID],tblProducts[UnitPrice],"not found")</f>
        <v>75.489999999999995</v>
      </c>
      <c r="K1725" t="str">
        <f>_xlfn.XLOOKUP(tblOrders[[#This Row],[ProductID]],tblProducts[ProductID],tblProducts[Supplier],"not found")</f>
        <v>Hernandez and Sons</v>
      </c>
      <c r="L1725" s="1">
        <v>45178</v>
      </c>
      <c r="M17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45178</v>
      </c>
      <c r="N1725">
        <v>6</v>
      </c>
      <c r="O1725">
        <v>452.94</v>
      </c>
      <c r="P1725">
        <f>tblOrders[[#This Row],[Quantity]]*tblOrders[[#This Row],[Unit Price]]</f>
        <v>452.93999999999994</v>
      </c>
      <c r="Q1725">
        <f>tblOrders[[#This Row],[TotalSales]]-tblOrders[[#This Row],[Calculated Sales]]</f>
        <v>0</v>
      </c>
    </row>
    <row r="1726" spans="1:17" x14ac:dyDescent="0.25">
      <c r="A1726">
        <v>168</v>
      </c>
      <c r="B1726">
        <v>116</v>
      </c>
      <c r="C1726" t="str">
        <f>_xlfn.XLOOKUP(tblOrders[[#This Row],[CustomerID]],tblCustomers[CustomerID],tblCustomers[CustomerName],"not found")</f>
        <v>Samantha Hood</v>
      </c>
      <c r="D1726">
        <f>_xlfn.XLOOKUP(tblOrders[[#This Row],[CustomerID]],tblCustomers[CustomerID],tblCustomers[Age],"not found")</f>
        <v>66</v>
      </c>
      <c r="E1726" t="str">
        <f>_xlfn.XLOOKUP(tblOrders[[#This Row],[CustomerID]],tblCustomers[CustomerID],tblCustomers[Gender],"not found")</f>
        <v>Female</v>
      </c>
      <c r="F1726" t="str">
        <f>_xlfn.XLOOKUP(tblOrders[[#This Row],[CustomerID]],tblCustomers[CustomerID],tblCustomers[Region],"not found")</f>
        <v>East</v>
      </c>
      <c r="G1726">
        <v>1038</v>
      </c>
      <c r="H1726" t="str">
        <f>_xlfn.XLOOKUP(tblOrders[[#This Row],[ProductID]],tblProducts[ProductID],tblProducts[ProductName],"not found")</f>
        <v>Important</v>
      </c>
      <c r="I1726" t="str">
        <f>_xlfn.XLOOKUP(tblOrders[[#This Row],[ProductID]],tblProducts[ProductID],tblProducts[Category],"not found")</f>
        <v>Apparel</v>
      </c>
      <c r="J1726">
        <f>_xlfn.XLOOKUP(tblOrders[[#This Row],[ProductID]],tblProducts[ProductID],tblProducts[UnitPrice],"not found")</f>
        <v>410.2</v>
      </c>
      <c r="K1726" t="str">
        <f>_xlfn.XLOOKUP(tblOrders[[#This Row],[ProductID]],tblProducts[ProductID],tblProducts[Supplier],"not found")</f>
        <v>Anderson LLC</v>
      </c>
      <c r="L1726" s="1">
        <v>45296</v>
      </c>
      <c r="M17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45296</v>
      </c>
      <c r="N1726">
        <v>9</v>
      </c>
      <c r="O1726">
        <v>3691.8</v>
      </c>
      <c r="P1726">
        <f>tblOrders[[#This Row],[Quantity]]*tblOrders[[#This Row],[Unit Price]]</f>
        <v>3691.7999999999997</v>
      </c>
      <c r="Q1726">
        <f>tblOrders[[#This Row],[TotalSales]]-tblOrders[[#This Row],[Calculated Sales]]</f>
        <v>0</v>
      </c>
    </row>
    <row r="1727" spans="1:17" x14ac:dyDescent="0.25">
      <c r="A1727">
        <v>229</v>
      </c>
      <c r="B1727">
        <v>7</v>
      </c>
      <c r="C1727" t="str">
        <f>_xlfn.XLOOKUP(tblOrders[[#This Row],[CustomerID]],tblCustomers[CustomerID],tblCustomers[CustomerName],"not found")</f>
        <v>Brad Harrison</v>
      </c>
      <c r="D1727">
        <f>_xlfn.XLOOKUP(tblOrders[[#This Row],[CustomerID]],tblCustomers[CustomerID],tblCustomers[Age],"not found")</f>
        <v>24</v>
      </c>
      <c r="E1727" t="str">
        <f>_xlfn.XLOOKUP(tblOrders[[#This Row],[CustomerID]],tblCustomers[CustomerID],tblCustomers[Gender],"not found")</f>
        <v>Female</v>
      </c>
      <c r="F1727" t="str">
        <f>_xlfn.XLOOKUP(tblOrders[[#This Row],[CustomerID]],tblCustomers[CustomerID],tblCustomers[Region],"not found")</f>
        <v>South</v>
      </c>
      <c r="G1727">
        <v>1038</v>
      </c>
      <c r="H1727" t="str">
        <f>_xlfn.XLOOKUP(tblOrders[[#This Row],[ProductID]],tblProducts[ProductID],tblProducts[ProductName],"not found")</f>
        <v>Important</v>
      </c>
      <c r="I1727" t="str">
        <f>_xlfn.XLOOKUP(tblOrders[[#This Row],[ProductID]],tblProducts[ProductID],tblProducts[Category],"not found")</f>
        <v>Apparel</v>
      </c>
      <c r="J1727">
        <f>_xlfn.XLOOKUP(tblOrders[[#This Row],[ProductID]],tblProducts[ProductID],tblProducts[UnitPrice],"not found")</f>
        <v>410.2</v>
      </c>
      <c r="K1727" t="str">
        <f>_xlfn.XLOOKUP(tblOrders[[#This Row],[ProductID]],tblProducts[ProductID],tblProducts[Supplier],"not found")</f>
        <v>Anderson LLC</v>
      </c>
      <c r="L1727" s="1">
        <v>44938</v>
      </c>
      <c r="M17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44938</v>
      </c>
      <c r="N1727">
        <v>9</v>
      </c>
      <c r="O1727">
        <v>3691.8</v>
      </c>
      <c r="P1727">
        <f>tblOrders[[#This Row],[Quantity]]*tblOrders[[#This Row],[Unit Price]]</f>
        <v>3691.7999999999997</v>
      </c>
      <c r="Q1727">
        <f>tblOrders[[#This Row],[TotalSales]]-tblOrders[[#This Row],[Calculated Sales]]</f>
        <v>0</v>
      </c>
    </row>
    <row r="1728" spans="1:17" x14ac:dyDescent="0.25">
      <c r="A1728">
        <v>355</v>
      </c>
      <c r="B1728">
        <v>736</v>
      </c>
      <c r="C1728" t="str">
        <f>_xlfn.XLOOKUP(tblOrders[[#This Row],[CustomerID]],tblCustomers[CustomerID],tblCustomers[CustomerName],"not found")</f>
        <v>Adam Black</v>
      </c>
      <c r="D1728">
        <f>_xlfn.XLOOKUP(tblOrders[[#This Row],[CustomerID]],tblCustomers[CustomerID],tblCustomers[Age],"not found")</f>
        <v>56</v>
      </c>
      <c r="E1728" t="str">
        <f>_xlfn.XLOOKUP(tblOrders[[#This Row],[CustomerID]],tblCustomers[CustomerID],tblCustomers[Gender],"not found")</f>
        <v>Male</v>
      </c>
      <c r="F1728" t="str">
        <f>_xlfn.XLOOKUP(tblOrders[[#This Row],[CustomerID]],tblCustomers[CustomerID],tblCustomers[Region],"not found")</f>
        <v>West</v>
      </c>
      <c r="G1728">
        <v>1038</v>
      </c>
      <c r="H1728" t="str">
        <f>_xlfn.XLOOKUP(tblOrders[[#This Row],[ProductID]],tblProducts[ProductID],tblProducts[ProductName],"not found")</f>
        <v>Important</v>
      </c>
      <c r="I1728" t="str">
        <f>_xlfn.XLOOKUP(tblOrders[[#This Row],[ProductID]],tblProducts[ProductID],tblProducts[Category],"not found")</f>
        <v>Apparel</v>
      </c>
      <c r="J1728">
        <f>_xlfn.XLOOKUP(tblOrders[[#This Row],[ProductID]],tblProducts[ProductID],tblProducts[UnitPrice],"not found")</f>
        <v>410.2</v>
      </c>
      <c r="K1728" t="str">
        <f>_xlfn.XLOOKUP(tblOrders[[#This Row],[ProductID]],tblProducts[ProductID],tblProducts[Supplier],"not found")</f>
        <v>Anderson LLC</v>
      </c>
      <c r="L1728" s="1" t="s">
        <v>2410</v>
      </c>
      <c r="M17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45365</v>
      </c>
      <c r="N1728">
        <v>5</v>
      </c>
      <c r="O1728">
        <v>2051</v>
      </c>
      <c r="P1728">
        <f>tblOrders[[#This Row],[Quantity]]*tblOrders[[#This Row],[Unit Price]]</f>
        <v>2051</v>
      </c>
      <c r="Q1728">
        <f>tblOrders[[#This Row],[TotalSales]]-tblOrders[[#This Row],[Calculated Sales]]</f>
        <v>0</v>
      </c>
    </row>
    <row r="1729" spans="1:17" x14ac:dyDescent="0.25">
      <c r="A1729">
        <v>397</v>
      </c>
      <c r="B1729">
        <v>532</v>
      </c>
      <c r="C1729" t="str">
        <f>_xlfn.XLOOKUP(tblOrders[[#This Row],[CustomerID]],tblCustomers[CustomerID],tblCustomers[CustomerName],"not found")</f>
        <v>Samuel Delacruz</v>
      </c>
      <c r="D1729">
        <f>_xlfn.XLOOKUP(tblOrders[[#This Row],[CustomerID]],tblCustomers[CustomerID],tblCustomers[Age],"not found")</f>
        <v>47</v>
      </c>
      <c r="E1729" t="str">
        <f>_xlfn.XLOOKUP(tblOrders[[#This Row],[CustomerID]],tblCustomers[CustomerID],tblCustomers[Gender],"not found")</f>
        <v>Female</v>
      </c>
      <c r="F1729" t="str">
        <f>_xlfn.XLOOKUP(tblOrders[[#This Row],[CustomerID]],tblCustomers[CustomerID],tblCustomers[Region],"not found")</f>
        <v>West</v>
      </c>
      <c r="G1729">
        <v>1038</v>
      </c>
      <c r="H1729" t="str">
        <f>_xlfn.XLOOKUP(tblOrders[[#This Row],[ProductID]],tblProducts[ProductID],tblProducts[ProductName],"not found")</f>
        <v>Important</v>
      </c>
      <c r="I1729" t="str">
        <f>_xlfn.XLOOKUP(tblOrders[[#This Row],[ProductID]],tblProducts[ProductID],tblProducts[Category],"not found")</f>
        <v>Apparel</v>
      </c>
      <c r="J1729">
        <f>_xlfn.XLOOKUP(tblOrders[[#This Row],[ProductID]],tblProducts[ProductID],tblProducts[UnitPrice],"not found")</f>
        <v>410.2</v>
      </c>
      <c r="K1729" t="str">
        <f>_xlfn.XLOOKUP(tblOrders[[#This Row],[ProductID]],tblProducts[ProductID],tblProducts[Supplier],"not found")</f>
        <v>Anderson LLC</v>
      </c>
      <c r="L1729" s="1" t="s">
        <v>2357</v>
      </c>
      <c r="M17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45375</v>
      </c>
      <c r="N1729">
        <v>8</v>
      </c>
      <c r="O1729">
        <v>3281.6</v>
      </c>
      <c r="P1729">
        <f>tblOrders[[#This Row],[Quantity]]*tblOrders[[#This Row],[Unit Price]]</f>
        <v>3281.6</v>
      </c>
      <c r="Q1729">
        <f>tblOrders[[#This Row],[TotalSales]]-tblOrders[[#This Row],[Calculated Sales]]</f>
        <v>0</v>
      </c>
    </row>
    <row r="1730" spans="1:17" x14ac:dyDescent="0.25">
      <c r="A1730">
        <v>468</v>
      </c>
      <c r="B1730">
        <v>90</v>
      </c>
      <c r="C1730" t="str">
        <f>_xlfn.XLOOKUP(tblOrders[[#This Row],[CustomerID]],tblCustomers[CustomerID],tblCustomers[CustomerName],"not found")</f>
        <v>Karen Luna</v>
      </c>
      <c r="D1730">
        <f>_xlfn.XLOOKUP(tblOrders[[#This Row],[CustomerID]],tblCustomers[CustomerID],tblCustomers[Age],"not found")</f>
        <v>35</v>
      </c>
      <c r="E1730" t="str">
        <f>_xlfn.XLOOKUP(tblOrders[[#This Row],[CustomerID]],tblCustomers[CustomerID],tblCustomers[Gender],"not found")</f>
        <v>Male</v>
      </c>
      <c r="F1730" t="str">
        <f>_xlfn.XLOOKUP(tblOrders[[#This Row],[CustomerID]],tblCustomers[CustomerID],tblCustomers[Region],"not found")</f>
        <v>West</v>
      </c>
      <c r="G1730">
        <v>1038</v>
      </c>
      <c r="H1730" t="str">
        <f>_xlfn.XLOOKUP(tblOrders[[#This Row],[ProductID]],tblProducts[ProductID],tblProducts[ProductName],"not found")</f>
        <v>Important</v>
      </c>
      <c r="I1730" t="str">
        <f>_xlfn.XLOOKUP(tblOrders[[#This Row],[ProductID]],tblProducts[ProductID],tblProducts[Category],"not found")</f>
        <v>Apparel</v>
      </c>
      <c r="J1730">
        <f>_xlfn.XLOOKUP(tblOrders[[#This Row],[ProductID]],tblProducts[ProductID],tblProducts[UnitPrice],"not found")</f>
        <v>410.2</v>
      </c>
      <c r="K1730" t="str">
        <f>_xlfn.XLOOKUP(tblOrders[[#This Row],[ProductID]],tblProducts[ProductID],tblProducts[Supplier],"not found")</f>
        <v>Anderson LLC</v>
      </c>
      <c r="L1730" s="1">
        <v>45017</v>
      </c>
      <c r="M17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45017</v>
      </c>
      <c r="N1730">
        <v>8</v>
      </c>
      <c r="O1730">
        <v>3281.6</v>
      </c>
      <c r="P1730">
        <f>tblOrders[[#This Row],[Quantity]]*tblOrders[[#This Row],[Unit Price]]</f>
        <v>3281.6</v>
      </c>
      <c r="Q1730">
        <f>tblOrders[[#This Row],[TotalSales]]-tblOrders[[#This Row],[Calculated Sales]]</f>
        <v>0</v>
      </c>
    </row>
    <row r="1731" spans="1:17" x14ac:dyDescent="0.25">
      <c r="A1731">
        <v>523</v>
      </c>
      <c r="B1731">
        <v>374</v>
      </c>
      <c r="C1731" t="str">
        <f>_xlfn.XLOOKUP(tblOrders[[#This Row],[CustomerID]],tblCustomers[CustomerID],tblCustomers[CustomerName],"not found")</f>
        <v>Jennifer Castro</v>
      </c>
      <c r="D1731">
        <f>_xlfn.XLOOKUP(tblOrders[[#This Row],[CustomerID]],tblCustomers[CustomerID],tblCustomers[Age],"not found")</f>
        <v>46</v>
      </c>
      <c r="E1731" t="str">
        <f>_xlfn.XLOOKUP(tblOrders[[#This Row],[CustomerID]],tblCustomers[CustomerID],tblCustomers[Gender],"not found")</f>
        <v>Female</v>
      </c>
      <c r="F1731" t="str">
        <f>_xlfn.XLOOKUP(tblOrders[[#This Row],[CustomerID]],tblCustomers[CustomerID],tblCustomers[Region],"not found")</f>
        <v>East</v>
      </c>
      <c r="G1731">
        <v>1038</v>
      </c>
      <c r="H1731" t="str">
        <f>_xlfn.XLOOKUP(tblOrders[[#This Row],[ProductID]],tblProducts[ProductID],tblProducts[ProductName],"not found")</f>
        <v>Important</v>
      </c>
      <c r="I1731" t="str">
        <f>_xlfn.XLOOKUP(tblOrders[[#This Row],[ProductID]],tblProducts[ProductID],tblProducts[Category],"not found")</f>
        <v>Apparel</v>
      </c>
      <c r="J1731">
        <f>_xlfn.XLOOKUP(tblOrders[[#This Row],[ProductID]],tblProducts[ProductID],tblProducts[UnitPrice],"not found")</f>
        <v>410.2</v>
      </c>
      <c r="K1731" t="str">
        <f>_xlfn.XLOOKUP(tblOrders[[#This Row],[ProductID]],tblProducts[ProductID],tblProducts[Supplier],"not found")</f>
        <v>Anderson LLC</v>
      </c>
      <c r="L1731" s="1" t="s">
        <v>2411</v>
      </c>
      <c r="M17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45427</v>
      </c>
      <c r="N1731">
        <v>4</v>
      </c>
      <c r="O1731">
        <v>1640.8</v>
      </c>
      <c r="P1731">
        <f>tblOrders[[#This Row],[Quantity]]*tblOrders[[#This Row],[Unit Price]]</f>
        <v>1640.8</v>
      </c>
      <c r="Q1731">
        <f>tblOrders[[#This Row],[TotalSales]]-tblOrders[[#This Row],[Calculated Sales]]</f>
        <v>0</v>
      </c>
    </row>
    <row r="1732" spans="1:17" x14ac:dyDescent="0.25">
      <c r="A1732">
        <v>572</v>
      </c>
      <c r="B1732">
        <v>643</v>
      </c>
      <c r="C1732" t="str">
        <f>_xlfn.XLOOKUP(tblOrders[[#This Row],[CustomerID]],tblCustomers[CustomerID],tblCustomers[CustomerName],"not found")</f>
        <v>Chelsea Rogers</v>
      </c>
      <c r="D1732">
        <f>_xlfn.XLOOKUP(tblOrders[[#This Row],[CustomerID]],tblCustomers[CustomerID],tblCustomers[Age],"not found")</f>
        <v>35</v>
      </c>
      <c r="E1732" t="str">
        <f>_xlfn.XLOOKUP(tblOrders[[#This Row],[CustomerID]],tblCustomers[CustomerID],tblCustomers[Gender],"not found")</f>
        <v>Female</v>
      </c>
      <c r="F1732" t="str">
        <f>_xlfn.XLOOKUP(tblOrders[[#This Row],[CustomerID]],tblCustomers[CustomerID],tblCustomers[Region],"not found")</f>
        <v>South</v>
      </c>
      <c r="G1732">
        <v>1038</v>
      </c>
      <c r="H1732" t="str">
        <f>_xlfn.XLOOKUP(tblOrders[[#This Row],[ProductID]],tblProducts[ProductID],tblProducts[ProductName],"not found")</f>
        <v>Important</v>
      </c>
      <c r="I1732" t="str">
        <f>_xlfn.XLOOKUP(tblOrders[[#This Row],[ProductID]],tblProducts[ProductID],tblProducts[Category],"not found")</f>
        <v>Apparel</v>
      </c>
      <c r="J1732">
        <f>_xlfn.XLOOKUP(tblOrders[[#This Row],[ProductID]],tblProducts[ProductID],tblProducts[UnitPrice],"not found")</f>
        <v>410.2</v>
      </c>
      <c r="K1732" t="str">
        <f>_xlfn.XLOOKUP(tblOrders[[#This Row],[ProductID]],tblProducts[ProductID],tblProducts[Supplier],"not found")</f>
        <v>Anderson LLC</v>
      </c>
      <c r="L1732" s="1" t="s">
        <v>2311</v>
      </c>
      <c r="M17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45033</v>
      </c>
      <c r="N1732">
        <v>8</v>
      </c>
      <c r="O1732">
        <v>3281.6</v>
      </c>
      <c r="P1732">
        <f>tblOrders[[#This Row],[Quantity]]*tblOrders[[#This Row],[Unit Price]]</f>
        <v>3281.6</v>
      </c>
      <c r="Q1732">
        <f>tblOrders[[#This Row],[TotalSales]]-tblOrders[[#This Row],[Calculated Sales]]</f>
        <v>0</v>
      </c>
    </row>
    <row r="1733" spans="1:17" x14ac:dyDescent="0.25">
      <c r="A1733">
        <v>834</v>
      </c>
      <c r="B1733">
        <v>412</v>
      </c>
      <c r="C1733" t="str">
        <f>_xlfn.XLOOKUP(tblOrders[[#This Row],[CustomerID]],tblCustomers[CustomerID],tblCustomers[CustomerName],"not found")</f>
        <v>Nicholas Estrada</v>
      </c>
      <c r="D1733">
        <f>_xlfn.XLOOKUP(tblOrders[[#This Row],[CustomerID]],tblCustomers[CustomerID],tblCustomers[Age],"not found")</f>
        <v>30</v>
      </c>
      <c r="E1733" t="str">
        <f>_xlfn.XLOOKUP(tblOrders[[#This Row],[CustomerID]],tblCustomers[CustomerID],tblCustomers[Gender],"not found")</f>
        <v>Female</v>
      </c>
      <c r="F1733" t="str">
        <f>_xlfn.XLOOKUP(tblOrders[[#This Row],[CustomerID]],tblCustomers[CustomerID],tblCustomers[Region],"not found")</f>
        <v>South</v>
      </c>
      <c r="G1733">
        <v>1038</v>
      </c>
      <c r="H1733" t="str">
        <f>_xlfn.XLOOKUP(tblOrders[[#This Row],[ProductID]],tblProducts[ProductID],tblProducts[ProductName],"not found")</f>
        <v>Important</v>
      </c>
      <c r="I1733" t="str">
        <f>_xlfn.XLOOKUP(tblOrders[[#This Row],[ProductID]],tblProducts[ProductID],tblProducts[Category],"not found")</f>
        <v>Apparel</v>
      </c>
      <c r="J1733">
        <f>_xlfn.XLOOKUP(tblOrders[[#This Row],[ProductID]],tblProducts[ProductID],tblProducts[UnitPrice],"not found")</f>
        <v>410.2</v>
      </c>
      <c r="K1733" t="str">
        <f>_xlfn.XLOOKUP(tblOrders[[#This Row],[ProductID]],tblProducts[ProductID],tblProducts[Supplier],"not found")</f>
        <v>Anderson LLC</v>
      </c>
      <c r="L1733" s="1" t="s">
        <v>2181</v>
      </c>
      <c r="M17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45399</v>
      </c>
      <c r="N1733">
        <v>9</v>
      </c>
      <c r="O1733">
        <v>3691.8</v>
      </c>
      <c r="P1733">
        <f>tblOrders[[#This Row],[Quantity]]*tblOrders[[#This Row],[Unit Price]]</f>
        <v>3691.7999999999997</v>
      </c>
      <c r="Q1733">
        <f>tblOrders[[#This Row],[TotalSales]]-tblOrders[[#This Row],[Calculated Sales]]</f>
        <v>0</v>
      </c>
    </row>
    <row r="1734" spans="1:17" x14ac:dyDescent="0.25">
      <c r="A1734">
        <v>1009</v>
      </c>
      <c r="B1734">
        <v>827</v>
      </c>
      <c r="C1734" t="str">
        <f>_xlfn.XLOOKUP(tblOrders[[#This Row],[CustomerID]],tblCustomers[CustomerID],tblCustomers[CustomerName],"not found")</f>
        <v>Daniel Lewis</v>
      </c>
      <c r="D1734">
        <f>_xlfn.XLOOKUP(tblOrders[[#This Row],[CustomerID]],tblCustomers[CustomerID],tblCustomers[Age],"not found")</f>
        <v>19</v>
      </c>
      <c r="E1734" t="str">
        <f>_xlfn.XLOOKUP(tblOrders[[#This Row],[CustomerID]],tblCustomers[CustomerID],tblCustomers[Gender],"not found")</f>
        <v>Male</v>
      </c>
      <c r="F1734" t="str">
        <f>_xlfn.XLOOKUP(tblOrders[[#This Row],[CustomerID]],tblCustomers[CustomerID],tblCustomers[Region],"not found")</f>
        <v>South</v>
      </c>
      <c r="G1734">
        <v>1038</v>
      </c>
      <c r="H1734" t="str">
        <f>_xlfn.XLOOKUP(tblOrders[[#This Row],[ProductID]],tblProducts[ProductID],tblProducts[ProductName],"not found")</f>
        <v>Important</v>
      </c>
      <c r="I1734" t="str">
        <f>_xlfn.XLOOKUP(tblOrders[[#This Row],[ProductID]],tblProducts[ProductID],tblProducts[Category],"not found")</f>
        <v>Apparel</v>
      </c>
      <c r="J1734">
        <f>_xlfn.XLOOKUP(tblOrders[[#This Row],[ProductID]],tblProducts[ProductID],tblProducts[UnitPrice],"not found")</f>
        <v>410.2</v>
      </c>
      <c r="K1734" t="str">
        <f>_xlfn.XLOOKUP(tblOrders[[#This Row],[ProductID]],tblProducts[ProductID],tblProducts[Supplier],"not found")</f>
        <v>Anderson LLC</v>
      </c>
      <c r="L1734" s="1" t="s">
        <v>2359</v>
      </c>
      <c r="M17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44983</v>
      </c>
      <c r="N1734">
        <v>9</v>
      </c>
      <c r="O1734">
        <v>3691.8</v>
      </c>
      <c r="P1734">
        <f>tblOrders[[#This Row],[Quantity]]*tblOrders[[#This Row],[Unit Price]]</f>
        <v>3691.7999999999997</v>
      </c>
      <c r="Q1734">
        <f>tblOrders[[#This Row],[TotalSales]]-tblOrders[[#This Row],[Calculated Sales]]</f>
        <v>0</v>
      </c>
    </row>
    <row r="1735" spans="1:17" x14ac:dyDescent="0.25">
      <c r="A1735">
        <v>1065</v>
      </c>
      <c r="B1735">
        <v>566</v>
      </c>
      <c r="C1735" t="str">
        <f>_xlfn.XLOOKUP(tblOrders[[#This Row],[CustomerID]],tblCustomers[CustomerID],tblCustomers[CustomerName],"not found")</f>
        <v>Angel Hicks</v>
      </c>
      <c r="D1735">
        <f>_xlfn.XLOOKUP(tblOrders[[#This Row],[CustomerID]],tblCustomers[CustomerID],tblCustomers[Age],"not found")</f>
        <v>20</v>
      </c>
      <c r="E1735" t="str">
        <f>_xlfn.XLOOKUP(tblOrders[[#This Row],[CustomerID]],tblCustomers[CustomerID],tblCustomers[Gender],"not found")</f>
        <v>Male</v>
      </c>
      <c r="F1735" t="str">
        <f>_xlfn.XLOOKUP(tblOrders[[#This Row],[CustomerID]],tblCustomers[CustomerID],tblCustomers[Region],"not found")</f>
        <v>Central</v>
      </c>
      <c r="G1735">
        <v>1038</v>
      </c>
      <c r="H1735" t="str">
        <f>_xlfn.XLOOKUP(tblOrders[[#This Row],[ProductID]],tblProducts[ProductID],tblProducts[ProductName],"not found")</f>
        <v>Important</v>
      </c>
      <c r="I1735" t="str">
        <f>_xlfn.XLOOKUP(tblOrders[[#This Row],[ProductID]],tblProducts[ProductID],tblProducts[Category],"not found")</f>
        <v>Apparel</v>
      </c>
      <c r="J1735">
        <f>_xlfn.XLOOKUP(tblOrders[[#This Row],[ProductID]],tblProducts[ProductID],tblProducts[UnitPrice],"not found")</f>
        <v>410.2</v>
      </c>
      <c r="K1735" t="str">
        <f>_xlfn.XLOOKUP(tblOrders[[#This Row],[ProductID]],tblProducts[ProductID],tblProducts[Supplier],"not found")</f>
        <v>Anderson LLC</v>
      </c>
      <c r="L1735" s="1">
        <v>45110</v>
      </c>
      <c r="M17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45110</v>
      </c>
      <c r="N1735">
        <v>1</v>
      </c>
      <c r="O1735">
        <v>410.2</v>
      </c>
      <c r="P1735">
        <f>tblOrders[[#This Row],[Quantity]]*tblOrders[[#This Row],[Unit Price]]</f>
        <v>410.2</v>
      </c>
      <c r="Q1735">
        <f>tblOrders[[#This Row],[TotalSales]]-tblOrders[[#This Row],[Calculated Sales]]</f>
        <v>0</v>
      </c>
    </row>
    <row r="1736" spans="1:17" x14ac:dyDescent="0.25">
      <c r="A1736">
        <v>1265</v>
      </c>
      <c r="B1736">
        <v>61</v>
      </c>
      <c r="C1736" t="str">
        <f>_xlfn.XLOOKUP(tblOrders[[#This Row],[CustomerID]],tblCustomers[CustomerID],tblCustomers[CustomerName],"not found")</f>
        <v>Connor Huang</v>
      </c>
      <c r="D1736">
        <f>_xlfn.XLOOKUP(tblOrders[[#This Row],[CustomerID]],tblCustomers[CustomerID],tblCustomers[Age],"not found")</f>
        <v>22</v>
      </c>
      <c r="E1736" t="str">
        <f>_xlfn.XLOOKUP(tblOrders[[#This Row],[CustomerID]],tblCustomers[CustomerID],tblCustomers[Gender],"not found")</f>
        <v>Male</v>
      </c>
      <c r="F1736" t="str">
        <f>_xlfn.XLOOKUP(tblOrders[[#This Row],[CustomerID]],tblCustomers[CustomerID],tblCustomers[Region],"not found")</f>
        <v>West</v>
      </c>
      <c r="G1736">
        <v>1038</v>
      </c>
      <c r="H1736" t="str">
        <f>_xlfn.XLOOKUP(tblOrders[[#This Row],[ProductID]],tblProducts[ProductID],tblProducts[ProductName],"not found")</f>
        <v>Important</v>
      </c>
      <c r="I1736" t="str">
        <f>_xlfn.XLOOKUP(tblOrders[[#This Row],[ProductID]],tblProducts[ProductID],tblProducts[Category],"not found")</f>
        <v>Apparel</v>
      </c>
      <c r="J1736">
        <f>_xlfn.XLOOKUP(tblOrders[[#This Row],[ProductID]],tblProducts[ProductID],tblProducts[UnitPrice],"not found")</f>
        <v>410.2</v>
      </c>
      <c r="K1736" t="str">
        <f>_xlfn.XLOOKUP(tblOrders[[#This Row],[ProductID]],tblProducts[ProductID],tblProducts[Supplier],"not found")</f>
        <v>Anderson LLC</v>
      </c>
      <c r="L1736" s="1">
        <v>45239</v>
      </c>
      <c r="M17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45239</v>
      </c>
      <c r="N1736">
        <v>4</v>
      </c>
      <c r="O1736">
        <v>1640.8</v>
      </c>
      <c r="P1736">
        <f>tblOrders[[#This Row],[Quantity]]*tblOrders[[#This Row],[Unit Price]]</f>
        <v>1640.8</v>
      </c>
      <c r="Q1736">
        <f>tblOrders[[#This Row],[TotalSales]]-tblOrders[[#This Row],[Calculated Sales]]</f>
        <v>0</v>
      </c>
    </row>
    <row r="1737" spans="1:17" x14ac:dyDescent="0.25">
      <c r="A1737">
        <v>1481</v>
      </c>
      <c r="B1737">
        <v>346</v>
      </c>
      <c r="C1737" t="str">
        <f>_xlfn.XLOOKUP(tblOrders[[#This Row],[CustomerID]],tblCustomers[CustomerID],tblCustomers[CustomerName],"not found")</f>
        <v>Austin Bell</v>
      </c>
      <c r="D1737">
        <f>_xlfn.XLOOKUP(tblOrders[[#This Row],[CustomerID]],tblCustomers[CustomerID],tblCustomers[Age],"not found")</f>
        <v>58</v>
      </c>
      <c r="E1737" t="str">
        <f>_xlfn.XLOOKUP(tblOrders[[#This Row],[CustomerID]],tblCustomers[CustomerID],tblCustomers[Gender],"not found")</f>
        <v>Female</v>
      </c>
      <c r="F1737" t="str">
        <f>_xlfn.XLOOKUP(tblOrders[[#This Row],[CustomerID]],tblCustomers[CustomerID],tblCustomers[Region],"not found")</f>
        <v>Central</v>
      </c>
      <c r="G1737">
        <v>1038</v>
      </c>
      <c r="H1737" t="str">
        <f>_xlfn.XLOOKUP(tblOrders[[#This Row],[ProductID]],tblProducts[ProductID],tblProducts[ProductName],"not found")</f>
        <v>Important</v>
      </c>
      <c r="I1737" t="str">
        <f>_xlfn.XLOOKUP(tblOrders[[#This Row],[ProductID]],tblProducts[ProductID],tblProducts[Category],"not found")</f>
        <v>Apparel</v>
      </c>
      <c r="J1737">
        <f>_xlfn.XLOOKUP(tblOrders[[#This Row],[ProductID]],tblProducts[ProductID],tblProducts[UnitPrice],"not found")</f>
        <v>410.2</v>
      </c>
      <c r="K1737" t="str">
        <f>_xlfn.XLOOKUP(tblOrders[[#This Row],[ProductID]],tblProducts[ProductID],tblProducts[Supplier],"not found")</f>
        <v>Anderson LLC</v>
      </c>
      <c r="L1737" s="1">
        <v>44966</v>
      </c>
      <c r="M17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44966</v>
      </c>
      <c r="N1737">
        <v>1</v>
      </c>
      <c r="O1737">
        <v>410.2</v>
      </c>
      <c r="P1737">
        <f>tblOrders[[#This Row],[Quantity]]*tblOrders[[#This Row],[Unit Price]]</f>
        <v>410.2</v>
      </c>
      <c r="Q1737">
        <f>tblOrders[[#This Row],[TotalSales]]-tblOrders[[#This Row],[Calculated Sales]]</f>
        <v>0</v>
      </c>
    </row>
    <row r="1738" spans="1:17" x14ac:dyDescent="0.25">
      <c r="A1738">
        <v>1495</v>
      </c>
      <c r="B1738">
        <v>691</v>
      </c>
      <c r="C1738" t="str">
        <f>_xlfn.XLOOKUP(tblOrders[[#This Row],[CustomerID]],tblCustomers[CustomerID],tblCustomers[CustomerName],"not found")</f>
        <v>Tim Stone</v>
      </c>
      <c r="D1738">
        <f>_xlfn.XLOOKUP(tblOrders[[#This Row],[CustomerID]],tblCustomers[CustomerID],tblCustomers[Age],"not found")</f>
        <v>67</v>
      </c>
      <c r="E1738" t="str">
        <f>_xlfn.XLOOKUP(tblOrders[[#This Row],[CustomerID]],tblCustomers[CustomerID],tblCustomers[Gender],"not found")</f>
        <v>Female</v>
      </c>
      <c r="F1738" t="str">
        <f>_xlfn.XLOOKUP(tblOrders[[#This Row],[CustomerID]],tblCustomers[CustomerID],tblCustomers[Region],"not found")</f>
        <v>North</v>
      </c>
      <c r="G1738">
        <v>1038</v>
      </c>
      <c r="H1738" t="str">
        <f>_xlfn.XLOOKUP(tblOrders[[#This Row],[ProductID]],tblProducts[ProductID],tblProducts[ProductName],"not found")</f>
        <v>Important</v>
      </c>
      <c r="I1738" t="str">
        <f>_xlfn.XLOOKUP(tblOrders[[#This Row],[ProductID]],tblProducts[ProductID],tblProducts[Category],"not found")</f>
        <v>Apparel</v>
      </c>
      <c r="J1738">
        <f>_xlfn.XLOOKUP(tblOrders[[#This Row],[ProductID]],tblProducts[ProductID],tblProducts[UnitPrice],"not found")</f>
        <v>410.2</v>
      </c>
      <c r="K1738" t="str">
        <f>_xlfn.XLOOKUP(tblOrders[[#This Row],[ProductID]],tblProducts[ProductID],tblProducts[Supplier],"not found")</f>
        <v>Anderson LLC</v>
      </c>
      <c r="L1738" s="1" t="s">
        <v>2081</v>
      </c>
      <c r="M17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45003</v>
      </c>
      <c r="N1738">
        <v>2</v>
      </c>
      <c r="O1738">
        <v>820.4</v>
      </c>
      <c r="P1738">
        <f>tblOrders[[#This Row],[Quantity]]*tblOrders[[#This Row],[Unit Price]]</f>
        <v>820.4</v>
      </c>
      <c r="Q1738">
        <f>tblOrders[[#This Row],[TotalSales]]-tblOrders[[#This Row],[Calculated Sales]]</f>
        <v>0</v>
      </c>
    </row>
    <row r="1739" spans="1:17" x14ac:dyDescent="0.25">
      <c r="A1739">
        <v>1753</v>
      </c>
      <c r="B1739">
        <v>664</v>
      </c>
      <c r="C1739" t="str">
        <f>_xlfn.XLOOKUP(tblOrders[[#This Row],[CustomerID]],tblCustomers[CustomerID],tblCustomers[CustomerName],"not found")</f>
        <v>Debra Beck</v>
      </c>
      <c r="D1739">
        <f>_xlfn.XLOOKUP(tblOrders[[#This Row],[CustomerID]],tblCustomers[CustomerID],tblCustomers[Age],"not found")</f>
        <v>58</v>
      </c>
      <c r="E1739" t="str">
        <f>_xlfn.XLOOKUP(tblOrders[[#This Row],[CustomerID]],tblCustomers[CustomerID],tblCustomers[Gender],"not found")</f>
        <v>Female</v>
      </c>
      <c r="F1739" t="str">
        <f>_xlfn.XLOOKUP(tblOrders[[#This Row],[CustomerID]],tblCustomers[CustomerID],tblCustomers[Region],"not found")</f>
        <v>Central</v>
      </c>
      <c r="G1739">
        <v>1038</v>
      </c>
      <c r="H1739" t="str">
        <f>_xlfn.XLOOKUP(tblOrders[[#This Row],[ProductID]],tblProducts[ProductID],tblProducts[ProductName],"not found")</f>
        <v>Important</v>
      </c>
      <c r="I1739" t="str">
        <f>_xlfn.XLOOKUP(tblOrders[[#This Row],[ProductID]],tblProducts[ProductID],tblProducts[Category],"not found")</f>
        <v>Apparel</v>
      </c>
      <c r="J1739">
        <f>_xlfn.XLOOKUP(tblOrders[[#This Row],[ProductID]],tblProducts[ProductID],tblProducts[UnitPrice],"not found")</f>
        <v>410.2</v>
      </c>
      <c r="K1739" t="str">
        <f>_xlfn.XLOOKUP(tblOrders[[#This Row],[ProductID]],tblProducts[ProductID],tblProducts[Supplier],"not found")</f>
        <v>Anderson LLC</v>
      </c>
      <c r="L1739" s="1" t="s">
        <v>2085</v>
      </c>
      <c r="M17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45530</v>
      </c>
      <c r="N1739">
        <v>9</v>
      </c>
      <c r="O1739">
        <v>3691.8</v>
      </c>
      <c r="P1739">
        <f>tblOrders[[#This Row],[Quantity]]*tblOrders[[#This Row],[Unit Price]]</f>
        <v>3691.7999999999997</v>
      </c>
      <c r="Q1739">
        <f>tblOrders[[#This Row],[TotalSales]]-tblOrders[[#This Row],[Calculated Sales]]</f>
        <v>0</v>
      </c>
    </row>
    <row r="1740" spans="1:17" x14ac:dyDescent="0.25">
      <c r="A1740">
        <v>1842</v>
      </c>
      <c r="B1740">
        <v>904</v>
      </c>
      <c r="C1740" t="str">
        <f>_xlfn.XLOOKUP(tblOrders[[#This Row],[CustomerID]],tblCustomers[CustomerID],tblCustomers[CustomerName],"not found")</f>
        <v>Hannah Costa</v>
      </c>
      <c r="D1740">
        <f>_xlfn.XLOOKUP(tblOrders[[#This Row],[CustomerID]],tblCustomers[CustomerID],tblCustomers[Age],"not found")</f>
        <v>55</v>
      </c>
      <c r="E1740" t="str">
        <f>_xlfn.XLOOKUP(tblOrders[[#This Row],[CustomerID]],tblCustomers[CustomerID],tblCustomers[Gender],"not found")</f>
        <v>Female</v>
      </c>
      <c r="F1740" t="str">
        <f>_xlfn.XLOOKUP(tblOrders[[#This Row],[CustomerID]],tblCustomers[CustomerID],tblCustomers[Region],"not found")</f>
        <v>North</v>
      </c>
      <c r="G1740">
        <v>1038</v>
      </c>
      <c r="H1740" t="str">
        <f>_xlfn.XLOOKUP(tblOrders[[#This Row],[ProductID]],tblProducts[ProductID],tblProducts[ProductName],"not found")</f>
        <v>Important</v>
      </c>
      <c r="I1740" t="str">
        <f>_xlfn.XLOOKUP(tblOrders[[#This Row],[ProductID]],tblProducts[ProductID],tblProducts[Category],"not found")</f>
        <v>Apparel</v>
      </c>
      <c r="J1740">
        <f>_xlfn.XLOOKUP(tblOrders[[#This Row],[ProductID]],tblProducts[ProductID],tblProducts[UnitPrice],"not found")</f>
        <v>410.2</v>
      </c>
      <c r="K1740" t="str">
        <f>_xlfn.XLOOKUP(tblOrders[[#This Row],[ProductID]],tblProducts[ProductID],tblProducts[Supplier],"not found")</f>
        <v>Anderson LLC</v>
      </c>
      <c r="L1740" s="1" t="s">
        <v>2074</v>
      </c>
      <c r="M17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45367</v>
      </c>
      <c r="N1740">
        <v>6</v>
      </c>
      <c r="O1740">
        <v>2461.1999999999998</v>
      </c>
      <c r="P1740">
        <f>tblOrders[[#This Row],[Quantity]]*tblOrders[[#This Row],[Unit Price]]</f>
        <v>2461.1999999999998</v>
      </c>
      <c r="Q1740">
        <f>tblOrders[[#This Row],[TotalSales]]-tblOrders[[#This Row],[Calculated Sales]]</f>
        <v>0</v>
      </c>
    </row>
    <row r="1741" spans="1:17" x14ac:dyDescent="0.25">
      <c r="A1741">
        <v>1879</v>
      </c>
      <c r="B1741">
        <v>878</v>
      </c>
      <c r="C1741" t="str">
        <f>_xlfn.XLOOKUP(tblOrders[[#This Row],[CustomerID]],tblCustomers[CustomerID],tblCustomers[CustomerName],"not found")</f>
        <v>Vanessa Chandler</v>
      </c>
      <c r="D1741">
        <f>_xlfn.XLOOKUP(tblOrders[[#This Row],[CustomerID]],tblCustomers[CustomerID],tblCustomers[Age],"not found")</f>
        <v>60</v>
      </c>
      <c r="E1741" t="str">
        <f>_xlfn.XLOOKUP(tblOrders[[#This Row],[CustomerID]],tblCustomers[CustomerID],tblCustomers[Gender],"not found")</f>
        <v>Male</v>
      </c>
      <c r="F1741" t="str">
        <f>_xlfn.XLOOKUP(tblOrders[[#This Row],[CustomerID]],tblCustomers[CustomerID],tblCustomers[Region],"not found")</f>
        <v>South</v>
      </c>
      <c r="G1741">
        <v>1038</v>
      </c>
      <c r="H1741" t="str">
        <f>_xlfn.XLOOKUP(tblOrders[[#This Row],[ProductID]],tblProducts[ProductID],tblProducts[ProductName],"not found")</f>
        <v>Important</v>
      </c>
      <c r="I1741" t="str">
        <f>_xlfn.XLOOKUP(tblOrders[[#This Row],[ProductID]],tblProducts[ProductID],tblProducts[Category],"not found")</f>
        <v>Apparel</v>
      </c>
      <c r="J1741">
        <f>_xlfn.XLOOKUP(tblOrders[[#This Row],[ProductID]],tblProducts[ProductID],tblProducts[UnitPrice],"not found")</f>
        <v>410.2</v>
      </c>
      <c r="K1741" t="str">
        <f>_xlfn.XLOOKUP(tblOrders[[#This Row],[ProductID]],tblProducts[ProductID],tblProducts[Supplier],"not found")</f>
        <v>Anderson LLC</v>
      </c>
      <c r="L1741" s="1" t="s">
        <v>2286</v>
      </c>
      <c r="M17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45104</v>
      </c>
      <c r="N1741">
        <v>9</v>
      </c>
      <c r="O1741">
        <v>3691.8</v>
      </c>
      <c r="P1741">
        <f>tblOrders[[#This Row],[Quantity]]*tblOrders[[#This Row],[Unit Price]]</f>
        <v>3691.7999999999997</v>
      </c>
      <c r="Q1741">
        <f>tblOrders[[#This Row],[TotalSales]]-tblOrders[[#This Row],[Calculated Sales]]</f>
        <v>0</v>
      </c>
    </row>
    <row r="1742" spans="1:17" x14ac:dyDescent="0.25">
      <c r="A1742">
        <v>1974</v>
      </c>
      <c r="B1742">
        <v>908</v>
      </c>
      <c r="C1742" t="str">
        <f>_xlfn.XLOOKUP(tblOrders[[#This Row],[CustomerID]],tblCustomers[CustomerID],tblCustomers[CustomerName],"not found")</f>
        <v>Jennifer Joseph MD</v>
      </c>
      <c r="D1742">
        <f>_xlfn.XLOOKUP(tblOrders[[#This Row],[CustomerID]],tblCustomers[CustomerID],tblCustomers[Age],"not found")</f>
        <v>32</v>
      </c>
      <c r="E1742" t="str">
        <f>_xlfn.XLOOKUP(tblOrders[[#This Row],[CustomerID]],tblCustomers[CustomerID],tblCustomers[Gender],"not found")</f>
        <v>Female</v>
      </c>
      <c r="F1742" t="str">
        <f>_xlfn.XLOOKUP(tblOrders[[#This Row],[CustomerID]],tblCustomers[CustomerID],tblCustomers[Region],"not found")</f>
        <v>West</v>
      </c>
      <c r="G1742">
        <v>1038</v>
      </c>
      <c r="H1742" t="str">
        <f>_xlfn.XLOOKUP(tblOrders[[#This Row],[ProductID]],tblProducts[ProductID],tblProducts[ProductName],"not found")</f>
        <v>Important</v>
      </c>
      <c r="I1742" t="str">
        <f>_xlfn.XLOOKUP(tblOrders[[#This Row],[ProductID]],tblProducts[ProductID],tblProducts[Category],"not found")</f>
        <v>Apparel</v>
      </c>
      <c r="J1742">
        <f>_xlfn.XLOOKUP(tblOrders[[#This Row],[ProductID]],tblProducts[ProductID],tblProducts[UnitPrice],"not found")</f>
        <v>410.2</v>
      </c>
      <c r="K1742" t="str">
        <f>_xlfn.XLOOKUP(tblOrders[[#This Row],[ProductID]],tblProducts[ProductID],tblProducts[Supplier],"not found")</f>
        <v>Anderson LLC</v>
      </c>
      <c r="L1742" s="1" t="s">
        <v>2133</v>
      </c>
      <c r="M17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44884</v>
      </c>
      <c r="N1742">
        <v>4</v>
      </c>
      <c r="O1742">
        <v>1640.8</v>
      </c>
      <c r="P1742">
        <f>tblOrders[[#This Row],[Quantity]]*tblOrders[[#This Row],[Unit Price]]</f>
        <v>1640.8</v>
      </c>
      <c r="Q1742">
        <f>tblOrders[[#This Row],[TotalSales]]-tblOrders[[#This Row],[Calculated Sales]]</f>
        <v>0</v>
      </c>
    </row>
    <row r="1743" spans="1:17" x14ac:dyDescent="0.25">
      <c r="A1743">
        <v>169</v>
      </c>
      <c r="B1743">
        <v>442</v>
      </c>
      <c r="C1743" t="str">
        <f>_xlfn.XLOOKUP(tblOrders[[#This Row],[CustomerID]],tblCustomers[CustomerID],tblCustomers[CustomerName],"not found")</f>
        <v>Jessica Garcia</v>
      </c>
      <c r="D1743">
        <f>_xlfn.XLOOKUP(tblOrders[[#This Row],[CustomerID]],tblCustomers[CustomerID],tblCustomers[Age],"not found")</f>
        <v>37</v>
      </c>
      <c r="E1743" t="str">
        <f>_xlfn.XLOOKUP(tblOrders[[#This Row],[CustomerID]],tblCustomers[CustomerID],tblCustomers[Gender],"not found")</f>
        <v>Female</v>
      </c>
      <c r="F1743" t="str">
        <f>_xlfn.XLOOKUP(tblOrders[[#This Row],[CustomerID]],tblCustomers[CustomerID],tblCustomers[Region],"not found")</f>
        <v>West</v>
      </c>
      <c r="G1743">
        <v>1031</v>
      </c>
      <c r="H1743" t="str">
        <f>_xlfn.XLOOKUP(tblOrders[[#This Row],[ProductID]],tblProducts[ProductID],tblProducts[ProductName],"not found")</f>
        <v>Move</v>
      </c>
      <c r="I1743" t="str">
        <f>_xlfn.XLOOKUP(tblOrders[[#This Row],[ProductID]],tblProducts[ProductID],tblProducts[Category],"not found")</f>
        <v>Apparel</v>
      </c>
      <c r="J1743">
        <f>_xlfn.XLOOKUP(tblOrders[[#This Row],[ProductID]],tblProducts[ProductID],tblProducts[UnitPrice],"not found")</f>
        <v>169.11</v>
      </c>
      <c r="K1743" t="str">
        <f>_xlfn.XLOOKUP(tblOrders[[#This Row],[ProductID]],tblProducts[ProductID],tblProducts[Supplier],"not found")</f>
        <v>Hurley-Brown</v>
      </c>
      <c r="L1743" s="1" t="s">
        <v>2225</v>
      </c>
      <c r="M17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45008</v>
      </c>
      <c r="N1743">
        <v>4</v>
      </c>
      <c r="O1743">
        <v>676.44</v>
      </c>
      <c r="P1743">
        <f>tblOrders[[#This Row],[Quantity]]*tblOrders[[#This Row],[Unit Price]]</f>
        <v>676.44</v>
      </c>
      <c r="Q1743">
        <f>tblOrders[[#This Row],[TotalSales]]-tblOrders[[#This Row],[Calculated Sales]]</f>
        <v>0</v>
      </c>
    </row>
    <row r="1744" spans="1:17" x14ac:dyDescent="0.25">
      <c r="A1744">
        <v>203</v>
      </c>
      <c r="B1744">
        <v>354</v>
      </c>
      <c r="C1744" t="str">
        <f>_xlfn.XLOOKUP(tblOrders[[#This Row],[CustomerID]],tblCustomers[CustomerID],tblCustomers[CustomerName],"not found")</f>
        <v>Christopher Ryan</v>
      </c>
      <c r="D1744">
        <f>_xlfn.XLOOKUP(tblOrders[[#This Row],[CustomerID]],tblCustomers[CustomerID],tblCustomers[Age],"not found")</f>
        <v>52</v>
      </c>
      <c r="E1744" t="str">
        <f>_xlfn.XLOOKUP(tblOrders[[#This Row],[CustomerID]],tblCustomers[CustomerID],tblCustomers[Gender],"not found")</f>
        <v>Female</v>
      </c>
      <c r="F1744" t="str">
        <f>_xlfn.XLOOKUP(tblOrders[[#This Row],[CustomerID]],tblCustomers[CustomerID],tblCustomers[Region],"not found")</f>
        <v>East</v>
      </c>
      <c r="G1744">
        <v>1031</v>
      </c>
      <c r="H1744" t="str">
        <f>_xlfn.XLOOKUP(tblOrders[[#This Row],[ProductID]],tblProducts[ProductID],tblProducts[ProductName],"not found")</f>
        <v>Move</v>
      </c>
      <c r="I1744" t="str">
        <f>_xlfn.XLOOKUP(tblOrders[[#This Row],[ProductID]],tblProducts[ProductID],tblProducts[Category],"not found")</f>
        <v>Apparel</v>
      </c>
      <c r="J1744">
        <f>_xlfn.XLOOKUP(tblOrders[[#This Row],[ProductID]],tblProducts[ProductID],tblProducts[UnitPrice],"not found")</f>
        <v>169.11</v>
      </c>
      <c r="K1744" t="str">
        <f>_xlfn.XLOOKUP(tblOrders[[#This Row],[ProductID]],tblProducts[ProductID],tblProducts[Supplier],"not found")</f>
        <v>Hurley-Brown</v>
      </c>
      <c r="L1744" s="1">
        <v>45354</v>
      </c>
      <c r="M17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45354</v>
      </c>
      <c r="N1744">
        <v>3</v>
      </c>
      <c r="O1744">
        <v>507.33</v>
      </c>
      <c r="P1744">
        <f>tblOrders[[#This Row],[Quantity]]*tblOrders[[#This Row],[Unit Price]]</f>
        <v>507.33000000000004</v>
      </c>
      <c r="Q1744">
        <f>tblOrders[[#This Row],[TotalSales]]-tblOrders[[#This Row],[Calculated Sales]]</f>
        <v>0</v>
      </c>
    </row>
    <row r="1745" spans="1:17" x14ac:dyDescent="0.25">
      <c r="A1745">
        <v>227</v>
      </c>
      <c r="B1745">
        <v>154</v>
      </c>
      <c r="C1745" t="str">
        <f>_xlfn.XLOOKUP(tblOrders[[#This Row],[CustomerID]],tblCustomers[CustomerID],tblCustomers[CustomerName],"not found")</f>
        <v>Dale Martin</v>
      </c>
      <c r="D1745">
        <f>_xlfn.XLOOKUP(tblOrders[[#This Row],[CustomerID]],tblCustomers[CustomerID],tblCustomers[Age],"not found")</f>
        <v>50</v>
      </c>
      <c r="E1745" t="str">
        <f>_xlfn.XLOOKUP(tblOrders[[#This Row],[CustomerID]],tblCustomers[CustomerID],tblCustomers[Gender],"not found")</f>
        <v>Male</v>
      </c>
      <c r="F1745" t="str">
        <f>_xlfn.XLOOKUP(tblOrders[[#This Row],[CustomerID]],tblCustomers[CustomerID],tblCustomers[Region],"not found")</f>
        <v>North</v>
      </c>
      <c r="G1745">
        <v>1031</v>
      </c>
      <c r="H1745" t="str">
        <f>_xlfn.XLOOKUP(tblOrders[[#This Row],[ProductID]],tblProducts[ProductID],tblProducts[ProductName],"not found")</f>
        <v>Move</v>
      </c>
      <c r="I1745" t="str">
        <f>_xlfn.XLOOKUP(tblOrders[[#This Row],[ProductID]],tblProducts[ProductID],tblProducts[Category],"not found")</f>
        <v>Apparel</v>
      </c>
      <c r="J1745">
        <f>_xlfn.XLOOKUP(tblOrders[[#This Row],[ProductID]],tblProducts[ProductID],tblProducts[UnitPrice],"not found")</f>
        <v>169.11</v>
      </c>
      <c r="K1745" t="str">
        <f>_xlfn.XLOOKUP(tblOrders[[#This Row],[ProductID]],tblProducts[ProductID],tblProducts[Supplier],"not found")</f>
        <v>Hurley-Brown</v>
      </c>
      <c r="L1745" s="1">
        <v>45538</v>
      </c>
      <c r="M17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45538</v>
      </c>
      <c r="N1745">
        <v>9</v>
      </c>
      <c r="O1745">
        <v>1521.99</v>
      </c>
      <c r="P1745">
        <f>tblOrders[[#This Row],[Quantity]]*tblOrders[[#This Row],[Unit Price]]</f>
        <v>1521.9900000000002</v>
      </c>
      <c r="Q1745">
        <f>tblOrders[[#This Row],[TotalSales]]-tblOrders[[#This Row],[Calculated Sales]]</f>
        <v>0</v>
      </c>
    </row>
    <row r="1746" spans="1:17" x14ac:dyDescent="0.25">
      <c r="A1746">
        <v>326</v>
      </c>
      <c r="B1746">
        <v>187</v>
      </c>
      <c r="C1746" t="str">
        <f>_xlfn.XLOOKUP(tblOrders[[#This Row],[CustomerID]],tblCustomers[CustomerID],tblCustomers[CustomerName],"not found")</f>
        <v>Justin Pace</v>
      </c>
      <c r="D1746">
        <f>_xlfn.XLOOKUP(tblOrders[[#This Row],[CustomerID]],tblCustomers[CustomerID],tblCustomers[Age],"not found")</f>
        <v>39</v>
      </c>
      <c r="E1746" t="str">
        <f>_xlfn.XLOOKUP(tblOrders[[#This Row],[CustomerID]],tblCustomers[CustomerID],tblCustomers[Gender],"not found")</f>
        <v>Female</v>
      </c>
      <c r="F1746" t="str">
        <f>_xlfn.XLOOKUP(tblOrders[[#This Row],[CustomerID]],tblCustomers[CustomerID],tblCustomers[Region],"not found")</f>
        <v>Central</v>
      </c>
      <c r="G1746">
        <v>1031</v>
      </c>
      <c r="H1746" t="str">
        <f>_xlfn.XLOOKUP(tblOrders[[#This Row],[ProductID]],tblProducts[ProductID],tblProducts[ProductName],"not found")</f>
        <v>Move</v>
      </c>
      <c r="I1746" t="str">
        <f>_xlfn.XLOOKUP(tblOrders[[#This Row],[ProductID]],tblProducts[ProductID],tblProducts[Category],"not found")</f>
        <v>Apparel</v>
      </c>
      <c r="J1746">
        <f>_xlfn.XLOOKUP(tblOrders[[#This Row],[ProductID]],tblProducts[ProductID],tblProducts[UnitPrice],"not found")</f>
        <v>169.11</v>
      </c>
      <c r="K1746" t="str">
        <f>_xlfn.XLOOKUP(tblOrders[[#This Row],[ProductID]],tblProducts[ProductID],tblProducts[Supplier],"not found")</f>
        <v>Hurley-Brown</v>
      </c>
      <c r="L1746" s="1">
        <v>45049</v>
      </c>
      <c r="M17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45049</v>
      </c>
      <c r="N1746">
        <v>4</v>
      </c>
      <c r="O1746">
        <v>676.44</v>
      </c>
      <c r="P1746">
        <f>tblOrders[[#This Row],[Quantity]]*tblOrders[[#This Row],[Unit Price]]</f>
        <v>676.44</v>
      </c>
      <c r="Q1746">
        <f>tblOrders[[#This Row],[TotalSales]]-tblOrders[[#This Row],[Calculated Sales]]</f>
        <v>0</v>
      </c>
    </row>
    <row r="1747" spans="1:17" x14ac:dyDescent="0.25">
      <c r="A1747">
        <v>518</v>
      </c>
      <c r="B1747">
        <v>886</v>
      </c>
      <c r="C1747" t="str">
        <f>_xlfn.XLOOKUP(tblOrders[[#This Row],[CustomerID]],tblCustomers[CustomerID],tblCustomers[CustomerName],"not found")</f>
        <v>Todd Dickerson</v>
      </c>
      <c r="D1747">
        <f>_xlfn.XLOOKUP(tblOrders[[#This Row],[CustomerID]],tblCustomers[CustomerID],tblCustomers[Age],"not found")</f>
        <v>20</v>
      </c>
      <c r="E1747" t="str">
        <f>_xlfn.XLOOKUP(tblOrders[[#This Row],[CustomerID]],tblCustomers[CustomerID],tblCustomers[Gender],"not found")</f>
        <v>Male</v>
      </c>
      <c r="F1747" t="str">
        <f>_xlfn.XLOOKUP(tblOrders[[#This Row],[CustomerID]],tblCustomers[CustomerID],tblCustomers[Region],"not found")</f>
        <v>North</v>
      </c>
      <c r="G1747">
        <v>1031</v>
      </c>
      <c r="H1747" t="str">
        <f>_xlfn.XLOOKUP(tblOrders[[#This Row],[ProductID]],tblProducts[ProductID],tblProducts[ProductName],"not found")</f>
        <v>Move</v>
      </c>
      <c r="I1747" t="str">
        <f>_xlfn.XLOOKUP(tblOrders[[#This Row],[ProductID]],tblProducts[ProductID],tblProducts[Category],"not found")</f>
        <v>Apparel</v>
      </c>
      <c r="J1747">
        <f>_xlfn.XLOOKUP(tblOrders[[#This Row],[ProductID]],tblProducts[ProductID],tblProducts[UnitPrice],"not found")</f>
        <v>169.11</v>
      </c>
      <c r="K1747" t="str">
        <f>_xlfn.XLOOKUP(tblOrders[[#This Row],[ProductID]],tblProducts[ProductID],tblProducts[Supplier],"not found")</f>
        <v>Hurley-Brown</v>
      </c>
      <c r="L1747" s="1">
        <v>45209</v>
      </c>
      <c r="M17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45209</v>
      </c>
      <c r="N1747">
        <v>6</v>
      </c>
      <c r="O1747">
        <v>1014.66</v>
      </c>
      <c r="P1747">
        <f>tblOrders[[#This Row],[Quantity]]*tblOrders[[#This Row],[Unit Price]]</f>
        <v>1014.6600000000001</v>
      </c>
      <c r="Q1747">
        <f>tblOrders[[#This Row],[TotalSales]]-tblOrders[[#This Row],[Calculated Sales]]</f>
        <v>0</v>
      </c>
    </row>
    <row r="1748" spans="1:17" x14ac:dyDescent="0.25">
      <c r="A1748">
        <v>703</v>
      </c>
      <c r="B1748">
        <v>217</v>
      </c>
      <c r="C1748" t="str">
        <f>_xlfn.XLOOKUP(tblOrders[[#This Row],[CustomerID]],tblCustomers[CustomerID],tblCustomers[CustomerName],"not found")</f>
        <v>Sarah Erickson</v>
      </c>
      <c r="D1748">
        <f>_xlfn.XLOOKUP(tblOrders[[#This Row],[CustomerID]],tblCustomers[CustomerID],tblCustomers[Age],"not found")</f>
        <v>39</v>
      </c>
      <c r="E1748" t="str">
        <f>_xlfn.XLOOKUP(tblOrders[[#This Row],[CustomerID]],tblCustomers[CustomerID],tblCustomers[Gender],"not found")</f>
        <v>Female</v>
      </c>
      <c r="F1748" t="str">
        <f>_xlfn.XLOOKUP(tblOrders[[#This Row],[CustomerID]],tblCustomers[CustomerID],tblCustomers[Region],"not found")</f>
        <v>West</v>
      </c>
      <c r="G1748">
        <v>1031</v>
      </c>
      <c r="H1748" t="str">
        <f>_xlfn.XLOOKUP(tblOrders[[#This Row],[ProductID]],tblProducts[ProductID],tblProducts[ProductName],"not found")</f>
        <v>Move</v>
      </c>
      <c r="I1748" t="str">
        <f>_xlfn.XLOOKUP(tblOrders[[#This Row],[ProductID]],tblProducts[ProductID],tblProducts[Category],"not found")</f>
        <v>Apparel</v>
      </c>
      <c r="J1748">
        <f>_xlfn.XLOOKUP(tblOrders[[#This Row],[ProductID]],tblProducts[ProductID],tblProducts[UnitPrice],"not found")</f>
        <v>169.11</v>
      </c>
      <c r="K1748" t="str">
        <f>_xlfn.XLOOKUP(tblOrders[[#This Row],[ProductID]],tblProducts[ProductID],tblProducts[Supplier],"not found")</f>
        <v>Hurley-Brown</v>
      </c>
      <c r="L1748" s="1" t="s">
        <v>2380</v>
      </c>
      <c r="M17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45458</v>
      </c>
      <c r="N1748">
        <v>4</v>
      </c>
      <c r="O1748">
        <v>676.44</v>
      </c>
      <c r="P1748">
        <f>tblOrders[[#This Row],[Quantity]]*tblOrders[[#This Row],[Unit Price]]</f>
        <v>676.44</v>
      </c>
      <c r="Q1748">
        <f>tblOrders[[#This Row],[TotalSales]]-tblOrders[[#This Row],[Calculated Sales]]</f>
        <v>0</v>
      </c>
    </row>
    <row r="1749" spans="1:17" x14ac:dyDescent="0.25">
      <c r="A1749">
        <v>837</v>
      </c>
      <c r="B1749">
        <v>352</v>
      </c>
      <c r="C1749" t="str">
        <f>_xlfn.XLOOKUP(tblOrders[[#This Row],[CustomerID]],tblCustomers[CustomerID],tblCustomers[CustomerName],"not found")</f>
        <v>Tony Vargas</v>
      </c>
      <c r="D1749">
        <f>_xlfn.XLOOKUP(tblOrders[[#This Row],[CustomerID]],tblCustomers[CustomerID],tblCustomers[Age],"not found")</f>
        <v>52</v>
      </c>
      <c r="E1749" t="str">
        <f>_xlfn.XLOOKUP(tblOrders[[#This Row],[CustomerID]],tblCustomers[CustomerID],tblCustomers[Gender],"not found")</f>
        <v>Female</v>
      </c>
      <c r="F1749" t="str">
        <f>_xlfn.XLOOKUP(tblOrders[[#This Row],[CustomerID]],tblCustomers[CustomerID],tblCustomers[Region],"not found")</f>
        <v>East</v>
      </c>
      <c r="G1749">
        <v>1031</v>
      </c>
      <c r="H1749" t="str">
        <f>_xlfn.XLOOKUP(tblOrders[[#This Row],[ProductID]],tblProducts[ProductID],tblProducts[ProductName],"not found")</f>
        <v>Move</v>
      </c>
      <c r="I1749" t="str">
        <f>_xlfn.XLOOKUP(tblOrders[[#This Row],[ProductID]],tblProducts[ProductID],tblProducts[Category],"not found")</f>
        <v>Apparel</v>
      </c>
      <c r="J1749">
        <f>_xlfn.XLOOKUP(tblOrders[[#This Row],[ProductID]],tblProducts[ProductID],tblProducts[UnitPrice],"not found")</f>
        <v>169.11</v>
      </c>
      <c r="K1749" t="str">
        <f>_xlfn.XLOOKUP(tblOrders[[#This Row],[ProductID]],tblProducts[ProductID],tblProducts[Supplier],"not found")</f>
        <v>Hurley-Brown</v>
      </c>
      <c r="L1749" s="1" t="s">
        <v>2365</v>
      </c>
      <c r="M17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44918</v>
      </c>
      <c r="N1749">
        <v>9</v>
      </c>
      <c r="O1749">
        <v>1521.99</v>
      </c>
      <c r="P1749">
        <f>tblOrders[[#This Row],[Quantity]]*tblOrders[[#This Row],[Unit Price]]</f>
        <v>1521.9900000000002</v>
      </c>
      <c r="Q1749">
        <f>tblOrders[[#This Row],[TotalSales]]-tblOrders[[#This Row],[Calculated Sales]]</f>
        <v>0</v>
      </c>
    </row>
    <row r="1750" spans="1:17" x14ac:dyDescent="0.25">
      <c r="A1750">
        <v>914</v>
      </c>
      <c r="B1750">
        <v>558</v>
      </c>
      <c r="C1750" t="str">
        <f>_xlfn.XLOOKUP(tblOrders[[#This Row],[CustomerID]],tblCustomers[CustomerID],tblCustomers[CustomerName],"not found")</f>
        <v>Ryan Gray</v>
      </c>
      <c r="D1750">
        <f>_xlfn.XLOOKUP(tblOrders[[#This Row],[CustomerID]],tblCustomers[CustomerID],tblCustomers[Age],"not found")</f>
        <v>52</v>
      </c>
      <c r="E1750" t="str">
        <f>_xlfn.XLOOKUP(tblOrders[[#This Row],[CustomerID]],tblCustomers[CustomerID],tblCustomers[Gender],"not found")</f>
        <v>Male</v>
      </c>
      <c r="F1750" t="str">
        <f>_xlfn.XLOOKUP(tblOrders[[#This Row],[CustomerID]],tblCustomers[CustomerID],tblCustomers[Region],"not found")</f>
        <v>North</v>
      </c>
      <c r="G1750">
        <v>1031</v>
      </c>
      <c r="H1750" t="str">
        <f>_xlfn.XLOOKUP(tblOrders[[#This Row],[ProductID]],tblProducts[ProductID],tblProducts[ProductName],"not found")</f>
        <v>Move</v>
      </c>
      <c r="I1750" t="str">
        <f>_xlfn.XLOOKUP(tblOrders[[#This Row],[ProductID]],tblProducts[ProductID],tblProducts[Category],"not found")</f>
        <v>Apparel</v>
      </c>
      <c r="J1750">
        <f>_xlfn.XLOOKUP(tblOrders[[#This Row],[ProductID]],tblProducts[ProductID],tblProducts[UnitPrice],"not found")</f>
        <v>169.11</v>
      </c>
      <c r="K1750" t="str">
        <f>_xlfn.XLOOKUP(tblOrders[[#This Row],[ProductID]],tblProducts[ProductID],tblProducts[Supplier],"not found")</f>
        <v>Hurley-Brown</v>
      </c>
      <c r="L1750" s="1">
        <v>45328</v>
      </c>
      <c r="M17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45328</v>
      </c>
      <c r="N1750">
        <v>4</v>
      </c>
      <c r="O1750">
        <v>676.44</v>
      </c>
      <c r="P1750">
        <f>tblOrders[[#This Row],[Quantity]]*tblOrders[[#This Row],[Unit Price]]</f>
        <v>676.44</v>
      </c>
      <c r="Q1750">
        <f>tblOrders[[#This Row],[TotalSales]]-tblOrders[[#This Row],[Calculated Sales]]</f>
        <v>0</v>
      </c>
    </row>
    <row r="1751" spans="1:17" x14ac:dyDescent="0.25">
      <c r="A1751">
        <v>1397</v>
      </c>
      <c r="B1751">
        <v>79</v>
      </c>
      <c r="C1751" t="str">
        <f>_xlfn.XLOOKUP(tblOrders[[#This Row],[CustomerID]],tblCustomers[CustomerID],tblCustomers[CustomerName],"not found")</f>
        <v>Karen Myers</v>
      </c>
      <c r="D1751">
        <f>_xlfn.XLOOKUP(tblOrders[[#This Row],[CustomerID]],tblCustomers[CustomerID],tblCustomers[Age],"not found")</f>
        <v>63</v>
      </c>
      <c r="E1751" t="str">
        <f>_xlfn.XLOOKUP(tblOrders[[#This Row],[CustomerID]],tblCustomers[CustomerID],tblCustomers[Gender],"not found")</f>
        <v>Male</v>
      </c>
      <c r="F1751" t="str">
        <f>_xlfn.XLOOKUP(tblOrders[[#This Row],[CustomerID]],tblCustomers[CustomerID],tblCustomers[Region],"not found")</f>
        <v>Central</v>
      </c>
      <c r="G1751">
        <v>1031</v>
      </c>
      <c r="H1751" t="str">
        <f>_xlfn.XLOOKUP(tblOrders[[#This Row],[ProductID]],tblProducts[ProductID],tblProducts[ProductName],"not found")</f>
        <v>Move</v>
      </c>
      <c r="I1751" t="str">
        <f>_xlfn.XLOOKUP(tblOrders[[#This Row],[ProductID]],tblProducts[ProductID],tblProducts[Category],"not found")</f>
        <v>Apparel</v>
      </c>
      <c r="J1751">
        <f>_xlfn.XLOOKUP(tblOrders[[#This Row],[ProductID]],tblProducts[ProductID],tblProducts[UnitPrice],"not found")</f>
        <v>169.11</v>
      </c>
      <c r="K1751" t="str">
        <f>_xlfn.XLOOKUP(tblOrders[[#This Row],[ProductID]],tblProducts[ProductID],tblProducts[Supplier],"not found")</f>
        <v>Hurley-Brown</v>
      </c>
      <c r="L1751" s="1">
        <v>45477</v>
      </c>
      <c r="M17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45477</v>
      </c>
      <c r="N1751">
        <v>6</v>
      </c>
      <c r="O1751">
        <v>1014.66</v>
      </c>
      <c r="P1751">
        <f>tblOrders[[#This Row],[Quantity]]*tblOrders[[#This Row],[Unit Price]]</f>
        <v>1014.6600000000001</v>
      </c>
      <c r="Q1751">
        <f>tblOrders[[#This Row],[TotalSales]]-tblOrders[[#This Row],[Calculated Sales]]</f>
        <v>0</v>
      </c>
    </row>
    <row r="1752" spans="1:17" x14ac:dyDescent="0.25">
      <c r="A1752">
        <v>1465</v>
      </c>
      <c r="B1752">
        <v>129</v>
      </c>
      <c r="C1752" t="str">
        <f>_xlfn.XLOOKUP(tblOrders[[#This Row],[CustomerID]],tblCustomers[CustomerID],tblCustomers[CustomerName],"not found")</f>
        <v>Calvin Garcia</v>
      </c>
      <c r="D1752">
        <f>_xlfn.XLOOKUP(tblOrders[[#This Row],[CustomerID]],tblCustomers[CustomerID],tblCustomers[Age],"not found")</f>
        <v>37</v>
      </c>
      <c r="E1752" t="str">
        <f>_xlfn.XLOOKUP(tblOrders[[#This Row],[CustomerID]],tblCustomers[CustomerID],tblCustomers[Gender],"not found")</f>
        <v>Female</v>
      </c>
      <c r="F1752" t="str">
        <f>_xlfn.XLOOKUP(tblOrders[[#This Row],[CustomerID]],tblCustomers[CustomerID],tblCustomers[Region],"not found")</f>
        <v>West</v>
      </c>
      <c r="G1752">
        <v>1031</v>
      </c>
      <c r="H1752" t="str">
        <f>_xlfn.XLOOKUP(tblOrders[[#This Row],[ProductID]],tblProducts[ProductID],tblProducts[ProductName],"not found")</f>
        <v>Move</v>
      </c>
      <c r="I1752" t="str">
        <f>_xlfn.XLOOKUP(tblOrders[[#This Row],[ProductID]],tblProducts[ProductID],tblProducts[Category],"not found")</f>
        <v>Apparel</v>
      </c>
      <c r="J1752">
        <f>_xlfn.XLOOKUP(tblOrders[[#This Row],[ProductID]],tblProducts[ProductID],tblProducts[UnitPrice],"not found")</f>
        <v>169.11</v>
      </c>
      <c r="K1752" t="str">
        <f>_xlfn.XLOOKUP(tblOrders[[#This Row],[ProductID]],tblProducts[ProductID],tblProducts[Supplier],"not found")</f>
        <v>Hurley-Brown</v>
      </c>
      <c r="L1752" s="1">
        <v>45571</v>
      </c>
      <c r="M17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45571</v>
      </c>
      <c r="N1752">
        <v>6</v>
      </c>
      <c r="O1752">
        <v>1014.66</v>
      </c>
      <c r="P1752">
        <f>tblOrders[[#This Row],[Quantity]]*tblOrders[[#This Row],[Unit Price]]</f>
        <v>1014.6600000000001</v>
      </c>
      <c r="Q1752">
        <f>tblOrders[[#This Row],[TotalSales]]-tblOrders[[#This Row],[Calculated Sales]]</f>
        <v>0</v>
      </c>
    </row>
    <row r="1753" spans="1:17" x14ac:dyDescent="0.25">
      <c r="A1753">
        <v>1470</v>
      </c>
      <c r="B1753">
        <v>577</v>
      </c>
      <c r="C1753" t="str">
        <f>_xlfn.XLOOKUP(tblOrders[[#This Row],[CustomerID]],tblCustomers[CustomerID],tblCustomers[CustomerName],"not found")</f>
        <v>Brian Marshall</v>
      </c>
      <c r="D1753">
        <f>_xlfn.XLOOKUP(tblOrders[[#This Row],[CustomerID]],tblCustomers[CustomerID],tblCustomers[Age],"not found")</f>
        <v>69</v>
      </c>
      <c r="E1753" t="str">
        <f>_xlfn.XLOOKUP(tblOrders[[#This Row],[CustomerID]],tblCustomers[CustomerID],tblCustomers[Gender],"not found")</f>
        <v>Female</v>
      </c>
      <c r="F1753" t="str">
        <f>_xlfn.XLOOKUP(tblOrders[[#This Row],[CustomerID]],tblCustomers[CustomerID],tblCustomers[Region],"not found")</f>
        <v>West</v>
      </c>
      <c r="G1753">
        <v>1031</v>
      </c>
      <c r="H1753" t="str">
        <f>_xlfn.XLOOKUP(tblOrders[[#This Row],[ProductID]],tblProducts[ProductID],tblProducts[ProductName],"not found")</f>
        <v>Move</v>
      </c>
      <c r="I1753" t="str">
        <f>_xlfn.XLOOKUP(tblOrders[[#This Row],[ProductID]],tblProducts[ProductID],tblProducts[Category],"not found")</f>
        <v>Apparel</v>
      </c>
      <c r="J1753">
        <f>_xlfn.XLOOKUP(tblOrders[[#This Row],[ProductID]],tblProducts[ProductID],tblProducts[UnitPrice],"not found")</f>
        <v>169.11</v>
      </c>
      <c r="K1753" t="str">
        <f>_xlfn.XLOOKUP(tblOrders[[#This Row],[ProductID]],tblProducts[ProductID],tblProducts[Supplier],"not found")</f>
        <v>Hurley-Brown</v>
      </c>
      <c r="L1753" s="1">
        <v>45298</v>
      </c>
      <c r="M17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45298</v>
      </c>
      <c r="N1753">
        <v>7</v>
      </c>
      <c r="O1753">
        <v>1183.77</v>
      </c>
      <c r="P1753">
        <f>tblOrders[[#This Row],[Quantity]]*tblOrders[[#This Row],[Unit Price]]</f>
        <v>1183.77</v>
      </c>
      <c r="Q1753">
        <f>tblOrders[[#This Row],[TotalSales]]-tblOrders[[#This Row],[Calculated Sales]]</f>
        <v>0</v>
      </c>
    </row>
    <row r="1754" spans="1:17" x14ac:dyDescent="0.25">
      <c r="A1754">
        <v>1506</v>
      </c>
      <c r="B1754">
        <v>746</v>
      </c>
      <c r="C1754" t="str">
        <f>_xlfn.XLOOKUP(tblOrders[[#This Row],[CustomerID]],tblCustomers[CustomerID],tblCustomers[CustomerName],"not found")</f>
        <v>Miss Katherine White</v>
      </c>
      <c r="D1754">
        <f>_xlfn.XLOOKUP(tblOrders[[#This Row],[CustomerID]],tblCustomers[CustomerID],tblCustomers[Age],"not found")</f>
        <v>45</v>
      </c>
      <c r="E1754" t="str">
        <f>_xlfn.XLOOKUP(tblOrders[[#This Row],[CustomerID]],tblCustomers[CustomerID],tblCustomers[Gender],"not found")</f>
        <v>Female</v>
      </c>
      <c r="F1754" t="str">
        <f>_xlfn.XLOOKUP(tblOrders[[#This Row],[CustomerID]],tblCustomers[CustomerID],tblCustomers[Region],"not found")</f>
        <v>Central</v>
      </c>
      <c r="G1754">
        <v>1031</v>
      </c>
      <c r="H1754" t="str">
        <f>_xlfn.XLOOKUP(tblOrders[[#This Row],[ProductID]],tblProducts[ProductID],tblProducts[ProductName],"not found")</f>
        <v>Move</v>
      </c>
      <c r="I1754" t="str">
        <f>_xlfn.XLOOKUP(tblOrders[[#This Row],[ProductID]],tblProducts[ProductID],tblProducts[Category],"not found")</f>
        <v>Apparel</v>
      </c>
      <c r="J1754">
        <f>_xlfn.XLOOKUP(tblOrders[[#This Row],[ProductID]],tblProducts[ProductID],tblProducts[UnitPrice],"not found")</f>
        <v>169.11</v>
      </c>
      <c r="K1754" t="str">
        <f>_xlfn.XLOOKUP(tblOrders[[#This Row],[ProductID]],tblProducts[ProductID],tblProducts[Supplier],"not found")</f>
        <v>Hurley-Brown</v>
      </c>
      <c r="L1754" s="1">
        <v>45239</v>
      </c>
      <c r="M17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45239</v>
      </c>
      <c r="N1754">
        <v>9</v>
      </c>
      <c r="O1754">
        <v>1521.99</v>
      </c>
      <c r="P1754">
        <f>tblOrders[[#This Row],[Quantity]]*tblOrders[[#This Row],[Unit Price]]</f>
        <v>1521.9900000000002</v>
      </c>
      <c r="Q1754">
        <f>tblOrders[[#This Row],[TotalSales]]-tblOrders[[#This Row],[Calculated Sales]]</f>
        <v>0</v>
      </c>
    </row>
    <row r="1755" spans="1:17" x14ac:dyDescent="0.25">
      <c r="A1755">
        <v>1539</v>
      </c>
      <c r="B1755">
        <v>568</v>
      </c>
      <c r="C1755" t="str">
        <f>_xlfn.XLOOKUP(tblOrders[[#This Row],[CustomerID]],tblCustomers[CustomerID],tblCustomers[CustomerName],"not found")</f>
        <v>Wayne Fernandez</v>
      </c>
      <c r="D1755">
        <f>_xlfn.XLOOKUP(tblOrders[[#This Row],[CustomerID]],tblCustomers[CustomerID],tblCustomers[Age],"not found")</f>
        <v>31</v>
      </c>
      <c r="E1755" t="str">
        <f>_xlfn.XLOOKUP(tblOrders[[#This Row],[CustomerID]],tblCustomers[CustomerID],tblCustomers[Gender],"not found")</f>
        <v>Male</v>
      </c>
      <c r="F1755" t="str">
        <f>_xlfn.XLOOKUP(tblOrders[[#This Row],[CustomerID]],tblCustomers[CustomerID],tblCustomers[Region],"not found")</f>
        <v>Central</v>
      </c>
      <c r="G1755">
        <v>1031</v>
      </c>
      <c r="H1755" t="str">
        <f>_xlfn.XLOOKUP(tblOrders[[#This Row],[ProductID]],tblProducts[ProductID],tblProducts[ProductName],"not found")</f>
        <v>Move</v>
      </c>
      <c r="I1755" t="str">
        <f>_xlfn.XLOOKUP(tblOrders[[#This Row],[ProductID]],tblProducts[ProductID],tblProducts[Category],"not found")</f>
        <v>Apparel</v>
      </c>
      <c r="J1755">
        <f>_xlfn.XLOOKUP(tblOrders[[#This Row],[ProductID]],tblProducts[ProductID],tblProducts[UnitPrice],"not found")</f>
        <v>169.11</v>
      </c>
      <c r="K1755" t="str">
        <f>_xlfn.XLOOKUP(tblOrders[[#This Row],[ProductID]],tblProducts[ProductID],tblProducts[Supplier],"not found")</f>
        <v>Hurley-Brown</v>
      </c>
      <c r="L1755" s="1">
        <v>45080</v>
      </c>
      <c r="M17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45080</v>
      </c>
      <c r="N1755">
        <v>3</v>
      </c>
      <c r="O1755">
        <v>507.33</v>
      </c>
      <c r="P1755">
        <f>tblOrders[[#This Row],[Quantity]]*tblOrders[[#This Row],[Unit Price]]</f>
        <v>507.33000000000004</v>
      </c>
      <c r="Q1755">
        <f>tblOrders[[#This Row],[TotalSales]]-tblOrders[[#This Row],[Calculated Sales]]</f>
        <v>0</v>
      </c>
    </row>
    <row r="1756" spans="1:17" x14ac:dyDescent="0.25">
      <c r="A1756">
        <v>1581</v>
      </c>
      <c r="B1756">
        <v>531</v>
      </c>
      <c r="C1756" t="str">
        <f>_xlfn.XLOOKUP(tblOrders[[#This Row],[CustomerID]],tblCustomers[CustomerID],tblCustomers[CustomerName],"not found")</f>
        <v>Joseph Lutz</v>
      </c>
      <c r="D1756">
        <f>_xlfn.XLOOKUP(tblOrders[[#This Row],[CustomerID]],tblCustomers[CustomerID],tblCustomers[Age],"not found")</f>
        <v>40</v>
      </c>
      <c r="E1756" t="str">
        <f>_xlfn.XLOOKUP(tblOrders[[#This Row],[CustomerID]],tblCustomers[CustomerID],tblCustomers[Gender],"not found")</f>
        <v>Female</v>
      </c>
      <c r="F1756" t="str">
        <f>_xlfn.XLOOKUP(tblOrders[[#This Row],[CustomerID]],tblCustomers[CustomerID],tblCustomers[Region],"not found")</f>
        <v>North</v>
      </c>
      <c r="G1756">
        <v>1031</v>
      </c>
      <c r="H1756" t="str">
        <f>_xlfn.XLOOKUP(tblOrders[[#This Row],[ProductID]],tblProducts[ProductID],tblProducts[ProductName],"not found")</f>
        <v>Move</v>
      </c>
      <c r="I1756" t="str">
        <f>_xlfn.XLOOKUP(tblOrders[[#This Row],[ProductID]],tblProducts[ProductID],tblProducts[Category],"not found")</f>
        <v>Apparel</v>
      </c>
      <c r="J1756">
        <f>_xlfn.XLOOKUP(tblOrders[[#This Row],[ProductID]],tblProducts[ProductID],tblProducts[UnitPrice],"not found")</f>
        <v>169.11</v>
      </c>
      <c r="K1756" t="str">
        <f>_xlfn.XLOOKUP(tblOrders[[#This Row],[ProductID]],tblProducts[ProductID],tblProducts[Supplier],"not found")</f>
        <v>Hurley-Brown</v>
      </c>
      <c r="L1756" s="1">
        <v>45085</v>
      </c>
      <c r="M17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45085</v>
      </c>
      <c r="N1756">
        <v>8</v>
      </c>
      <c r="O1756">
        <v>1352.88</v>
      </c>
      <c r="P1756">
        <f>tblOrders[[#This Row],[Quantity]]*tblOrders[[#This Row],[Unit Price]]</f>
        <v>1352.88</v>
      </c>
      <c r="Q1756">
        <f>tblOrders[[#This Row],[TotalSales]]-tblOrders[[#This Row],[Calculated Sales]]</f>
        <v>0</v>
      </c>
    </row>
    <row r="1757" spans="1:17" x14ac:dyDescent="0.25">
      <c r="A1757">
        <v>1622</v>
      </c>
      <c r="B1757">
        <v>57</v>
      </c>
      <c r="C1757" t="str">
        <f>_xlfn.XLOOKUP(tblOrders[[#This Row],[CustomerID]],tblCustomers[CustomerID],tblCustomers[CustomerName],"not found")</f>
        <v>Lisa Davis</v>
      </c>
      <c r="D1757">
        <f>_xlfn.XLOOKUP(tblOrders[[#This Row],[CustomerID]],tblCustomers[CustomerID],tblCustomers[Age],"not found")</f>
        <v>62</v>
      </c>
      <c r="E1757" t="str">
        <f>_xlfn.XLOOKUP(tblOrders[[#This Row],[CustomerID]],tblCustomers[CustomerID],tblCustomers[Gender],"not found")</f>
        <v>Female</v>
      </c>
      <c r="F1757" t="str">
        <f>_xlfn.XLOOKUP(tblOrders[[#This Row],[CustomerID]],tblCustomers[CustomerID],tblCustomers[Region],"not found")</f>
        <v>East</v>
      </c>
      <c r="G1757">
        <v>1031</v>
      </c>
      <c r="H1757" t="str">
        <f>_xlfn.XLOOKUP(tblOrders[[#This Row],[ProductID]],tblProducts[ProductID],tblProducts[ProductName],"not found")</f>
        <v>Move</v>
      </c>
      <c r="I1757" t="str">
        <f>_xlfn.XLOOKUP(tblOrders[[#This Row],[ProductID]],tblProducts[ProductID],tblProducts[Category],"not found")</f>
        <v>Apparel</v>
      </c>
      <c r="J1757">
        <f>_xlfn.XLOOKUP(tblOrders[[#This Row],[ProductID]],tblProducts[ProductID],tblProducts[UnitPrice],"not found")</f>
        <v>169.11</v>
      </c>
      <c r="K1757" t="str">
        <f>_xlfn.XLOOKUP(tblOrders[[#This Row],[ProductID]],tblProducts[ProductID],tblProducts[Supplier],"not found")</f>
        <v>Hurley-Brown</v>
      </c>
      <c r="L1757" s="1">
        <v>44937</v>
      </c>
      <c r="M17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1757">
        <v>6</v>
      </c>
      <c r="O1757">
        <v>1014.66</v>
      </c>
      <c r="P1757">
        <f>tblOrders[[#This Row],[Quantity]]*tblOrders[[#This Row],[Unit Price]]</f>
        <v>1014.6600000000001</v>
      </c>
      <c r="Q1757">
        <f>tblOrders[[#This Row],[TotalSales]]-tblOrders[[#This Row],[Calculated Sales]]</f>
        <v>0</v>
      </c>
    </row>
    <row r="1758" spans="1:17" x14ac:dyDescent="0.25">
      <c r="A1758">
        <v>1738</v>
      </c>
      <c r="B1758">
        <v>89</v>
      </c>
      <c r="C1758" t="str">
        <f>_xlfn.XLOOKUP(tblOrders[[#This Row],[CustomerID]],tblCustomers[CustomerID],tblCustomers[CustomerName],"not found")</f>
        <v>Timothy Fernandez</v>
      </c>
      <c r="D1758">
        <f>_xlfn.XLOOKUP(tblOrders[[#This Row],[CustomerID]],tblCustomers[CustomerID],tblCustomers[Age],"not found")</f>
        <v>57</v>
      </c>
      <c r="E1758" t="str">
        <f>_xlfn.XLOOKUP(tblOrders[[#This Row],[CustomerID]],tblCustomers[CustomerID],tblCustomers[Gender],"not found")</f>
        <v>Male</v>
      </c>
      <c r="F1758" t="str">
        <f>_xlfn.XLOOKUP(tblOrders[[#This Row],[CustomerID]],tblCustomers[CustomerID],tblCustomers[Region],"not found")</f>
        <v>West</v>
      </c>
      <c r="G1758">
        <v>1031</v>
      </c>
      <c r="H1758" t="str">
        <f>_xlfn.XLOOKUP(tblOrders[[#This Row],[ProductID]],tblProducts[ProductID],tblProducts[ProductName],"not found")</f>
        <v>Move</v>
      </c>
      <c r="I1758" t="str">
        <f>_xlfn.XLOOKUP(tblOrders[[#This Row],[ProductID]],tblProducts[ProductID],tblProducts[Category],"not found")</f>
        <v>Apparel</v>
      </c>
      <c r="J1758">
        <f>_xlfn.XLOOKUP(tblOrders[[#This Row],[ProductID]],tblProducts[ProductID],tblProducts[UnitPrice],"not found")</f>
        <v>169.11</v>
      </c>
      <c r="K1758" t="str">
        <f>_xlfn.XLOOKUP(tblOrders[[#This Row],[ProductID]],tblProducts[ProductID],tblProducts[Supplier],"not found")</f>
        <v>Hurley-Brown</v>
      </c>
      <c r="L1758" s="1" t="s">
        <v>2295</v>
      </c>
      <c r="M17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45275</v>
      </c>
      <c r="N1758">
        <v>6</v>
      </c>
      <c r="O1758">
        <v>1014.66</v>
      </c>
      <c r="P1758">
        <f>tblOrders[[#This Row],[Quantity]]*tblOrders[[#This Row],[Unit Price]]</f>
        <v>1014.6600000000001</v>
      </c>
      <c r="Q1758">
        <f>tblOrders[[#This Row],[TotalSales]]-tblOrders[[#This Row],[Calculated Sales]]</f>
        <v>0</v>
      </c>
    </row>
    <row r="1759" spans="1:17" x14ac:dyDescent="0.25">
      <c r="A1759">
        <v>1829</v>
      </c>
      <c r="B1759">
        <v>10</v>
      </c>
      <c r="C1759" t="str">
        <f>_xlfn.XLOOKUP(tblOrders[[#This Row],[CustomerID]],tblCustomers[CustomerID],tblCustomers[CustomerName],"not found")</f>
        <v>Donald Perry</v>
      </c>
      <c r="D1759">
        <f>_xlfn.XLOOKUP(tblOrders[[#This Row],[CustomerID]],tblCustomers[CustomerID],tblCustomers[Age],"not found")</f>
        <v>25</v>
      </c>
      <c r="E1759" t="str">
        <f>_xlfn.XLOOKUP(tblOrders[[#This Row],[CustomerID]],tblCustomers[CustomerID],tblCustomers[Gender],"not found")</f>
        <v>Male</v>
      </c>
      <c r="F1759" t="str">
        <f>_xlfn.XLOOKUP(tblOrders[[#This Row],[CustomerID]],tblCustomers[CustomerID],tblCustomers[Region],"not found")</f>
        <v>South</v>
      </c>
      <c r="G1759">
        <v>1031</v>
      </c>
      <c r="H1759" t="str">
        <f>_xlfn.XLOOKUP(tblOrders[[#This Row],[ProductID]],tblProducts[ProductID],tblProducts[ProductName],"not found")</f>
        <v>Move</v>
      </c>
      <c r="I1759" t="str">
        <f>_xlfn.XLOOKUP(tblOrders[[#This Row],[ProductID]],tblProducts[ProductID],tblProducts[Category],"not found")</f>
        <v>Apparel</v>
      </c>
      <c r="J1759">
        <f>_xlfn.XLOOKUP(tblOrders[[#This Row],[ProductID]],tblProducts[ProductID],tblProducts[UnitPrice],"not found")</f>
        <v>169.11</v>
      </c>
      <c r="K1759" t="str">
        <f>_xlfn.XLOOKUP(tblOrders[[#This Row],[ProductID]],tblProducts[ProductID],tblProducts[Supplier],"not found")</f>
        <v>Hurley-Brown</v>
      </c>
      <c r="L1759" s="1">
        <v>45300</v>
      </c>
      <c r="M17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45300</v>
      </c>
      <c r="N1759">
        <v>7</v>
      </c>
      <c r="O1759">
        <v>1183.77</v>
      </c>
      <c r="P1759">
        <f>tblOrders[[#This Row],[Quantity]]*tblOrders[[#This Row],[Unit Price]]</f>
        <v>1183.77</v>
      </c>
      <c r="Q1759">
        <f>tblOrders[[#This Row],[TotalSales]]-tblOrders[[#This Row],[Calculated Sales]]</f>
        <v>0</v>
      </c>
    </row>
    <row r="1760" spans="1:17" x14ac:dyDescent="0.25">
      <c r="A1760">
        <v>172</v>
      </c>
      <c r="B1760">
        <v>708</v>
      </c>
      <c r="C1760" t="str">
        <f>_xlfn.XLOOKUP(tblOrders[[#This Row],[CustomerID]],tblCustomers[CustomerID],tblCustomers[CustomerName],"not found")</f>
        <v>John Carter</v>
      </c>
      <c r="D1760">
        <f>_xlfn.XLOOKUP(tblOrders[[#This Row],[CustomerID]],tblCustomers[CustomerID],tblCustomers[Age],"not found")</f>
        <v>65</v>
      </c>
      <c r="E1760" t="str">
        <f>_xlfn.XLOOKUP(tblOrders[[#This Row],[CustomerID]],tblCustomers[CustomerID],tblCustomers[Gender],"not found")</f>
        <v>Female</v>
      </c>
      <c r="F1760" t="str">
        <f>_xlfn.XLOOKUP(tblOrders[[#This Row],[CustomerID]],tblCustomers[CustomerID],tblCustomers[Region],"not found")</f>
        <v>North</v>
      </c>
      <c r="G1760">
        <v>1019</v>
      </c>
      <c r="H1760" t="str">
        <f>_xlfn.XLOOKUP(tblOrders[[#This Row],[ProductID]],tblProducts[ProductID],tblProducts[ProductName],"not found")</f>
        <v>Fast</v>
      </c>
      <c r="I1760" t="str">
        <f>_xlfn.XLOOKUP(tblOrders[[#This Row],[ProductID]],tblProducts[ProductID],tblProducts[Category],"not found")</f>
        <v>Toys</v>
      </c>
      <c r="J1760">
        <f>_xlfn.XLOOKUP(tblOrders[[#This Row],[ProductID]],tblProducts[ProductID],tblProducts[UnitPrice],"not found")</f>
        <v>303.17</v>
      </c>
      <c r="K1760" t="str">
        <f>_xlfn.XLOOKUP(tblOrders[[#This Row],[ProductID]],tblProducts[ProductID],tblProducts[Supplier],"not found")</f>
        <v>Hubbard, Peterson and Stafford</v>
      </c>
      <c r="L1760" s="1">
        <v>44996</v>
      </c>
      <c r="M17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44996</v>
      </c>
      <c r="N1760">
        <v>5</v>
      </c>
      <c r="O1760">
        <v>1515.85</v>
      </c>
      <c r="P1760">
        <f>tblOrders[[#This Row],[Quantity]]*tblOrders[[#This Row],[Unit Price]]</f>
        <v>1515.8500000000001</v>
      </c>
      <c r="Q1760">
        <f>tblOrders[[#This Row],[TotalSales]]-tblOrders[[#This Row],[Calculated Sales]]</f>
        <v>0</v>
      </c>
    </row>
    <row r="1761" spans="1:17" x14ac:dyDescent="0.25">
      <c r="A1761">
        <v>264</v>
      </c>
      <c r="B1761">
        <v>137</v>
      </c>
      <c r="C1761" t="str">
        <f>_xlfn.XLOOKUP(tblOrders[[#This Row],[CustomerID]],tblCustomers[CustomerID],tblCustomers[CustomerName],"not found")</f>
        <v>Joseph Patel</v>
      </c>
      <c r="D1761">
        <f>_xlfn.XLOOKUP(tblOrders[[#This Row],[CustomerID]],tblCustomers[CustomerID],tblCustomers[Age],"not found")</f>
        <v>48</v>
      </c>
      <c r="E1761" t="str">
        <f>_xlfn.XLOOKUP(tblOrders[[#This Row],[CustomerID]],tblCustomers[CustomerID],tblCustomers[Gender],"not found")</f>
        <v>Female</v>
      </c>
      <c r="F1761" t="str">
        <f>_xlfn.XLOOKUP(tblOrders[[#This Row],[CustomerID]],tblCustomers[CustomerID],tblCustomers[Region],"not found")</f>
        <v>North</v>
      </c>
      <c r="G1761">
        <v>1019</v>
      </c>
      <c r="H1761" t="str">
        <f>_xlfn.XLOOKUP(tblOrders[[#This Row],[ProductID]],tblProducts[ProductID],tblProducts[ProductName],"not found")</f>
        <v>Fast</v>
      </c>
      <c r="I1761" t="str">
        <f>_xlfn.XLOOKUP(tblOrders[[#This Row],[ProductID]],tblProducts[ProductID],tblProducts[Category],"not found")</f>
        <v>Toys</v>
      </c>
      <c r="J1761">
        <f>_xlfn.XLOOKUP(tblOrders[[#This Row],[ProductID]],tblProducts[ProductID],tblProducts[UnitPrice],"not found")</f>
        <v>303.17</v>
      </c>
      <c r="K1761" t="str">
        <f>_xlfn.XLOOKUP(tblOrders[[#This Row],[ProductID]],tblProducts[ProductID],tblProducts[Supplier],"not found")</f>
        <v>Hubbard, Peterson and Stafford</v>
      </c>
      <c r="L1761" s="1" t="s">
        <v>2323</v>
      </c>
      <c r="M17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45463</v>
      </c>
      <c r="N1761">
        <v>6</v>
      </c>
      <c r="O1761">
        <v>1819.02</v>
      </c>
      <c r="P1761">
        <f>tblOrders[[#This Row],[Quantity]]*tblOrders[[#This Row],[Unit Price]]</f>
        <v>1819.02</v>
      </c>
      <c r="Q1761">
        <f>tblOrders[[#This Row],[TotalSales]]-tblOrders[[#This Row],[Calculated Sales]]</f>
        <v>0</v>
      </c>
    </row>
    <row r="1762" spans="1:17" x14ac:dyDescent="0.25">
      <c r="A1762">
        <v>434</v>
      </c>
      <c r="B1762">
        <v>585</v>
      </c>
      <c r="C1762" t="str">
        <f>_xlfn.XLOOKUP(tblOrders[[#This Row],[CustomerID]],tblCustomers[CustomerID],tblCustomers[CustomerName],"not found")</f>
        <v>Lisa Mckinney</v>
      </c>
      <c r="D1762">
        <f>_xlfn.XLOOKUP(tblOrders[[#This Row],[CustomerID]],tblCustomers[CustomerID],tblCustomers[Age],"not found")</f>
        <v>19</v>
      </c>
      <c r="E1762" t="str">
        <f>_xlfn.XLOOKUP(tblOrders[[#This Row],[CustomerID]],tblCustomers[CustomerID],tblCustomers[Gender],"not found")</f>
        <v>Female</v>
      </c>
      <c r="F1762" t="str">
        <f>_xlfn.XLOOKUP(tblOrders[[#This Row],[CustomerID]],tblCustomers[CustomerID],tblCustomers[Region],"not found")</f>
        <v>East</v>
      </c>
      <c r="G1762">
        <v>1019</v>
      </c>
      <c r="H1762" t="str">
        <f>_xlfn.XLOOKUP(tblOrders[[#This Row],[ProductID]],tblProducts[ProductID],tblProducts[ProductName],"not found")</f>
        <v>Fast</v>
      </c>
      <c r="I1762" t="str">
        <f>_xlfn.XLOOKUP(tblOrders[[#This Row],[ProductID]],tblProducts[ProductID],tblProducts[Category],"not found")</f>
        <v>Toys</v>
      </c>
      <c r="J1762">
        <f>_xlfn.XLOOKUP(tblOrders[[#This Row],[ProductID]],tblProducts[ProductID],tblProducts[UnitPrice],"not found")</f>
        <v>303.17</v>
      </c>
      <c r="K1762" t="str">
        <f>_xlfn.XLOOKUP(tblOrders[[#This Row],[ProductID]],tblProducts[ProductID],tblProducts[Supplier],"not found")</f>
        <v>Hubbard, Peterson and Stafford</v>
      </c>
      <c r="L1762" s="1">
        <v>45110</v>
      </c>
      <c r="M17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45110</v>
      </c>
      <c r="N1762">
        <v>9</v>
      </c>
      <c r="O1762">
        <v>2728.53</v>
      </c>
      <c r="P1762">
        <f>tblOrders[[#This Row],[Quantity]]*tblOrders[[#This Row],[Unit Price]]</f>
        <v>2728.53</v>
      </c>
      <c r="Q1762">
        <f>tblOrders[[#This Row],[TotalSales]]-tblOrders[[#This Row],[Calculated Sales]]</f>
        <v>0</v>
      </c>
    </row>
    <row r="1763" spans="1:17" x14ac:dyDescent="0.25">
      <c r="A1763">
        <v>472</v>
      </c>
      <c r="B1763">
        <v>461</v>
      </c>
      <c r="C1763" t="str">
        <f>_xlfn.XLOOKUP(tblOrders[[#This Row],[CustomerID]],tblCustomers[CustomerID],tblCustomers[CustomerName],"not found")</f>
        <v>John Howard</v>
      </c>
      <c r="D1763">
        <f>_xlfn.XLOOKUP(tblOrders[[#This Row],[CustomerID]],tblCustomers[CustomerID],tblCustomers[Age],"not found")</f>
        <v>40</v>
      </c>
      <c r="E1763" t="str">
        <f>_xlfn.XLOOKUP(tblOrders[[#This Row],[CustomerID]],tblCustomers[CustomerID],tblCustomers[Gender],"not found")</f>
        <v>Female</v>
      </c>
      <c r="F1763" t="str">
        <f>_xlfn.XLOOKUP(tblOrders[[#This Row],[CustomerID]],tblCustomers[CustomerID],tblCustomers[Region],"not found")</f>
        <v>North</v>
      </c>
      <c r="G1763">
        <v>1019</v>
      </c>
      <c r="H1763" t="str">
        <f>_xlfn.XLOOKUP(tblOrders[[#This Row],[ProductID]],tblProducts[ProductID],tblProducts[ProductName],"not found")</f>
        <v>Fast</v>
      </c>
      <c r="I1763" t="str">
        <f>_xlfn.XLOOKUP(tblOrders[[#This Row],[ProductID]],tblProducts[ProductID],tblProducts[Category],"not found")</f>
        <v>Toys</v>
      </c>
      <c r="J1763">
        <f>_xlfn.XLOOKUP(tblOrders[[#This Row],[ProductID]],tblProducts[ProductID],tblProducts[UnitPrice],"not found")</f>
        <v>303.17</v>
      </c>
      <c r="K1763" t="str">
        <f>_xlfn.XLOOKUP(tblOrders[[#This Row],[ProductID]],tblProducts[ProductID],tblProducts[Supplier],"not found")</f>
        <v>Hubbard, Peterson and Stafford</v>
      </c>
      <c r="L1763" s="1">
        <v>45022</v>
      </c>
      <c r="M17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45022</v>
      </c>
      <c r="N1763">
        <v>4</v>
      </c>
      <c r="O1763">
        <v>1212.68</v>
      </c>
      <c r="P1763">
        <f>tblOrders[[#This Row],[Quantity]]*tblOrders[[#This Row],[Unit Price]]</f>
        <v>1212.68</v>
      </c>
      <c r="Q1763">
        <f>tblOrders[[#This Row],[TotalSales]]-tblOrders[[#This Row],[Calculated Sales]]</f>
        <v>0</v>
      </c>
    </row>
    <row r="1764" spans="1:17" x14ac:dyDescent="0.25">
      <c r="A1764">
        <v>538</v>
      </c>
      <c r="B1764">
        <v>633</v>
      </c>
      <c r="C1764" t="str">
        <f>_xlfn.XLOOKUP(tblOrders[[#This Row],[CustomerID]],tblCustomers[CustomerID],tblCustomers[CustomerName],"not found")</f>
        <v>Austin Burns</v>
      </c>
      <c r="D1764">
        <f>_xlfn.XLOOKUP(tblOrders[[#This Row],[CustomerID]],tblCustomers[CustomerID],tblCustomers[Age],"not found")</f>
        <v>36</v>
      </c>
      <c r="E1764" t="str">
        <f>_xlfn.XLOOKUP(tblOrders[[#This Row],[CustomerID]],tblCustomers[CustomerID],tblCustomers[Gender],"not found")</f>
        <v>Female</v>
      </c>
      <c r="F1764" t="str">
        <f>_xlfn.XLOOKUP(tblOrders[[#This Row],[CustomerID]],tblCustomers[CustomerID],tblCustomers[Region],"not found")</f>
        <v>West</v>
      </c>
      <c r="G1764">
        <v>1019</v>
      </c>
      <c r="H1764" t="str">
        <f>_xlfn.XLOOKUP(tblOrders[[#This Row],[ProductID]],tblProducts[ProductID],tblProducts[ProductName],"not found")</f>
        <v>Fast</v>
      </c>
      <c r="I1764" t="str">
        <f>_xlfn.XLOOKUP(tblOrders[[#This Row],[ProductID]],tblProducts[ProductID],tblProducts[Category],"not found")</f>
        <v>Toys</v>
      </c>
      <c r="J1764">
        <f>_xlfn.XLOOKUP(tblOrders[[#This Row],[ProductID]],tblProducts[ProductID],tblProducts[UnitPrice],"not found")</f>
        <v>303.17</v>
      </c>
      <c r="K1764" t="str">
        <f>_xlfn.XLOOKUP(tblOrders[[#This Row],[ProductID]],tblProducts[ProductID],tblProducts[Supplier],"not found")</f>
        <v>Hubbard, Peterson and Stafford</v>
      </c>
      <c r="L1764" s="1" t="s">
        <v>2060</v>
      </c>
      <c r="M17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45560</v>
      </c>
      <c r="N1764">
        <v>2</v>
      </c>
      <c r="O1764">
        <v>606.34</v>
      </c>
      <c r="P1764">
        <f>tblOrders[[#This Row],[Quantity]]*tblOrders[[#This Row],[Unit Price]]</f>
        <v>606.34</v>
      </c>
      <c r="Q1764">
        <f>tblOrders[[#This Row],[TotalSales]]-tblOrders[[#This Row],[Calculated Sales]]</f>
        <v>0</v>
      </c>
    </row>
    <row r="1765" spans="1:17" x14ac:dyDescent="0.25">
      <c r="A1765">
        <v>737</v>
      </c>
      <c r="B1765">
        <v>109</v>
      </c>
      <c r="C1765" t="str">
        <f>_xlfn.XLOOKUP(tblOrders[[#This Row],[CustomerID]],tblCustomers[CustomerID],tblCustomers[CustomerName],"not found")</f>
        <v>Jessica Brown</v>
      </c>
      <c r="D1765">
        <f>_xlfn.XLOOKUP(tblOrders[[#This Row],[CustomerID]],tblCustomers[CustomerID],tblCustomers[Age],"not found")</f>
        <v>42</v>
      </c>
      <c r="E1765" t="str">
        <f>_xlfn.XLOOKUP(tblOrders[[#This Row],[CustomerID]],tblCustomers[CustomerID],tblCustomers[Gender],"not found")</f>
        <v>Male</v>
      </c>
      <c r="F1765" t="str">
        <f>_xlfn.XLOOKUP(tblOrders[[#This Row],[CustomerID]],tblCustomers[CustomerID],tblCustomers[Region],"not found")</f>
        <v>West</v>
      </c>
      <c r="G1765">
        <v>1019</v>
      </c>
      <c r="H1765" t="str">
        <f>_xlfn.XLOOKUP(tblOrders[[#This Row],[ProductID]],tblProducts[ProductID],tblProducts[ProductName],"not found")</f>
        <v>Fast</v>
      </c>
      <c r="I1765" t="str">
        <f>_xlfn.XLOOKUP(tblOrders[[#This Row],[ProductID]],tblProducts[ProductID],tblProducts[Category],"not found")</f>
        <v>Toys</v>
      </c>
      <c r="J1765">
        <f>_xlfn.XLOOKUP(tblOrders[[#This Row],[ProductID]],tblProducts[ProductID],tblProducts[UnitPrice],"not found")</f>
        <v>303.17</v>
      </c>
      <c r="K1765" t="str">
        <f>_xlfn.XLOOKUP(tblOrders[[#This Row],[ProductID]],tblProducts[ProductID],tblProducts[Supplier],"not found")</f>
        <v>Hubbard, Peterson and Stafford</v>
      </c>
      <c r="L1765" s="1" t="s">
        <v>2412</v>
      </c>
      <c r="M17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45581</v>
      </c>
      <c r="N1765">
        <v>4</v>
      </c>
      <c r="O1765">
        <v>1212.68</v>
      </c>
      <c r="P1765">
        <f>tblOrders[[#This Row],[Quantity]]*tblOrders[[#This Row],[Unit Price]]</f>
        <v>1212.68</v>
      </c>
      <c r="Q1765">
        <f>tblOrders[[#This Row],[TotalSales]]-tblOrders[[#This Row],[Calculated Sales]]</f>
        <v>0</v>
      </c>
    </row>
    <row r="1766" spans="1:17" x14ac:dyDescent="0.25">
      <c r="A1766">
        <v>755</v>
      </c>
      <c r="B1766">
        <v>799</v>
      </c>
      <c r="C1766" t="str">
        <f>_xlfn.XLOOKUP(tblOrders[[#This Row],[CustomerID]],tblCustomers[CustomerID],tblCustomers[CustomerName],"not found")</f>
        <v>Jerry Henry</v>
      </c>
      <c r="D1766">
        <f>_xlfn.XLOOKUP(tblOrders[[#This Row],[CustomerID]],tblCustomers[CustomerID],tblCustomers[Age],"not found")</f>
        <v>66</v>
      </c>
      <c r="E1766" t="str">
        <f>_xlfn.XLOOKUP(tblOrders[[#This Row],[CustomerID]],tblCustomers[CustomerID],tblCustomers[Gender],"not found")</f>
        <v>Male</v>
      </c>
      <c r="F1766" t="str">
        <f>_xlfn.XLOOKUP(tblOrders[[#This Row],[CustomerID]],tblCustomers[CustomerID],tblCustomers[Region],"not found")</f>
        <v>South</v>
      </c>
      <c r="G1766">
        <v>1019</v>
      </c>
      <c r="H1766" t="str">
        <f>_xlfn.XLOOKUP(tblOrders[[#This Row],[ProductID]],tblProducts[ProductID],tblProducts[ProductName],"not found")</f>
        <v>Fast</v>
      </c>
      <c r="I1766" t="str">
        <f>_xlfn.XLOOKUP(tblOrders[[#This Row],[ProductID]],tblProducts[ProductID],tblProducts[Category],"not found")</f>
        <v>Toys</v>
      </c>
      <c r="J1766">
        <f>_xlfn.XLOOKUP(tblOrders[[#This Row],[ProductID]],tblProducts[ProductID],tblProducts[UnitPrice],"not found")</f>
        <v>303.17</v>
      </c>
      <c r="K1766" t="str">
        <f>_xlfn.XLOOKUP(tblOrders[[#This Row],[ProductID]],tblProducts[ProductID],tblProducts[Supplier],"not found")</f>
        <v>Hubbard, Peterson and Stafford</v>
      </c>
      <c r="L1766" s="1" t="s">
        <v>2278</v>
      </c>
      <c r="M17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45289</v>
      </c>
      <c r="N1766">
        <v>8</v>
      </c>
      <c r="O1766">
        <v>2425.36</v>
      </c>
      <c r="P1766">
        <f>tblOrders[[#This Row],[Quantity]]*tblOrders[[#This Row],[Unit Price]]</f>
        <v>2425.36</v>
      </c>
      <c r="Q1766">
        <f>tblOrders[[#This Row],[TotalSales]]-tblOrders[[#This Row],[Calculated Sales]]</f>
        <v>0</v>
      </c>
    </row>
    <row r="1767" spans="1:17" x14ac:dyDescent="0.25">
      <c r="A1767">
        <v>917</v>
      </c>
      <c r="B1767">
        <v>647</v>
      </c>
      <c r="C1767" t="str">
        <f>_xlfn.XLOOKUP(tblOrders[[#This Row],[CustomerID]],tblCustomers[CustomerID],tblCustomers[CustomerName],"not found")</f>
        <v>Sherry Dickerson</v>
      </c>
      <c r="D1767">
        <f>_xlfn.XLOOKUP(tblOrders[[#This Row],[CustomerID]],tblCustomers[CustomerID],tblCustomers[Age],"not found")</f>
        <v>58</v>
      </c>
      <c r="E1767" t="str">
        <f>_xlfn.XLOOKUP(tblOrders[[#This Row],[CustomerID]],tblCustomers[CustomerID],tblCustomers[Gender],"not found")</f>
        <v>Female</v>
      </c>
      <c r="F1767" t="str">
        <f>_xlfn.XLOOKUP(tblOrders[[#This Row],[CustomerID]],tblCustomers[CustomerID],tblCustomers[Region],"not found")</f>
        <v>West</v>
      </c>
      <c r="G1767">
        <v>1019</v>
      </c>
      <c r="H1767" t="str">
        <f>_xlfn.XLOOKUP(tblOrders[[#This Row],[ProductID]],tblProducts[ProductID],tblProducts[ProductName],"not found")</f>
        <v>Fast</v>
      </c>
      <c r="I1767" t="str">
        <f>_xlfn.XLOOKUP(tblOrders[[#This Row],[ProductID]],tblProducts[ProductID],tblProducts[Category],"not found")</f>
        <v>Toys</v>
      </c>
      <c r="J1767">
        <f>_xlfn.XLOOKUP(tblOrders[[#This Row],[ProductID]],tblProducts[ProductID],tblProducts[UnitPrice],"not found")</f>
        <v>303.17</v>
      </c>
      <c r="K1767" t="str">
        <f>_xlfn.XLOOKUP(tblOrders[[#This Row],[ProductID]],tblProducts[ProductID],tblProducts[Supplier],"not found")</f>
        <v>Hubbard, Peterson and Stafford</v>
      </c>
      <c r="L1767" s="1">
        <v>45053</v>
      </c>
      <c r="M17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45053</v>
      </c>
      <c r="N1767">
        <v>4</v>
      </c>
      <c r="O1767">
        <v>1212.68</v>
      </c>
      <c r="P1767">
        <f>tblOrders[[#This Row],[Quantity]]*tblOrders[[#This Row],[Unit Price]]</f>
        <v>1212.68</v>
      </c>
      <c r="Q1767">
        <f>tblOrders[[#This Row],[TotalSales]]-tblOrders[[#This Row],[Calculated Sales]]</f>
        <v>0</v>
      </c>
    </row>
    <row r="1768" spans="1:17" x14ac:dyDescent="0.25">
      <c r="A1768">
        <v>1033</v>
      </c>
      <c r="B1768">
        <v>672</v>
      </c>
      <c r="C1768" t="str">
        <f>_xlfn.XLOOKUP(tblOrders[[#This Row],[CustomerID]],tblCustomers[CustomerID],tblCustomers[CustomerName],"not found")</f>
        <v>Tara Graves</v>
      </c>
      <c r="D1768">
        <f>_xlfn.XLOOKUP(tblOrders[[#This Row],[CustomerID]],tblCustomers[CustomerID],tblCustomers[Age],"not found")</f>
        <v>37</v>
      </c>
      <c r="E1768" t="str">
        <f>_xlfn.XLOOKUP(tblOrders[[#This Row],[CustomerID]],tblCustomers[CustomerID],tblCustomers[Gender],"not found")</f>
        <v>Male</v>
      </c>
      <c r="F1768" t="str">
        <f>_xlfn.XLOOKUP(tblOrders[[#This Row],[CustomerID]],tblCustomers[CustomerID],tblCustomers[Region],"not found")</f>
        <v>East</v>
      </c>
      <c r="G1768">
        <v>1019</v>
      </c>
      <c r="H1768" t="str">
        <f>_xlfn.XLOOKUP(tblOrders[[#This Row],[ProductID]],tblProducts[ProductID],tblProducts[ProductName],"not found")</f>
        <v>Fast</v>
      </c>
      <c r="I1768" t="str">
        <f>_xlfn.XLOOKUP(tblOrders[[#This Row],[ProductID]],tblProducts[ProductID],tblProducts[Category],"not found")</f>
        <v>Toys</v>
      </c>
      <c r="J1768">
        <f>_xlfn.XLOOKUP(tblOrders[[#This Row],[ProductID]],tblProducts[ProductID],tblProducts[UnitPrice],"not found")</f>
        <v>303.17</v>
      </c>
      <c r="K1768" t="str">
        <f>_xlfn.XLOOKUP(tblOrders[[#This Row],[ProductID]],tblProducts[ProductID],tblProducts[Supplier],"not found")</f>
        <v>Hubbard, Peterson and Stafford</v>
      </c>
      <c r="L1768" s="1" t="s">
        <v>2241</v>
      </c>
      <c r="M17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45183</v>
      </c>
      <c r="N1768">
        <v>9</v>
      </c>
      <c r="O1768">
        <v>2728.53</v>
      </c>
      <c r="P1768">
        <f>tblOrders[[#This Row],[Quantity]]*tblOrders[[#This Row],[Unit Price]]</f>
        <v>2728.53</v>
      </c>
      <c r="Q1768">
        <f>tblOrders[[#This Row],[TotalSales]]-tblOrders[[#This Row],[Calculated Sales]]</f>
        <v>0</v>
      </c>
    </row>
    <row r="1769" spans="1:17" x14ac:dyDescent="0.25">
      <c r="A1769">
        <v>1106</v>
      </c>
      <c r="B1769">
        <v>231</v>
      </c>
      <c r="C1769" t="str">
        <f>_xlfn.XLOOKUP(tblOrders[[#This Row],[CustomerID]],tblCustomers[CustomerID],tblCustomers[CustomerName],"not found")</f>
        <v>Justin Martinez</v>
      </c>
      <c r="D1769">
        <f>_xlfn.XLOOKUP(tblOrders[[#This Row],[CustomerID]],tblCustomers[CustomerID],tblCustomers[Age],"not found")</f>
        <v>53</v>
      </c>
      <c r="E1769" t="str">
        <f>_xlfn.XLOOKUP(tblOrders[[#This Row],[CustomerID]],tblCustomers[CustomerID],tblCustomers[Gender],"not found")</f>
        <v>Male</v>
      </c>
      <c r="F1769" t="str">
        <f>_xlfn.XLOOKUP(tblOrders[[#This Row],[CustomerID]],tblCustomers[CustomerID],tblCustomers[Region],"not found")</f>
        <v>North</v>
      </c>
      <c r="G1769">
        <v>1019</v>
      </c>
      <c r="H1769" t="str">
        <f>_xlfn.XLOOKUP(tblOrders[[#This Row],[ProductID]],tblProducts[ProductID],tblProducts[ProductName],"not found")</f>
        <v>Fast</v>
      </c>
      <c r="I1769" t="str">
        <f>_xlfn.XLOOKUP(tblOrders[[#This Row],[ProductID]],tblProducts[ProductID],tblProducts[Category],"not found")</f>
        <v>Toys</v>
      </c>
      <c r="J1769">
        <f>_xlfn.XLOOKUP(tblOrders[[#This Row],[ProductID]],tblProducts[ProductID],tblProducts[UnitPrice],"not found")</f>
        <v>303.17</v>
      </c>
      <c r="K1769" t="str">
        <f>_xlfn.XLOOKUP(tblOrders[[#This Row],[ProductID]],tblProducts[ProductID],tblProducts[Supplier],"not found")</f>
        <v>Hubbard, Peterson and Stafford</v>
      </c>
      <c r="L1769" s="1">
        <v>44723</v>
      </c>
      <c r="M17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1769">
        <v>8</v>
      </c>
      <c r="O1769">
        <v>2425.36</v>
      </c>
      <c r="P1769">
        <f>tblOrders[[#This Row],[Quantity]]*tblOrders[[#This Row],[Unit Price]]</f>
        <v>2425.36</v>
      </c>
      <c r="Q1769">
        <f>tblOrders[[#This Row],[TotalSales]]-tblOrders[[#This Row],[Calculated Sales]]</f>
        <v>0</v>
      </c>
    </row>
    <row r="1770" spans="1:17" x14ac:dyDescent="0.25">
      <c r="A1770">
        <v>1330</v>
      </c>
      <c r="B1770">
        <v>288</v>
      </c>
      <c r="C1770" t="str">
        <f>_xlfn.XLOOKUP(tblOrders[[#This Row],[CustomerID]],tblCustomers[CustomerID],tblCustomers[CustomerName],"not found")</f>
        <v>Amy Bennett</v>
      </c>
      <c r="D1770">
        <f>_xlfn.XLOOKUP(tblOrders[[#This Row],[CustomerID]],tblCustomers[CustomerID],tblCustomers[Age],"not found")</f>
        <v>23</v>
      </c>
      <c r="E1770" t="str">
        <f>_xlfn.XLOOKUP(tblOrders[[#This Row],[CustomerID]],tblCustomers[CustomerID],tblCustomers[Gender],"not found")</f>
        <v>Female</v>
      </c>
      <c r="F1770" t="str">
        <f>_xlfn.XLOOKUP(tblOrders[[#This Row],[CustomerID]],tblCustomers[CustomerID],tblCustomers[Region],"not found")</f>
        <v>North</v>
      </c>
      <c r="G1770">
        <v>1019</v>
      </c>
      <c r="H1770" t="str">
        <f>_xlfn.XLOOKUP(tblOrders[[#This Row],[ProductID]],tblProducts[ProductID],tblProducts[ProductName],"not found")</f>
        <v>Fast</v>
      </c>
      <c r="I1770" t="str">
        <f>_xlfn.XLOOKUP(tblOrders[[#This Row],[ProductID]],tblProducts[ProductID],tblProducts[Category],"not found")</f>
        <v>Toys</v>
      </c>
      <c r="J1770">
        <f>_xlfn.XLOOKUP(tblOrders[[#This Row],[ProductID]],tblProducts[ProductID],tblProducts[UnitPrice],"not found")</f>
        <v>303.17</v>
      </c>
      <c r="K1770" t="str">
        <f>_xlfn.XLOOKUP(tblOrders[[#This Row],[ProductID]],tblProducts[ProductID],tblProducts[Supplier],"not found")</f>
        <v>Hubbard, Peterson and Stafford</v>
      </c>
      <c r="L1770" s="1">
        <v>45602</v>
      </c>
      <c r="M17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45602</v>
      </c>
      <c r="N1770">
        <v>4</v>
      </c>
      <c r="O1770">
        <v>1212.68</v>
      </c>
      <c r="P1770">
        <f>tblOrders[[#This Row],[Quantity]]*tblOrders[[#This Row],[Unit Price]]</f>
        <v>1212.68</v>
      </c>
      <c r="Q1770">
        <f>tblOrders[[#This Row],[TotalSales]]-tblOrders[[#This Row],[Calculated Sales]]</f>
        <v>0</v>
      </c>
    </row>
    <row r="1771" spans="1:17" x14ac:dyDescent="0.25">
      <c r="A1771">
        <v>1380</v>
      </c>
      <c r="B1771">
        <v>98</v>
      </c>
      <c r="C1771" t="str">
        <f>_xlfn.XLOOKUP(tblOrders[[#This Row],[CustomerID]],tblCustomers[CustomerID],tblCustomers[CustomerName],"not found")</f>
        <v>Jason Brown</v>
      </c>
      <c r="D1771">
        <f>_xlfn.XLOOKUP(tblOrders[[#This Row],[CustomerID]],tblCustomers[CustomerID],tblCustomers[Age],"not found")</f>
        <v>46</v>
      </c>
      <c r="E1771" t="str">
        <f>_xlfn.XLOOKUP(tblOrders[[#This Row],[CustomerID]],tblCustomers[CustomerID],tblCustomers[Gender],"not found")</f>
        <v>Male</v>
      </c>
      <c r="F1771" t="str">
        <f>_xlfn.XLOOKUP(tblOrders[[#This Row],[CustomerID]],tblCustomers[CustomerID],tblCustomers[Region],"not found")</f>
        <v>Central</v>
      </c>
      <c r="G1771">
        <v>1019</v>
      </c>
      <c r="H1771" t="str">
        <f>_xlfn.XLOOKUP(tblOrders[[#This Row],[ProductID]],tblProducts[ProductID],tblProducts[ProductName],"not found")</f>
        <v>Fast</v>
      </c>
      <c r="I1771" t="str">
        <f>_xlfn.XLOOKUP(tblOrders[[#This Row],[ProductID]],tblProducts[ProductID],tblProducts[Category],"not found")</f>
        <v>Toys</v>
      </c>
      <c r="J1771">
        <f>_xlfn.XLOOKUP(tblOrders[[#This Row],[ProductID]],tblProducts[ProductID],tblProducts[UnitPrice],"not found")</f>
        <v>303.17</v>
      </c>
      <c r="K1771" t="str">
        <f>_xlfn.XLOOKUP(tblOrders[[#This Row],[ProductID]],tblProducts[ProductID],tblProducts[Supplier],"not found")</f>
        <v>Hubbard, Peterson and Stafford</v>
      </c>
      <c r="L1771" s="1" t="s">
        <v>2339</v>
      </c>
      <c r="M17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44879</v>
      </c>
      <c r="N1771">
        <v>1</v>
      </c>
      <c r="O1771">
        <v>303.17</v>
      </c>
      <c r="P1771">
        <f>tblOrders[[#This Row],[Quantity]]*tblOrders[[#This Row],[Unit Price]]</f>
        <v>303.17</v>
      </c>
      <c r="Q1771">
        <f>tblOrders[[#This Row],[TotalSales]]-tblOrders[[#This Row],[Calculated Sales]]</f>
        <v>0</v>
      </c>
    </row>
    <row r="1772" spans="1:17" x14ac:dyDescent="0.25">
      <c r="A1772">
        <v>1536</v>
      </c>
      <c r="B1772">
        <v>805</v>
      </c>
      <c r="C1772" t="str">
        <f>_xlfn.XLOOKUP(tblOrders[[#This Row],[CustomerID]],tblCustomers[CustomerID],tblCustomers[CustomerName],"not found")</f>
        <v>Jennifer Lindsey</v>
      </c>
      <c r="D1772">
        <f>_xlfn.XLOOKUP(tblOrders[[#This Row],[CustomerID]],tblCustomers[CustomerID],tblCustomers[Age],"not found")</f>
        <v>60</v>
      </c>
      <c r="E1772" t="str">
        <f>_xlfn.XLOOKUP(tblOrders[[#This Row],[CustomerID]],tblCustomers[CustomerID],tblCustomers[Gender],"not found")</f>
        <v>Male</v>
      </c>
      <c r="F1772" t="str">
        <f>_xlfn.XLOOKUP(tblOrders[[#This Row],[CustomerID]],tblCustomers[CustomerID],tblCustomers[Region],"not found")</f>
        <v>Central</v>
      </c>
      <c r="G1772">
        <v>1019</v>
      </c>
      <c r="H1772" t="str">
        <f>_xlfn.XLOOKUP(tblOrders[[#This Row],[ProductID]],tblProducts[ProductID],tblProducts[ProductName],"not found")</f>
        <v>Fast</v>
      </c>
      <c r="I1772" t="str">
        <f>_xlfn.XLOOKUP(tblOrders[[#This Row],[ProductID]],tblProducts[ProductID],tblProducts[Category],"not found")</f>
        <v>Toys</v>
      </c>
      <c r="J1772">
        <f>_xlfn.XLOOKUP(tblOrders[[#This Row],[ProductID]],tblProducts[ProductID],tblProducts[UnitPrice],"not found")</f>
        <v>303.17</v>
      </c>
      <c r="K1772" t="str">
        <f>_xlfn.XLOOKUP(tblOrders[[#This Row],[ProductID]],tblProducts[ProductID],tblProducts[Supplier],"not found")</f>
        <v>Hubbard, Peterson and Stafford</v>
      </c>
      <c r="L1772" s="1" t="s">
        <v>2244</v>
      </c>
      <c r="M17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45498</v>
      </c>
      <c r="N1772">
        <v>7</v>
      </c>
      <c r="O1772">
        <v>2122.19</v>
      </c>
      <c r="P1772">
        <f>tblOrders[[#This Row],[Quantity]]*tblOrders[[#This Row],[Unit Price]]</f>
        <v>2122.19</v>
      </c>
      <c r="Q1772">
        <f>tblOrders[[#This Row],[TotalSales]]-tblOrders[[#This Row],[Calculated Sales]]</f>
        <v>0</v>
      </c>
    </row>
    <row r="1773" spans="1:17" x14ac:dyDescent="0.25">
      <c r="A1773">
        <v>1558</v>
      </c>
      <c r="B1773">
        <v>792</v>
      </c>
      <c r="C1773" t="str">
        <f>_xlfn.XLOOKUP(tblOrders[[#This Row],[CustomerID]],tblCustomers[CustomerID],tblCustomers[CustomerName],"not found")</f>
        <v>Stephanie Garcia</v>
      </c>
      <c r="D1773">
        <f>_xlfn.XLOOKUP(tblOrders[[#This Row],[CustomerID]],tblCustomers[CustomerID],tblCustomers[Age],"not found")</f>
        <v>29</v>
      </c>
      <c r="E1773" t="str">
        <f>_xlfn.XLOOKUP(tblOrders[[#This Row],[CustomerID]],tblCustomers[CustomerID],tblCustomers[Gender],"not found")</f>
        <v>Male</v>
      </c>
      <c r="F1773" t="str">
        <f>_xlfn.XLOOKUP(tblOrders[[#This Row],[CustomerID]],tblCustomers[CustomerID],tblCustomers[Region],"not found")</f>
        <v>East</v>
      </c>
      <c r="G1773">
        <v>1019</v>
      </c>
      <c r="H1773" t="str">
        <f>_xlfn.XLOOKUP(tblOrders[[#This Row],[ProductID]],tblProducts[ProductID],tblProducts[ProductName],"not found")</f>
        <v>Fast</v>
      </c>
      <c r="I1773" t="str">
        <f>_xlfn.XLOOKUP(tblOrders[[#This Row],[ProductID]],tblProducts[ProductID],tblProducts[Category],"not found")</f>
        <v>Toys</v>
      </c>
      <c r="J1773">
        <f>_xlfn.XLOOKUP(tblOrders[[#This Row],[ProductID]],tblProducts[ProductID],tblProducts[UnitPrice],"not found")</f>
        <v>303.17</v>
      </c>
      <c r="K1773" t="str">
        <f>_xlfn.XLOOKUP(tblOrders[[#This Row],[ProductID]],tblProducts[ProductID],tblProducts[Supplier],"not found")</f>
        <v>Hubbard, Peterson and Stafford</v>
      </c>
      <c r="L1773" s="1" t="s">
        <v>2413</v>
      </c>
      <c r="M17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44917</v>
      </c>
      <c r="N1773">
        <v>8</v>
      </c>
      <c r="O1773">
        <v>2425.36</v>
      </c>
      <c r="P1773">
        <f>tblOrders[[#This Row],[Quantity]]*tblOrders[[#This Row],[Unit Price]]</f>
        <v>2425.36</v>
      </c>
      <c r="Q1773">
        <f>tblOrders[[#This Row],[TotalSales]]-tblOrders[[#This Row],[Calculated Sales]]</f>
        <v>0</v>
      </c>
    </row>
    <row r="1774" spans="1:17" x14ac:dyDescent="0.25">
      <c r="A1774">
        <v>1893</v>
      </c>
      <c r="B1774">
        <v>638</v>
      </c>
      <c r="C1774" t="str">
        <f>_xlfn.XLOOKUP(tblOrders[[#This Row],[CustomerID]],tblCustomers[CustomerID],tblCustomers[CustomerName],"not found")</f>
        <v>Donna Foster</v>
      </c>
      <c r="D1774">
        <f>_xlfn.XLOOKUP(tblOrders[[#This Row],[CustomerID]],tblCustomers[CustomerID],tblCustomers[Age],"not found")</f>
        <v>62</v>
      </c>
      <c r="E1774" t="str">
        <f>_xlfn.XLOOKUP(tblOrders[[#This Row],[CustomerID]],tblCustomers[CustomerID],tblCustomers[Gender],"not found")</f>
        <v>Female</v>
      </c>
      <c r="F1774" t="str">
        <f>_xlfn.XLOOKUP(tblOrders[[#This Row],[CustomerID]],tblCustomers[CustomerID],tblCustomers[Region],"not found")</f>
        <v>East</v>
      </c>
      <c r="G1774">
        <v>1019</v>
      </c>
      <c r="H1774" t="str">
        <f>_xlfn.XLOOKUP(tblOrders[[#This Row],[ProductID]],tblProducts[ProductID],tblProducts[ProductName],"not found")</f>
        <v>Fast</v>
      </c>
      <c r="I1774" t="str">
        <f>_xlfn.XLOOKUP(tblOrders[[#This Row],[ProductID]],tblProducts[ProductID],tblProducts[Category],"not found")</f>
        <v>Toys</v>
      </c>
      <c r="J1774">
        <f>_xlfn.XLOOKUP(tblOrders[[#This Row],[ProductID]],tblProducts[ProductID],tblProducts[UnitPrice],"not found")</f>
        <v>303.17</v>
      </c>
      <c r="K1774" t="str">
        <f>_xlfn.XLOOKUP(tblOrders[[#This Row],[ProductID]],tblProducts[ProductID],tblProducts[Supplier],"not found")</f>
        <v>Hubbard, Peterson and Stafford</v>
      </c>
      <c r="L1774" s="1">
        <v>45333</v>
      </c>
      <c r="M17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45333</v>
      </c>
      <c r="N1774">
        <v>2</v>
      </c>
      <c r="O1774">
        <v>606.34</v>
      </c>
      <c r="P1774">
        <f>tblOrders[[#This Row],[Quantity]]*tblOrders[[#This Row],[Unit Price]]</f>
        <v>606.34</v>
      </c>
      <c r="Q1774">
        <f>tblOrders[[#This Row],[TotalSales]]-tblOrders[[#This Row],[Calculated Sales]]</f>
        <v>0</v>
      </c>
    </row>
    <row r="1775" spans="1:17" x14ac:dyDescent="0.25">
      <c r="A1775">
        <v>1995</v>
      </c>
      <c r="B1775">
        <v>456</v>
      </c>
      <c r="C1775" t="str">
        <f>_xlfn.XLOOKUP(tblOrders[[#This Row],[CustomerID]],tblCustomers[CustomerID],tblCustomers[CustomerName],"not found")</f>
        <v>Valerie Mays</v>
      </c>
      <c r="D1775">
        <f>_xlfn.XLOOKUP(tblOrders[[#This Row],[CustomerID]],tblCustomers[CustomerID],tblCustomers[Age],"not found")</f>
        <v>50</v>
      </c>
      <c r="E1775" t="str">
        <f>_xlfn.XLOOKUP(tblOrders[[#This Row],[CustomerID]],tblCustomers[CustomerID],tblCustomers[Gender],"not found")</f>
        <v>Male</v>
      </c>
      <c r="F1775" t="str">
        <f>_xlfn.XLOOKUP(tblOrders[[#This Row],[CustomerID]],tblCustomers[CustomerID],tblCustomers[Region],"not found")</f>
        <v>West</v>
      </c>
      <c r="G1775">
        <v>1019</v>
      </c>
      <c r="H1775" t="str">
        <f>_xlfn.XLOOKUP(tblOrders[[#This Row],[ProductID]],tblProducts[ProductID],tblProducts[ProductName],"not found")</f>
        <v>Fast</v>
      </c>
      <c r="I1775" t="str">
        <f>_xlfn.XLOOKUP(tblOrders[[#This Row],[ProductID]],tblProducts[ProductID],tblProducts[Category],"not found")</f>
        <v>Toys</v>
      </c>
      <c r="J1775">
        <f>_xlfn.XLOOKUP(tblOrders[[#This Row],[ProductID]],tblProducts[ProductID],tblProducts[UnitPrice],"not found")</f>
        <v>303.17</v>
      </c>
      <c r="K1775" t="str">
        <f>_xlfn.XLOOKUP(tblOrders[[#This Row],[ProductID]],tblProducts[ProductID],tblProducts[Supplier],"not found")</f>
        <v>Hubbard, Peterson and Stafford</v>
      </c>
      <c r="L1775" s="1" t="s">
        <v>2373</v>
      </c>
      <c r="M17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45461</v>
      </c>
      <c r="N1775">
        <v>7</v>
      </c>
      <c r="O1775">
        <v>2122.19</v>
      </c>
      <c r="P1775">
        <f>tblOrders[[#This Row],[Quantity]]*tblOrders[[#This Row],[Unit Price]]</f>
        <v>2122.19</v>
      </c>
      <c r="Q1775">
        <f>tblOrders[[#This Row],[TotalSales]]-tblOrders[[#This Row],[Calculated Sales]]</f>
        <v>0</v>
      </c>
    </row>
    <row r="1776" spans="1:17" x14ac:dyDescent="0.25">
      <c r="A1776">
        <v>181</v>
      </c>
      <c r="B1776">
        <v>981</v>
      </c>
      <c r="C1776" t="str">
        <f>_xlfn.XLOOKUP(tblOrders[[#This Row],[CustomerID]],tblCustomers[CustomerID],tblCustomers[CustomerName],"not found")</f>
        <v>Eric Orozco</v>
      </c>
      <c r="D1776">
        <f>_xlfn.XLOOKUP(tblOrders[[#This Row],[CustomerID]],tblCustomers[CustomerID],tblCustomers[Age],"not found")</f>
        <v>22</v>
      </c>
      <c r="E1776" t="str">
        <f>_xlfn.XLOOKUP(tblOrders[[#This Row],[CustomerID]],tblCustomers[CustomerID],tblCustomers[Gender],"not found")</f>
        <v>Female</v>
      </c>
      <c r="F1776" t="str">
        <f>_xlfn.XLOOKUP(tblOrders[[#This Row],[CustomerID]],tblCustomers[CustomerID],tblCustomers[Region],"not found")</f>
        <v>North</v>
      </c>
      <c r="G1776">
        <v>1048</v>
      </c>
      <c r="H1776" t="str">
        <f>_xlfn.XLOOKUP(tblOrders[[#This Row],[ProductID]],tblProducts[ProductID],tblProducts[ProductName],"not found")</f>
        <v>Again</v>
      </c>
      <c r="I1776" t="str">
        <f>_xlfn.XLOOKUP(tblOrders[[#This Row],[ProductID]],tblProducts[ProductID],tblProducts[Category],"not found")</f>
        <v>Furniture</v>
      </c>
      <c r="J1776">
        <f>_xlfn.XLOOKUP(tblOrders[[#This Row],[ProductID]],tblProducts[ProductID],tblProducts[UnitPrice],"not found")</f>
        <v>217.37</v>
      </c>
      <c r="K1776" t="str">
        <f>_xlfn.XLOOKUP(tblOrders[[#This Row],[ProductID]],tblProducts[ProductID],tblProducts[Supplier],"not found")</f>
        <v>Dixon, Bell and Smith</v>
      </c>
      <c r="L1776" s="1" t="s">
        <v>2085</v>
      </c>
      <c r="M17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45530</v>
      </c>
      <c r="N1776">
        <v>8</v>
      </c>
      <c r="O1776">
        <v>1738.96</v>
      </c>
      <c r="P1776">
        <f>tblOrders[[#This Row],[Quantity]]*tblOrders[[#This Row],[Unit Price]]</f>
        <v>1738.96</v>
      </c>
      <c r="Q1776">
        <f>tblOrders[[#This Row],[TotalSales]]-tblOrders[[#This Row],[Calculated Sales]]</f>
        <v>0</v>
      </c>
    </row>
    <row r="1777" spans="1:17" x14ac:dyDescent="0.25">
      <c r="A1777">
        <v>218</v>
      </c>
      <c r="B1777">
        <v>440</v>
      </c>
      <c r="C1777" t="str">
        <f>_xlfn.XLOOKUP(tblOrders[[#This Row],[CustomerID]],tblCustomers[CustomerID],tblCustomers[CustomerName],"not found")</f>
        <v>Michael Fisher</v>
      </c>
      <c r="D1777">
        <f>_xlfn.XLOOKUP(tblOrders[[#This Row],[CustomerID]],tblCustomers[CustomerID],tblCustomers[Age],"not found")</f>
        <v>47</v>
      </c>
      <c r="E1777" t="str">
        <f>_xlfn.XLOOKUP(tblOrders[[#This Row],[CustomerID]],tblCustomers[CustomerID],tblCustomers[Gender],"not found")</f>
        <v>Female</v>
      </c>
      <c r="F1777" t="str">
        <f>_xlfn.XLOOKUP(tblOrders[[#This Row],[CustomerID]],tblCustomers[CustomerID],tblCustomers[Region],"not found")</f>
        <v>West</v>
      </c>
      <c r="G1777">
        <v>1048</v>
      </c>
      <c r="H1777" t="str">
        <f>_xlfn.XLOOKUP(tblOrders[[#This Row],[ProductID]],tblProducts[ProductID],tblProducts[ProductName],"not found")</f>
        <v>Again</v>
      </c>
      <c r="I1777" t="str">
        <f>_xlfn.XLOOKUP(tblOrders[[#This Row],[ProductID]],tblProducts[ProductID],tblProducts[Category],"not found")</f>
        <v>Furniture</v>
      </c>
      <c r="J1777">
        <f>_xlfn.XLOOKUP(tblOrders[[#This Row],[ProductID]],tblProducts[ProductID],tblProducts[UnitPrice],"not found")</f>
        <v>217.37</v>
      </c>
      <c r="K1777" t="str">
        <f>_xlfn.XLOOKUP(tblOrders[[#This Row],[ProductID]],tblProducts[ProductID],tblProducts[Supplier],"not found")</f>
        <v>Dixon, Bell and Smith</v>
      </c>
      <c r="L1777" s="1" t="s">
        <v>2343</v>
      </c>
      <c r="M17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44957</v>
      </c>
      <c r="N1777">
        <v>5</v>
      </c>
      <c r="O1777">
        <v>1086.8499999999999</v>
      </c>
      <c r="P1777">
        <f>tblOrders[[#This Row],[Quantity]]*tblOrders[[#This Row],[Unit Price]]</f>
        <v>1086.8499999999999</v>
      </c>
      <c r="Q1777">
        <f>tblOrders[[#This Row],[TotalSales]]-tblOrders[[#This Row],[Calculated Sales]]</f>
        <v>0</v>
      </c>
    </row>
    <row r="1778" spans="1:17" x14ac:dyDescent="0.25">
      <c r="A1778">
        <v>449</v>
      </c>
      <c r="B1778">
        <v>893</v>
      </c>
      <c r="C1778" t="str">
        <f>_xlfn.XLOOKUP(tblOrders[[#This Row],[CustomerID]],tblCustomers[CustomerID],tblCustomers[CustomerName],"not found")</f>
        <v>Kelli Green</v>
      </c>
      <c r="D1778">
        <f>_xlfn.XLOOKUP(tblOrders[[#This Row],[CustomerID]],tblCustomers[CustomerID],tblCustomers[Age],"not found")</f>
        <v>20</v>
      </c>
      <c r="E1778" t="str">
        <f>_xlfn.XLOOKUP(tblOrders[[#This Row],[CustomerID]],tblCustomers[CustomerID],tblCustomers[Gender],"not found")</f>
        <v>Female</v>
      </c>
      <c r="F1778" t="str">
        <f>_xlfn.XLOOKUP(tblOrders[[#This Row],[CustomerID]],tblCustomers[CustomerID],tblCustomers[Region],"not found")</f>
        <v>Central</v>
      </c>
      <c r="G1778">
        <v>1048</v>
      </c>
      <c r="H1778" t="str">
        <f>_xlfn.XLOOKUP(tblOrders[[#This Row],[ProductID]],tblProducts[ProductID],tblProducts[ProductName],"not found")</f>
        <v>Again</v>
      </c>
      <c r="I1778" t="str">
        <f>_xlfn.XLOOKUP(tblOrders[[#This Row],[ProductID]],tblProducts[ProductID],tblProducts[Category],"not found")</f>
        <v>Furniture</v>
      </c>
      <c r="J1778">
        <f>_xlfn.XLOOKUP(tblOrders[[#This Row],[ProductID]],tblProducts[ProductID],tblProducts[UnitPrice],"not found")</f>
        <v>217.37</v>
      </c>
      <c r="K1778" t="str">
        <f>_xlfn.XLOOKUP(tblOrders[[#This Row],[ProductID]],tblProducts[ProductID],tblProducts[Supplier],"not found")</f>
        <v>Dixon, Bell and Smith</v>
      </c>
      <c r="L1778" s="1" t="s">
        <v>2392</v>
      </c>
      <c r="M17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44946</v>
      </c>
      <c r="N1778">
        <v>3</v>
      </c>
      <c r="O1778">
        <v>652.11</v>
      </c>
      <c r="P1778">
        <f>tblOrders[[#This Row],[Quantity]]*tblOrders[[#This Row],[Unit Price]]</f>
        <v>652.11</v>
      </c>
      <c r="Q1778">
        <f>tblOrders[[#This Row],[TotalSales]]-tblOrders[[#This Row],[Calculated Sales]]</f>
        <v>0</v>
      </c>
    </row>
    <row r="1779" spans="1:17" x14ac:dyDescent="0.25">
      <c r="A1779">
        <v>461</v>
      </c>
      <c r="B1779">
        <v>314</v>
      </c>
      <c r="C1779" t="str">
        <f>_xlfn.XLOOKUP(tblOrders[[#This Row],[CustomerID]],tblCustomers[CustomerID],tblCustomers[CustomerName],"not found")</f>
        <v>Douglas Kelly</v>
      </c>
      <c r="D1779">
        <f>_xlfn.XLOOKUP(tblOrders[[#This Row],[CustomerID]],tblCustomers[CustomerID],tblCustomers[Age],"not found")</f>
        <v>23</v>
      </c>
      <c r="E1779" t="str">
        <f>_xlfn.XLOOKUP(tblOrders[[#This Row],[CustomerID]],tblCustomers[CustomerID],tblCustomers[Gender],"not found")</f>
        <v>Male</v>
      </c>
      <c r="F1779" t="str">
        <f>_xlfn.XLOOKUP(tblOrders[[#This Row],[CustomerID]],tblCustomers[CustomerID],tblCustomers[Region],"not found")</f>
        <v>West</v>
      </c>
      <c r="G1779">
        <v>1048</v>
      </c>
      <c r="H1779" t="str">
        <f>_xlfn.XLOOKUP(tblOrders[[#This Row],[ProductID]],tblProducts[ProductID],tblProducts[ProductName],"not found")</f>
        <v>Again</v>
      </c>
      <c r="I1779" t="str">
        <f>_xlfn.XLOOKUP(tblOrders[[#This Row],[ProductID]],tblProducts[ProductID],tblProducts[Category],"not found")</f>
        <v>Furniture</v>
      </c>
      <c r="J1779">
        <f>_xlfn.XLOOKUP(tblOrders[[#This Row],[ProductID]],tblProducts[ProductID],tblProducts[UnitPrice],"not found")</f>
        <v>217.37</v>
      </c>
      <c r="K1779" t="str">
        <f>_xlfn.XLOOKUP(tblOrders[[#This Row],[ProductID]],tblProducts[ProductID],tblProducts[Supplier],"not found")</f>
        <v>Dixon, Bell and Smith</v>
      </c>
      <c r="L1779" s="1">
        <v>45112</v>
      </c>
      <c r="M17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45112</v>
      </c>
      <c r="N1779">
        <v>1</v>
      </c>
      <c r="O1779">
        <v>217.37</v>
      </c>
      <c r="P1779">
        <f>tblOrders[[#This Row],[Quantity]]*tblOrders[[#This Row],[Unit Price]]</f>
        <v>217.37</v>
      </c>
      <c r="Q1779">
        <f>tblOrders[[#This Row],[TotalSales]]-tblOrders[[#This Row],[Calculated Sales]]</f>
        <v>0</v>
      </c>
    </row>
    <row r="1780" spans="1:17" x14ac:dyDescent="0.25">
      <c r="A1780">
        <v>524</v>
      </c>
      <c r="B1780">
        <v>652</v>
      </c>
      <c r="C1780" t="str">
        <f>_xlfn.XLOOKUP(tblOrders[[#This Row],[CustomerID]],tblCustomers[CustomerID],tblCustomers[CustomerName],"not found")</f>
        <v>Chad Ward</v>
      </c>
      <c r="D1780">
        <f>_xlfn.XLOOKUP(tblOrders[[#This Row],[CustomerID]],tblCustomers[CustomerID],tblCustomers[Age],"not found")</f>
        <v>67</v>
      </c>
      <c r="E1780" t="str">
        <f>_xlfn.XLOOKUP(tblOrders[[#This Row],[CustomerID]],tblCustomers[CustomerID],tblCustomers[Gender],"not found")</f>
        <v>Female</v>
      </c>
      <c r="F1780" t="str">
        <f>_xlfn.XLOOKUP(tblOrders[[#This Row],[CustomerID]],tblCustomers[CustomerID],tblCustomers[Region],"not found")</f>
        <v>Central</v>
      </c>
      <c r="G1780">
        <v>1048</v>
      </c>
      <c r="H1780" t="str">
        <f>_xlfn.XLOOKUP(tblOrders[[#This Row],[ProductID]],tblProducts[ProductID],tblProducts[ProductName],"not found")</f>
        <v>Again</v>
      </c>
      <c r="I1780" t="str">
        <f>_xlfn.XLOOKUP(tblOrders[[#This Row],[ProductID]],tblProducts[ProductID],tblProducts[Category],"not found")</f>
        <v>Furniture</v>
      </c>
      <c r="J1780">
        <f>_xlfn.XLOOKUP(tblOrders[[#This Row],[ProductID]],tblProducts[ProductID],tblProducts[UnitPrice],"not found")</f>
        <v>217.37</v>
      </c>
      <c r="K1780" t="str">
        <f>_xlfn.XLOOKUP(tblOrders[[#This Row],[ProductID]],tblProducts[ProductID],tblProducts[Supplier],"not found")</f>
        <v>Dixon, Bell and Smith</v>
      </c>
      <c r="L1780" s="1">
        <v>45081</v>
      </c>
      <c r="M17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45081</v>
      </c>
      <c r="N1780">
        <v>9</v>
      </c>
      <c r="O1780">
        <v>1956.33</v>
      </c>
      <c r="P1780">
        <f>tblOrders[[#This Row],[Quantity]]*tblOrders[[#This Row],[Unit Price]]</f>
        <v>1956.33</v>
      </c>
      <c r="Q1780">
        <f>tblOrders[[#This Row],[TotalSales]]-tblOrders[[#This Row],[Calculated Sales]]</f>
        <v>0</v>
      </c>
    </row>
    <row r="1781" spans="1:17" x14ac:dyDescent="0.25">
      <c r="A1781">
        <v>591</v>
      </c>
      <c r="B1781">
        <v>424</v>
      </c>
      <c r="C1781" t="str">
        <f>_xlfn.XLOOKUP(tblOrders[[#This Row],[CustomerID]],tblCustomers[CustomerID],tblCustomers[CustomerName],"not found")</f>
        <v>Thomas Sanchez</v>
      </c>
      <c r="D1781">
        <f>_xlfn.XLOOKUP(tblOrders[[#This Row],[CustomerID]],tblCustomers[CustomerID],tblCustomers[Age],"not found")</f>
        <v>27</v>
      </c>
      <c r="E1781" t="str">
        <f>_xlfn.XLOOKUP(tblOrders[[#This Row],[CustomerID]],tblCustomers[CustomerID],tblCustomers[Gender],"not found")</f>
        <v>Male</v>
      </c>
      <c r="F1781" t="str">
        <f>_xlfn.XLOOKUP(tblOrders[[#This Row],[CustomerID]],tblCustomers[CustomerID],tblCustomers[Region],"not found")</f>
        <v>South</v>
      </c>
      <c r="G1781">
        <v>1048</v>
      </c>
      <c r="H1781" t="str">
        <f>_xlfn.XLOOKUP(tblOrders[[#This Row],[ProductID]],tblProducts[ProductID],tblProducts[ProductName],"not found")</f>
        <v>Again</v>
      </c>
      <c r="I1781" t="str">
        <f>_xlfn.XLOOKUP(tblOrders[[#This Row],[ProductID]],tblProducts[ProductID],tblProducts[Category],"not found")</f>
        <v>Furniture</v>
      </c>
      <c r="J1781">
        <f>_xlfn.XLOOKUP(tblOrders[[#This Row],[ProductID]],tblProducts[ProductID],tblProducts[UnitPrice],"not found")</f>
        <v>217.37</v>
      </c>
      <c r="K1781" t="str">
        <f>_xlfn.XLOOKUP(tblOrders[[#This Row],[ProductID]],tblProducts[ProductID],tblProducts[Supplier],"not found")</f>
        <v>Dixon, Bell and Smith</v>
      </c>
      <c r="L1781" s="1" t="s">
        <v>2029</v>
      </c>
      <c r="M17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45348</v>
      </c>
      <c r="N1781">
        <v>7</v>
      </c>
      <c r="O1781">
        <v>1521.59</v>
      </c>
      <c r="P1781">
        <f>tblOrders[[#This Row],[Quantity]]*tblOrders[[#This Row],[Unit Price]]</f>
        <v>1521.5900000000001</v>
      </c>
      <c r="Q1781">
        <f>tblOrders[[#This Row],[TotalSales]]-tblOrders[[#This Row],[Calculated Sales]]</f>
        <v>0</v>
      </c>
    </row>
    <row r="1782" spans="1:17" x14ac:dyDescent="0.25">
      <c r="A1782">
        <v>688</v>
      </c>
      <c r="B1782">
        <v>843</v>
      </c>
      <c r="C1782" t="str">
        <f>_xlfn.XLOOKUP(tblOrders[[#This Row],[CustomerID]],tblCustomers[CustomerID],tblCustomers[CustomerName],"not found")</f>
        <v>Deborah Wilson</v>
      </c>
      <c r="D1782">
        <f>_xlfn.XLOOKUP(tblOrders[[#This Row],[CustomerID]],tblCustomers[CustomerID],tblCustomers[Age],"not found")</f>
        <v>54</v>
      </c>
      <c r="E1782" t="str">
        <f>_xlfn.XLOOKUP(tblOrders[[#This Row],[CustomerID]],tblCustomers[CustomerID],tblCustomers[Gender],"not found")</f>
        <v>Female</v>
      </c>
      <c r="F1782" t="str">
        <f>_xlfn.XLOOKUP(tblOrders[[#This Row],[CustomerID]],tblCustomers[CustomerID],tblCustomers[Region],"not found")</f>
        <v>East</v>
      </c>
      <c r="G1782">
        <v>1048</v>
      </c>
      <c r="H1782" t="str">
        <f>_xlfn.XLOOKUP(tblOrders[[#This Row],[ProductID]],tblProducts[ProductID],tblProducts[ProductName],"not found")</f>
        <v>Again</v>
      </c>
      <c r="I1782" t="str">
        <f>_xlfn.XLOOKUP(tblOrders[[#This Row],[ProductID]],tblProducts[ProductID],tblProducts[Category],"not found")</f>
        <v>Furniture</v>
      </c>
      <c r="J1782">
        <f>_xlfn.XLOOKUP(tblOrders[[#This Row],[ProductID]],tblProducts[ProductID],tblProducts[UnitPrice],"not found")</f>
        <v>217.37</v>
      </c>
      <c r="K1782" t="str">
        <f>_xlfn.XLOOKUP(tblOrders[[#This Row],[ProductID]],tblProducts[ProductID],tblProducts[Supplier],"not found")</f>
        <v>Dixon, Bell and Smith</v>
      </c>
      <c r="L1782" s="1" t="s">
        <v>2413</v>
      </c>
      <c r="M17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44917</v>
      </c>
      <c r="N1782">
        <v>5</v>
      </c>
      <c r="O1782">
        <v>1086.8499999999999</v>
      </c>
      <c r="P1782">
        <f>tblOrders[[#This Row],[Quantity]]*tblOrders[[#This Row],[Unit Price]]</f>
        <v>1086.8499999999999</v>
      </c>
      <c r="Q1782">
        <f>tblOrders[[#This Row],[TotalSales]]-tblOrders[[#This Row],[Calculated Sales]]</f>
        <v>0</v>
      </c>
    </row>
    <row r="1783" spans="1:17" x14ac:dyDescent="0.25">
      <c r="A1783">
        <v>1147</v>
      </c>
      <c r="B1783">
        <v>963</v>
      </c>
      <c r="C1783" t="str">
        <f>_xlfn.XLOOKUP(tblOrders[[#This Row],[CustomerID]],tblCustomers[CustomerID],tblCustomers[CustomerName],"not found")</f>
        <v>Mrs. Lisa Torres</v>
      </c>
      <c r="D1783">
        <f>_xlfn.XLOOKUP(tblOrders[[#This Row],[CustomerID]],tblCustomers[CustomerID],tblCustomers[Age],"not found")</f>
        <v>41</v>
      </c>
      <c r="E1783" t="str">
        <f>_xlfn.XLOOKUP(tblOrders[[#This Row],[CustomerID]],tblCustomers[CustomerID],tblCustomers[Gender],"not found")</f>
        <v>Female</v>
      </c>
      <c r="F1783" t="str">
        <f>_xlfn.XLOOKUP(tblOrders[[#This Row],[CustomerID]],tblCustomers[CustomerID],tblCustomers[Region],"not found")</f>
        <v>South</v>
      </c>
      <c r="G1783">
        <v>1048</v>
      </c>
      <c r="H1783" t="str">
        <f>_xlfn.XLOOKUP(tblOrders[[#This Row],[ProductID]],tblProducts[ProductID],tblProducts[ProductName],"not found")</f>
        <v>Again</v>
      </c>
      <c r="I1783" t="str">
        <f>_xlfn.XLOOKUP(tblOrders[[#This Row],[ProductID]],tblProducts[ProductID],tblProducts[Category],"not found")</f>
        <v>Furniture</v>
      </c>
      <c r="J1783">
        <f>_xlfn.XLOOKUP(tblOrders[[#This Row],[ProductID]],tblProducts[ProductID],tblProducts[UnitPrice],"not found")</f>
        <v>217.37</v>
      </c>
      <c r="K1783" t="str">
        <f>_xlfn.XLOOKUP(tblOrders[[#This Row],[ProductID]],tblProducts[ProductID],tblProducts[Supplier],"not found")</f>
        <v>Dixon, Bell and Smith</v>
      </c>
      <c r="L1783" s="1">
        <v>45600</v>
      </c>
      <c r="M17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45600</v>
      </c>
      <c r="N1783">
        <v>1</v>
      </c>
      <c r="O1783">
        <v>217.37</v>
      </c>
      <c r="P1783">
        <f>tblOrders[[#This Row],[Quantity]]*tblOrders[[#This Row],[Unit Price]]</f>
        <v>217.37</v>
      </c>
      <c r="Q1783">
        <f>tblOrders[[#This Row],[TotalSales]]-tblOrders[[#This Row],[Calculated Sales]]</f>
        <v>0</v>
      </c>
    </row>
    <row r="1784" spans="1:17" x14ac:dyDescent="0.25">
      <c r="A1784">
        <v>1169</v>
      </c>
      <c r="B1784">
        <v>539</v>
      </c>
      <c r="C1784" t="str">
        <f>_xlfn.XLOOKUP(tblOrders[[#This Row],[CustomerID]],tblCustomers[CustomerID],tblCustomers[CustomerName],"not found")</f>
        <v>Ashley Hensley</v>
      </c>
      <c r="D1784">
        <f>_xlfn.XLOOKUP(tblOrders[[#This Row],[CustomerID]],tblCustomers[CustomerID],tblCustomers[Age],"not found")</f>
        <v>21</v>
      </c>
      <c r="E1784" t="str">
        <f>_xlfn.XLOOKUP(tblOrders[[#This Row],[CustomerID]],tblCustomers[CustomerID],tblCustomers[Gender],"not found")</f>
        <v>Female</v>
      </c>
      <c r="F1784" t="str">
        <f>_xlfn.XLOOKUP(tblOrders[[#This Row],[CustomerID]],tblCustomers[CustomerID],tblCustomers[Region],"not found")</f>
        <v>North</v>
      </c>
      <c r="G1784">
        <v>1048</v>
      </c>
      <c r="H1784" t="str">
        <f>_xlfn.XLOOKUP(tblOrders[[#This Row],[ProductID]],tblProducts[ProductID],tblProducts[ProductName],"not found")</f>
        <v>Again</v>
      </c>
      <c r="I1784" t="str">
        <f>_xlfn.XLOOKUP(tblOrders[[#This Row],[ProductID]],tblProducts[ProductID],tblProducts[Category],"not found")</f>
        <v>Furniture</v>
      </c>
      <c r="J1784">
        <f>_xlfn.XLOOKUP(tblOrders[[#This Row],[ProductID]],tblProducts[ProductID],tblProducts[UnitPrice],"not found")</f>
        <v>217.37</v>
      </c>
      <c r="K1784" t="str">
        <f>_xlfn.XLOOKUP(tblOrders[[#This Row],[ProductID]],tblProducts[ProductID],tblProducts[Supplier],"not found")</f>
        <v>Dixon, Bell and Smith</v>
      </c>
      <c r="L1784" s="1" t="s">
        <v>2333</v>
      </c>
      <c r="M17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45320</v>
      </c>
      <c r="N1784">
        <v>8</v>
      </c>
      <c r="O1784">
        <v>1738.96</v>
      </c>
      <c r="P1784">
        <f>tblOrders[[#This Row],[Quantity]]*tblOrders[[#This Row],[Unit Price]]</f>
        <v>1738.96</v>
      </c>
      <c r="Q1784">
        <f>tblOrders[[#This Row],[TotalSales]]-tblOrders[[#This Row],[Calculated Sales]]</f>
        <v>0</v>
      </c>
    </row>
    <row r="1785" spans="1:17" x14ac:dyDescent="0.25">
      <c r="A1785">
        <v>1324</v>
      </c>
      <c r="B1785">
        <v>973</v>
      </c>
      <c r="C1785" t="str">
        <f>_xlfn.XLOOKUP(tblOrders[[#This Row],[CustomerID]],tblCustomers[CustomerID],tblCustomers[CustomerName],"not found")</f>
        <v>Kathy Moore</v>
      </c>
      <c r="D1785">
        <f>_xlfn.XLOOKUP(tblOrders[[#This Row],[CustomerID]],tblCustomers[CustomerID],tblCustomers[Age],"not found")</f>
        <v>31</v>
      </c>
      <c r="E1785" t="str">
        <f>_xlfn.XLOOKUP(tblOrders[[#This Row],[CustomerID]],tblCustomers[CustomerID],tblCustomers[Gender],"not found")</f>
        <v>Female</v>
      </c>
      <c r="F1785" t="str">
        <f>_xlfn.XLOOKUP(tblOrders[[#This Row],[CustomerID]],tblCustomers[CustomerID],tblCustomers[Region],"not found")</f>
        <v>North</v>
      </c>
      <c r="G1785">
        <v>1048</v>
      </c>
      <c r="H1785" t="str">
        <f>_xlfn.XLOOKUP(tblOrders[[#This Row],[ProductID]],tblProducts[ProductID],tblProducts[ProductName],"not found")</f>
        <v>Again</v>
      </c>
      <c r="I1785" t="str">
        <f>_xlfn.XLOOKUP(tblOrders[[#This Row],[ProductID]],tblProducts[ProductID],tblProducts[Category],"not found")</f>
        <v>Furniture</v>
      </c>
      <c r="J1785">
        <f>_xlfn.XLOOKUP(tblOrders[[#This Row],[ProductID]],tblProducts[ProductID],tblProducts[UnitPrice],"not found")</f>
        <v>217.37</v>
      </c>
      <c r="K1785" t="str">
        <f>_xlfn.XLOOKUP(tblOrders[[#This Row],[ProductID]],tblProducts[ProductID],tblProducts[Supplier],"not found")</f>
        <v>Dixon, Bell and Smith</v>
      </c>
      <c r="L1785" s="1">
        <v>45391</v>
      </c>
      <c r="M17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45391</v>
      </c>
      <c r="N1785">
        <v>6</v>
      </c>
      <c r="O1785">
        <v>1304.22</v>
      </c>
      <c r="P1785">
        <f>tblOrders[[#This Row],[Quantity]]*tblOrders[[#This Row],[Unit Price]]</f>
        <v>1304.22</v>
      </c>
      <c r="Q1785">
        <f>tblOrders[[#This Row],[TotalSales]]-tblOrders[[#This Row],[Calculated Sales]]</f>
        <v>0</v>
      </c>
    </row>
    <row r="1786" spans="1:17" x14ac:dyDescent="0.25">
      <c r="A1786">
        <v>1458</v>
      </c>
      <c r="B1786">
        <v>335</v>
      </c>
      <c r="C1786" t="str">
        <f>_xlfn.XLOOKUP(tblOrders[[#This Row],[CustomerID]],tblCustomers[CustomerID],tblCustomers[CustomerName],"not found")</f>
        <v>John Lane</v>
      </c>
      <c r="D1786">
        <f>_xlfn.XLOOKUP(tblOrders[[#This Row],[CustomerID]],tblCustomers[CustomerID],tblCustomers[Age],"not found")</f>
        <v>39</v>
      </c>
      <c r="E1786" t="str">
        <f>_xlfn.XLOOKUP(tblOrders[[#This Row],[CustomerID]],tblCustomers[CustomerID],tblCustomers[Gender],"not found")</f>
        <v>Male</v>
      </c>
      <c r="F1786" t="str">
        <f>_xlfn.XLOOKUP(tblOrders[[#This Row],[CustomerID]],tblCustomers[CustomerID],tblCustomers[Region],"not found")</f>
        <v>West</v>
      </c>
      <c r="G1786">
        <v>1048</v>
      </c>
      <c r="H1786" t="str">
        <f>_xlfn.XLOOKUP(tblOrders[[#This Row],[ProductID]],tblProducts[ProductID],tblProducts[ProductName],"not found")</f>
        <v>Again</v>
      </c>
      <c r="I1786" t="str">
        <f>_xlfn.XLOOKUP(tblOrders[[#This Row],[ProductID]],tblProducts[ProductID],tblProducts[Category],"not found")</f>
        <v>Furniture</v>
      </c>
      <c r="J1786">
        <f>_xlfn.XLOOKUP(tblOrders[[#This Row],[ProductID]],tblProducts[ProductID],tblProducts[UnitPrice],"not found")</f>
        <v>217.37</v>
      </c>
      <c r="K1786" t="str">
        <f>_xlfn.XLOOKUP(tblOrders[[#This Row],[ProductID]],tblProducts[ProductID],tblProducts[Supplier],"not found")</f>
        <v>Dixon, Bell and Smith</v>
      </c>
      <c r="L1786" s="1">
        <v>45605</v>
      </c>
      <c r="M17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45605</v>
      </c>
      <c r="N1786">
        <v>8</v>
      </c>
      <c r="O1786">
        <v>1738.96</v>
      </c>
      <c r="P1786">
        <f>tblOrders[[#This Row],[Quantity]]*tblOrders[[#This Row],[Unit Price]]</f>
        <v>1738.96</v>
      </c>
      <c r="Q1786">
        <f>tblOrders[[#This Row],[TotalSales]]-tblOrders[[#This Row],[Calculated Sales]]</f>
        <v>0</v>
      </c>
    </row>
    <row r="1787" spans="1:17" x14ac:dyDescent="0.25">
      <c r="A1787">
        <v>1515</v>
      </c>
      <c r="B1787">
        <v>217</v>
      </c>
      <c r="C1787" t="str">
        <f>_xlfn.XLOOKUP(tblOrders[[#This Row],[CustomerID]],tblCustomers[CustomerID],tblCustomers[CustomerName],"not found")</f>
        <v>Sarah Erickson</v>
      </c>
      <c r="D1787">
        <f>_xlfn.XLOOKUP(tblOrders[[#This Row],[CustomerID]],tblCustomers[CustomerID],tblCustomers[Age],"not found")</f>
        <v>39</v>
      </c>
      <c r="E1787" t="str">
        <f>_xlfn.XLOOKUP(tblOrders[[#This Row],[CustomerID]],tblCustomers[CustomerID],tblCustomers[Gender],"not found")</f>
        <v>Female</v>
      </c>
      <c r="F1787" t="str">
        <f>_xlfn.XLOOKUP(tblOrders[[#This Row],[CustomerID]],tblCustomers[CustomerID],tblCustomers[Region],"not found")</f>
        <v>West</v>
      </c>
      <c r="G1787">
        <v>1048</v>
      </c>
      <c r="H1787" t="str">
        <f>_xlfn.XLOOKUP(tblOrders[[#This Row],[ProductID]],tblProducts[ProductID],tblProducts[ProductName],"not found")</f>
        <v>Again</v>
      </c>
      <c r="I1787" t="str">
        <f>_xlfn.XLOOKUP(tblOrders[[#This Row],[ProductID]],tblProducts[ProductID],tblProducts[Category],"not found")</f>
        <v>Furniture</v>
      </c>
      <c r="J1787">
        <f>_xlfn.XLOOKUP(tblOrders[[#This Row],[ProductID]],tblProducts[ProductID],tblProducts[UnitPrice],"not found")</f>
        <v>217.37</v>
      </c>
      <c r="K1787" t="str">
        <f>_xlfn.XLOOKUP(tblOrders[[#This Row],[ProductID]],tblProducts[ProductID],tblProducts[Supplier],"not found")</f>
        <v>Dixon, Bell and Smith</v>
      </c>
      <c r="L1787" s="1">
        <v>45269</v>
      </c>
      <c r="M17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45269</v>
      </c>
      <c r="N1787">
        <v>5</v>
      </c>
      <c r="O1787">
        <v>1086.8499999999999</v>
      </c>
      <c r="P1787">
        <f>tblOrders[[#This Row],[Quantity]]*tblOrders[[#This Row],[Unit Price]]</f>
        <v>1086.8499999999999</v>
      </c>
      <c r="Q1787">
        <f>tblOrders[[#This Row],[TotalSales]]-tblOrders[[#This Row],[Calculated Sales]]</f>
        <v>0</v>
      </c>
    </row>
    <row r="1788" spans="1:17" x14ac:dyDescent="0.25">
      <c r="A1788">
        <v>1538</v>
      </c>
      <c r="B1788">
        <v>206</v>
      </c>
      <c r="C1788" t="str">
        <f>_xlfn.XLOOKUP(tblOrders[[#This Row],[CustomerID]],tblCustomers[CustomerID],tblCustomers[CustomerName],"not found")</f>
        <v>April Miller</v>
      </c>
      <c r="D1788">
        <f>_xlfn.XLOOKUP(tblOrders[[#This Row],[CustomerID]],tblCustomers[CustomerID],tblCustomers[Age],"not found")</f>
        <v>42</v>
      </c>
      <c r="E1788" t="str">
        <f>_xlfn.XLOOKUP(tblOrders[[#This Row],[CustomerID]],tblCustomers[CustomerID],tblCustomers[Gender],"not found")</f>
        <v>Male</v>
      </c>
      <c r="F1788" t="str">
        <f>_xlfn.XLOOKUP(tblOrders[[#This Row],[CustomerID]],tblCustomers[CustomerID],tblCustomers[Region],"not found")</f>
        <v>North</v>
      </c>
      <c r="G1788">
        <v>1048</v>
      </c>
      <c r="H1788" t="str">
        <f>_xlfn.XLOOKUP(tblOrders[[#This Row],[ProductID]],tblProducts[ProductID],tblProducts[ProductName],"not found")</f>
        <v>Again</v>
      </c>
      <c r="I1788" t="str">
        <f>_xlfn.XLOOKUP(tblOrders[[#This Row],[ProductID]],tblProducts[ProductID],tblProducts[Category],"not found")</f>
        <v>Furniture</v>
      </c>
      <c r="J1788">
        <f>_xlfn.XLOOKUP(tblOrders[[#This Row],[ProductID]],tblProducts[ProductID],tblProducts[UnitPrice],"not found")</f>
        <v>217.37</v>
      </c>
      <c r="K1788" t="str">
        <f>_xlfn.XLOOKUP(tblOrders[[#This Row],[ProductID]],tblProducts[ProductID],tblProducts[Supplier],"not found")</f>
        <v>Dixon, Bell and Smith</v>
      </c>
      <c r="L1788" s="1" t="s">
        <v>2155</v>
      </c>
      <c r="M17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45584</v>
      </c>
      <c r="N1788">
        <v>2</v>
      </c>
      <c r="O1788">
        <v>434.74</v>
      </c>
      <c r="P1788">
        <f>tblOrders[[#This Row],[Quantity]]*tblOrders[[#This Row],[Unit Price]]</f>
        <v>434.74</v>
      </c>
      <c r="Q1788">
        <f>tblOrders[[#This Row],[TotalSales]]-tblOrders[[#This Row],[Calculated Sales]]</f>
        <v>0</v>
      </c>
    </row>
    <row r="1789" spans="1:17" x14ac:dyDescent="0.25">
      <c r="A1789">
        <v>1678</v>
      </c>
      <c r="B1789">
        <v>377</v>
      </c>
      <c r="C1789" t="str">
        <f>_xlfn.XLOOKUP(tblOrders[[#This Row],[CustomerID]],tblCustomers[CustomerID],tblCustomers[CustomerName],"not found")</f>
        <v>Dr. Colton Schneider DDS</v>
      </c>
      <c r="D1789">
        <f>_xlfn.XLOOKUP(tblOrders[[#This Row],[CustomerID]],tblCustomers[CustomerID],tblCustomers[Age],"not found")</f>
        <v>66</v>
      </c>
      <c r="E1789" t="str">
        <f>_xlfn.XLOOKUP(tblOrders[[#This Row],[CustomerID]],tblCustomers[CustomerID],tblCustomers[Gender],"not found")</f>
        <v>Female</v>
      </c>
      <c r="F1789" t="str">
        <f>_xlfn.XLOOKUP(tblOrders[[#This Row],[CustomerID]],tblCustomers[CustomerID],tblCustomers[Region],"not found")</f>
        <v>North</v>
      </c>
      <c r="G1789">
        <v>1048</v>
      </c>
      <c r="H1789" t="str">
        <f>_xlfn.XLOOKUP(tblOrders[[#This Row],[ProductID]],tblProducts[ProductID],tblProducts[ProductName],"not found")</f>
        <v>Again</v>
      </c>
      <c r="I1789" t="str">
        <f>_xlfn.XLOOKUP(tblOrders[[#This Row],[ProductID]],tblProducts[ProductID],tblProducts[Category],"not found")</f>
        <v>Furniture</v>
      </c>
      <c r="J1789">
        <f>_xlfn.XLOOKUP(tblOrders[[#This Row],[ProductID]],tblProducts[ProductID],tblProducts[UnitPrice],"not found")</f>
        <v>217.37</v>
      </c>
      <c r="K1789" t="str">
        <f>_xlfn.XLOOKUP(tblOrders[[#This Row],[ProductID]],tblProducts[ProductID],tblProducts[Supplier],"not found")</f>
        <v>Dixon, Bell and Smith</v>
      </c>
      <c r="L1789" s="1" t="s">
        <v>2290</v>
      </c>
      <c r="M17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45189</v>
      </c>
      <c r="N1789">
        <v>8</v>
      </c>
      <c r="O1789">
        <v>1738.96</v>
      </c>
      <c r="P1789">
        <f>tblOrders[[#This Row],[Quantity]]*tblOrders[[#This Row],[Unit Price]]</f>
        <v>1738.96</v>
      </c>
      <c r="Q1789">
        <f>tblOrders[[#This Row],[TotalSales]]-tblOrders[[#This Row],[Calculated Sales]]</f>
        <v>0</v>
      </c>
    </row>
    <row r="1790" spans="1:17" x14ac:dyDescent="0.25">
      <c r="A1790">
        <v>1891</v>
      </c>
      <c r="B1790">
        <v>484</v>
      </c>
      <c r="C1790" t="str">
        <f>_xlfn.XLOOKUP(tblOrders[[#This Row],[CustomerID]],tblCustomers[CustomerID],tblCustomers[CustomerName],"not found")</f>
        <v>Joel Richardson</v>
      </c>
      <c r="D1790">
        <f>_xlfn.XLOOKUP(tblOrders[[#This Row],[CustomerID]],tblCustomers[CustomerID],tblCustomers[Age],"not found")</f>
        <v>52</v>
      </c>
      <c r="E1790" t="str">
        <f>_xlfn.XLOOKUP(tblOrders[[#This Row],[CustomerID]],tblCustomers[CustomerID],tblCustomers[Gender],"not found")</f>
        <v>Female</v>
      </c>
      <c r="F1790" t="str">
        <f>_xlfn.XLOOKUP(tblOrders[[#This Row],[CustomerID]],tblCustomers[CustomerID],tblCustomers[Region],"not found")</f>
        <v>East</v>
      </c>
      <c r="G1790">
        <v>1048</v>
      </c>
      <c r="H1790" t="str">
        <f>_xlfn.XLOOKUP(tblOrders[[#This Row],[ProductID]],tblProducts[ProductID],tblProducts[ProductName],"not found")</f>
        <v>Again</v>
      </c>
      <c r="I1790" t="str">
        <f>_xlfn.XLOOKUP(tblOrders[[#This Row],[ProductID]],tblProducts[ProductID],tblProducts[Category],"not found")</f>
        <v>Furniture</v>
      </c>
      <c r="J1790">
        <f>_xlfn.XLOOKUP(tblOrders[[#This Row],[ProductID]],tblProducts[ProductID],tblProducts[UnitPrice],"not found")</f>
        <v>217.37</v>
      </c>
      <c r="K1790" t="str">
        <f>_xlfn.XLOOKUP(tblOrders[[#This Row],[ProductID]],tblProducts[ProductID],tblProducts[Supplier],"not found")</f>
        <v>Dixon, Bell and Smith</v>
      </c>
      <c r="L1790" s="1" t="s">
        <v>2091</v>
      </c>
      <c r="M17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45426</v>
      </c>
      <c r="N1790">
        <v>8</v>
      </c>
      <c r="O1790">
        <v>1738.96</v>
      </c>
      <c r="P1790">
        <f>tblOrders[[#This Row],[Quantity]]*tblOrders[[#This Row],[Unit Price]]</f>
        <v>1738.96</v>
      </c>
      <c r="Q1790">
        <f>tblOrders[[#This Row],[TotalSales]]-tblOrders[[#This Row],[Calculated Sales]]</f>
        <v>0</v>
      </c>
    </row>
    <row r="1791" spans="1:17" x14ac:dyDescent="0.25">
      <c r="A1791">
        <v>1983</v>
      </c>
      <c r="B1791">
        <v>834</v>
      </c>
      <c r="C1791" t="str">
        <f>_xlfn.XLOOKUP(tblOrders[[#This Row],[CustomerID]],tblCustomers[CustomerID],tblCustomers[CustomerName],"not found")</f>
        <v>Randy Taylor</v>
      </c>
      <c r="D1791">
        <f>_xlfn.XLOOKUP(tblOrders[[#This Row],[CustomerID]],tblCustomers[CustomerID],tblCustomers[Age],"not found")</f>
        <v>18</v>
      </c>
      <c r="E1791" t="str">
        <f>_xlfn.XLOOKUP(tblOrders[[#This Row],[CustomerID]],tblCustomers[CustomerID],tblCustomers[Gender],"not found")</f>
        <v>Male</v>
      </c>
      <c r="F1791" t="str">
        <f>_xlfn.XLOOKUP(tblOrders[[#This Row],[CustomerID]],tblCustomers[CustomerID],tblCustomers[Region],"not found")</f>
        <v>North</v>
      </c>
      <c r="G1791">
        <v>1048</v>
      </c>
      <c r="H1791" t="str">
        <f>_xlfn.XLOOKUP(tblOrders[[#This Row],[ProductID]],tblProducts[ProductID],tblProducts[ProductName],"not found")</f>
        <v>Again</v>
      </c>
      <c r="I1791" t="str">
        <f>_xlfn.XLOOKUP(tblOrders[[#This Row],[ProductID]],tblProducts[ProductID],tblProducts[Category],"not found")</f>
        <v>Furniture</v>
      </c>
      <c r="J1791">
        <f>_xlfn.XLOOKUP(tblOrders[[#This Row],[ProductID]],tblProducts[ProductID],tblProducts[UnitPrice],"not found")</f>
        <v>217.37</v>
      </c>
      <c r="K1791" t="str">
        <f>_xlfn.XLOOKUP(tblOrders[[#This Row],[ProductID]],tblProducts[ProductID],tblProducts[Supplier],"not found")</f>
        <v>Dixon, Bell and Smith</v>
      </c>
      <c r="L1791" s="1" t="s">
        <v>2410</v>
      </c>
      <c r="M17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45365</v>
      </c>
      <c r="N1791">
        <v>8</v>
      </c>
      <c r="O1791">
        <v>1738.96</v>
      </c>
      <c r="P1791">
        <f>tblOrders[[#This Row],[Quantity]]*tblOrders[[#This Row],[Unit Price]]</f>
        <v>1738.96</v>
      </c>
      <c r="Q1791">
        <f>tblOrders[[#This Row],[TotalSales]]-tblOrders[[#This Row],[Calculated Sales]]</f>
        <v>0</v>
      </c>
    </row>
    <row r="1792" spans="1:17" x14ac:dyDescent="0.25">
      <c r="A1792">
        <v>184</v>
      </c>
      <c r="B1792">
        <v>680</v>
      </c>
      <c r="C1792" t="str">
        <f>_xlfn.XLOOKUP(tblOrders[[#This Row],[CustomerID]],tblCustomers[CustomerID],tblCustomers[CustomerName],"not found")</f>
        <v>Katrina Miller</v>
      </c>
      <c r="D1792">
        <f>_xlfn.XLOOKUP(tblOrders[[#This Row],[CustomerID]],tblCustomers[CustomerID],tblCustomers[Age],"not found")</f>
        <v>63</v>
      </c>
      <c r="E1792" t="str">
        <f>_xlfn.XLOOKUP(tblOrders[[#This Row],[CustomerID]],tblCustomers[CustomerID],tblCustomers[Gender],"not found")</f>
        <v>Male</v>
      </c>
      <c r="F1792" t="str">
        <f>_xlfn.XLOOKUP(tblOrders[[#This Row],[CustomerID]],tblCustomers[CustomerID],tblCustomers[Region],"not found")</f>
        <v>West</v>
      </c>
      <c r="G1792">
        <v>1009</v>
      </c>
      <c r="H1792" t="str">
        <f>_xlfn.XLOOKUP(tblOrders[[#This Row],[ProductID]],tblProducts[ProductID],tblProducts[ProductName],"not found")</f>
        <v>Parent</v>
      </c>
      <c r="I1792" t="str">
        <f>_xlfn.XLOOKUP(tblOrders[[#This Row],[ProductID]],tblProducts[ProductID],tblProducts[Category],"not found")</f>
        <v>Beauty</v>
      </c>
      <c r="J1792">
        <f>_xlfn.XLOOKUP(tblOrders[[#This Row],[ProductID]],tblProducts[ProductID],tblProducts[UnitPrice],"not found")</f>
        <v>50.94</v>
      </c>
      <c r="K1792" t="str">
        <f>_xlfn.XLOOKUP(tblOrders[[#This Row],[ProductID]],tblProducts[ProductID],tblProducts[Supplier],"not found")</f>
        <v>Gibson LLC</v>
      </c>
      <c r="L1792" s="1" t="s">
        <v>2057</v>
      </c>
      <c r="M17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44972</v>
      </c>
      <c r="N1792">
        <v>1</v>
      </c>
      <c r="O1792">
        <v>50.94</v>
      </c>
      <c r="P1792">
        <f>tblOrders[[#This Row],[Quantity]]*tblOrders[[#This Row],[Unit Price]]</f>
        <v>50.94</v>
      </c>
      <c r="Q1792">
        <f>tblOrders[[#This Row],[TotalSales]]-tblOrders[[#This Row],[Calculated Sales]]</f>
        <v>0</v>
      </c>
    </row>
    <row r="1793" spans="1:17" x14ac:dyDescent="0.25">
      <c r="A1793">
        <v>327</v>
      </c>
      <c r="B1793">
        <v>163</v>
      </c>
      <c r="C1793" t="str">
        <f>_xlfn.XLOOKUP(tblOrders[[#This Row],[CustomerID]],tblCustomers[CustomerID],tblCustomers[CustomerName],"not found")</f>
        <v>Chelsea Lopez</v>
      </c>
      <c r="D1793">
        <f>_xlfn.XLOOKUP(tblOrders[[#This Row],[CustomerID]],tblCustomers[CustomerID],tblCustomers[Age],"not found")</f>
        <v>37</v>
      </c>
      <c r="E1793" t="str">
        <f>_xlfn.XLOOKUP(tblOrders[[#This Row],[CustomerID]],tblCustomers[CustomerID],tblCustomers[Gender],"not found")</f>
        <v>Female</v>
      </c>
      <c r="F1793" t="str">
        <f>_xlfn.XLOOKUP(tblOrders[[#This Row],[CustomerID]],tblCustomers[CustomerID],tblCustomers[Region],"not found")</f>
        <v>West</v>
      </c>
      <c r="G1793">
        <v>1009</v>
      </c>
      <c r="H1793" t="str">
        <f>_xlfn.XLOOKUP(tblOrders[[#This Row],[ProductID]],tblProducts[ProductID],tblProducts[ProductName],"not found")</f>
        <v>Parent</v>
      </c>
      <c r="I1793" t="str">
        <f>_xlfn.XLOOKUP(tblOrders[[#This Row],[ProductID]],tblProducts[ProductID],tblProducts[Category],"not found")</f>
        <v>Beauty</v>
      </c>
      <c r="J1793">
        <f>_xlfn.XLOOKUP(tblOrders[[#This Row],[ProductID]],tblProducts[ProductID],tblProducts[UnitPrice],"not found")</f>
        <v>50.94</v>
      </c>
      <c r="K1793" t="str">
        <f>_xlfn.XLOOKUP(tblOrders[[#This Row],[ProductID]],tblProducts[ProductID],tblProducts[Supplier],"not found")</f>
        <v>Gibson LLC</v>
      </c>
      <c r="L1793" s="1">
        <v>45233</v>
      </c>
      <c r="M17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45233</v>
      </c>
      <c r="N1793">
        <v>8</v>
      </c>
      <c r="O1793">
        <v>407.52</v>
      </c>
      <c r="P1793">
        <f>tblOrders[[#This Row],[Quantity]]*tblOrders[[#This Row],[Unit Price]]</f>
        <v>407.52</v>
      </c>
      <c r="Q1793">
        <f>tblOrders[[#This Row],[TotalSales]]-tblOrders[[#This Row],[Calculated Sales]]</f>
        <v>0</v>
      </c>
    </row>
    <row r="1794" spans="1:17" x14ac:dyDescent="0.25">
      <c r="A1794">
        <v>373</v>
      </c>
      <c r="B1794">
        <v>173</v>
      </c>
      <c r="C1794" t="str">
        <f>_xlfn.XLOOKUP(tblOrders[[#This Row],[CustomerID]],tblCustomers[CustomerID],tblCustomers[CustomerName],"not found")</f>
        <v>Jennifer Park</v>
      </c>
      <c r="D1794">
        <f>_xlfn.XLOOKUP(tblOrders[[#This Row],[CustomerID]],tblCustomers[CustomerID],tblCustomers[Age],"not found")</f>
        <v>49</v>
      </c>
      <c r="E1794" t="str">
        <f>_xlfn.XLOOKUP(tblOrders[[#This Row],[CustomerID]],tblCustomers[CustomerID],tblCustomers[Gender],"not found")</f>
        <v>Male</v>
      </c>
      <c r="F1794" t="str">
        <f>_xlfn.XLOOKUP(tblOrders[[#This Row],[CustomerID]],tblCustomers[CustomerID],tblCustomers[Region],"not found")</f>
        <v>South</v>
      </c>
      <c r="G1794">
        <v>1009</v>
      </c>
      <c r="H1794" t="str">
        <f>_xlfn.XLOOKUP(tblOrders[[#This Row],[ProductID]],tblProducts[ProductID],tblProducts[ProductName],"not found")</f>
        <v>Parent</v>
      </c>
      <c r="I1794" t="str">
        <f>_xlfn.XLOOKUP(tblOrders[[#This Row],[ProductID]],tblProducts[ProductID],tblProducts[Category],"not found")</f>
        <v>Beauty</v>
      </c>
      <c r="J1794">
        <f>_xlfn.XLOOKUP(tblOrders[[#This Row],[ProductID]],tblProducts[ProductID],tblProducts[UnitPrice],"not found")</f>
        <v>50.94</v>
      </c>
      <c r="K1794" t="str">
        <f>_xlfn.XLOOKUP(tblOrders[[#This Row],[ProductID]],tblProducts[ProductID],tblProducts[Supplier],"not found")</f>
        <v>Gibson LLC</v>
      </c>
      <c r="L1794" s="1">
        <v>44927</v>
      </c>
      <c r="M17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44927</v>
      </c>
      <c r="N1794">
        <v>3</v>
      </c>
      <c r="O1794">
        <v>152.82</v>
      </c>
      <c r="P1794">
        <f>tblOrders[[#This Row],[Quantity]]*tblOrders[[#This Row],[Unit Price]]</f>
        <v>152.82</v>
      </c>
      <c r="Q1794">
        <f>tblOrders[[#This Row],[TotalSales]]-tblOrders[[#This Row],[Calculated Sales]]</f>
        <v>0</v>
      </c>
    </row>
    <row r="1795" spans="1:17" x14ac:dyDescent="0.25">
      <c r="A1795">
        <v>567</v>
      </c>
      <c r="B1795">
        <v>248</v>
      </c>
      <c r="C1795" t="str">
        <f>_xlfn.XLOOKUP(tblOrders[[#This Row],[CustomerID]],tblCustomers[CustomerID],tblCustomers[CustomerName],"not found")</f>
        <v>Jessica Davis</v>
      </c>
      <c r="D1795">
        <f>_xlfn.XLOOKUP(tblOrders[[#This Row],[CustomerID]],tblCustomers[CustomerID],tblCustomers[Age],"not found")</f>
        <v>52</v>
      </c>
      <c r="E1795" t="str">
        <f>_xlfn.XLOOKUP(tblOrders[[#This Row],[CustomerID]],tblCustomers[CustomerID],tblCustomers[Gender],"not found")</f>
        <v>Male</v>
      </c>
      <c r="F1795" t="str">
        <f>_xlfn.XLOOKUP(tblOrders[[#This Row],[CustomerID]],tblCustomers[CustomerID],tblCustomers[Region],"not found")</f>
        <v>South</v>
      </c>
      <c r="G1795">
        <v>1009</v>
      </c>
      <c r="H1795" t="str">
        <f>_xlfn.XLOOKUP(tblOrders[[#This Row],[ProductID]],tblProducts[ProductID],tblProducts[ProductName],"not found")</f>
        <v>Parent</v>
      </c>
      <c r="I1795" t="str">
        <f>_xlfn.XLOOKUP(tblOrders[[#This Row],[ProductID]],tblProducts[ProductID],tblProducts[Category],"not found")</f>
        <v>Beauty</v>
      </c>
      <c r="J1795">
        <f>_xlfn.XLOOKUP(tblOrders[[#This Row],[ProductID]],tblProducts[ProductID],tblProducts[UnitPrice],"not found")</f>
        <v>50.94</v>
      </c>
      <c r="K1795" t="str">
        <f>_xlfn.XLOOKUP(tblOrders[[#This Row],[ProductID]],tblProducts[ProductID],tblProducts[Supplier],"not found")</f>
        <v>Gibson LLC</v>
      </c>
      <c r="L1795" s="1">
        <v>45451</v>
      </c>
      <c r="M17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1795">
        <v>3</v>
      </c>
      <c r="O1795">
        <v>152.82</v>
      </c>
      <c r="P1795">
        <f>tblOrders[[#This Row],[Quantity]]*tblOrders[[#This Row],[Unit Price]]</f>
        <v>152.82</v>
      </c>
      <c r="Q1795">
        <f>tblOrders[[#This Row],[TotalSales]]-tblOrders[[#This Row],[Calculated Sales]]</f>
        <v>0</v>
      </c>
    </row>
    <row r="1796" spans="1:17" x14ac:dyDescent="0.25">
      <c r="A1796">
        <v>573</v>
      </c>
      <c r="B1796">
        <v>526</v>
      </c>
      <c r="C1796" t="str">
        <f>_xlfn.XLOOKUP(tblOrders[[#This Row],[CustomerID]],tblCustomers[CustomerID],tblCustomers[CustomerName],"not found")</f>
        <v>Carl Williams</v>
      </c>
      <c r="D1796">
        <f>_xlfn.XLOOKUP(tblOrders[[#This Row],[CustomerID]],tblCustomers[CustomerID],tblCustomers[Age],"not found")</f>
        <v>38</v>
      </c>
      <c r="E1796" t="str">
        <f>_xlfn.XLOOKUP(tblOrders[[#This Row],[CustomerID]],tblCustomers[CustomerID],tblCustomers[Gender],"not found")</f>
        <v>Female</v>
      </c>
      <c r="F1796" t="str">
        <f>_xlfn.XLOOKUP(tblOrders[[#This Row],[CustomerID]],tblCustomers[CustomerID],tblCustomers[Region],"not found")</f>
        <v>North</v>
      </c>
      <c r="G1796">
        <v>1009</v>
      </c>
      <c r="H1796" t="str">
        <f>_xlfn.XLOOKUP(tblOrders[[#This Row],[ProductID]],tblProducts[ProductID],tblProducts[ProductName],"not found")</f>
        <v>Parent</v>
      </c>
      <c r="I1796" t="str">
        <f>_xlfn.XLOOKUP(tblOrders[[#This Row],[ProductID]],tblProducts[ProductID],tblProducts[Category],"not found")</f>
        <v>Beauty</v>
      </c>
      <c r="J1796">
        <f>_xlfn.XLOOKUP(tblOrders[[#This Row],[ProductID]],tblProducts[ProductID],tblProducts[UnitPrice],"not found")</f>
        <v>50.94</v>
      </c>
      <c r="K1796" t="str">
        <f>_xlfn.XLOOKUP(tblOrders[[#This Row],[ProductID]],tblProducts[ProductID],tblProducts[Supplier],"not found")</f>
        <v>Gibson LLC</v>
      </c>
      <c r="L1796" s="1" t="s">
        <v>2090</v>
      </c>
      <c r="M17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45432</v>
      </c>
      <c r="N1796">
        <v>1</v>
      </c>
      <c r="O1796">
        <v>50.94</v>
      </c>
      <c r="P1796">
        <f>tblOrders[[#This Row],[Quantity]]*tblOrders[[#This Row],[Unit Price]]</f>
        <v>50.94</v>
      </c>
      <c r="Q1796">
        <f>tblOrders[[#This Row],[TotalSales]]-tblOrders[[#This Row],[Calculated Sales]]</f>
        <v>0</v>
      </c>
    </row>
    <row r="1797" spans="1:17" x14ac:dyDescent="0.25">
      <c r="A1797">
        <v>687</v>
      </c>
      <c r="B1797">
        <v>604</v>
      </c>
      <c r="C1797" t="str">
        <f>_xlfn.XLOOKUP(tblOrders[[#This Row],[CustomerID]],tblCustomers[CustomerID],tblCustomers[CustomerName],"not found")</f>
        <v>James Bennett</v>
      </c>
      <c r="D1797">
        <f>_xlfn.XLOOKUP(tblOrders[[#This Row],[CustomerID]],tblCustomers[CustomerID],tblCustomers[Age],"not found")</f>
        <v>35</v>
      </c>
      <c r="E1797" t="str">
        <f>_xlfn.XLOOKUP(tblOrders[[#This Row],[CustomerID]],tblCustomers[CustomerID],tblCustomers[Gender],"not found")</f>
        <v>Female</v>
      </c>
      <c r="F1797" t="str">
        <f>_xlfn.XLOOKUP(tblOrders[[#This Row],[CustomerID]],tblCustomers[CustomerID],tblCustomers[Region],"not found")</f>
        <v>East</v>
      </c>
      <c r="G1797">
        <v>1009</v>
      </c>
      <c r="H1797" t="str">
        <f>_xlfn.XLOOKUP(tblOrders[[#This Row],[ProductID]],tblProducts[ProductID],tblProducts[ProductName],"not found")</f>
        <v>Parent</v>
      </c>
      <c r="I1797" t="str">
        <f>_xlfn.XLOOKUP(tblOrders[[#This Row],[ProductID]],tblProducts[ProductID],tblProducts[Category],"not found")</f>
        <v>Beauty</v>
      </c>
      <c r="J1797">
        <f>_xlfn.XLOOKUP(tblOrders[[#This Row],[ProductID]],tblProducts[ProductID],tblProducts[UnitPrice],"not found")</f>
        <v>50.94</v>
      </c>
      <c r="K1797" t="str">
        <f>_xlfn.XLOOKUP(tblOrders[[#This Row],[ProductID]],tblProducts[ProductID],tblProducts[Supplier],"not found")</f>
        <v>Gibson LLC</v>
      </c>
      <c r="L1797" s="1" t="s">
        <v>2214</v>
      </c>
      <c r="M17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45219</v>
      </c>
      <c r="N1797">
        <v>8</v>
      </c>
      <c r="O1797">
        <v>407.52</v>
      </c>
      <c r="P1797">
        <f>tblOrders[[#This Row],[Quantity]]*tblOrders[[#This Row],[Unit Price]]</f>
        <v>407.52</v>
      </c>
      <c r="Q1797">
        <f>tblOrders[[#This Row],[TotalSales]]-tblOrders[[#This Row],[Calculated Sales]]</f>
        <v>0</v>
      </c>
    </row>
    <row r="1798" spans="1:17" x14ac:dyDescent="0.25">
      <c r="A1798">
        <v>1061</v>
      </c>
      <c r="B1798">
        <v>552</v>
      </c>
      <c r="C1798" t="str">
        <f>_xlfn.XLOOKUP(tblOrders[[#This Row],[CustomerID]],tblCustomers[CustomerID],tblCustomers[CustomerName],"not found")</f>
        <v>Seth Boyd</v>
      </c>
      <c r="D1798">
        <f>_xlfn.XLOOKUP(tblOrders[[#This Row],[CustomerID]],tblCustomers[CustomerID],tblCustomers[Age],"not found")</f>
        <v>32</v>
      </c>
      <c r="E1798" t="str">
        <f>_xlfn.XLOOKUP(tblOrders[[#This Row],[CustomerID]],tblCustomers[CustomerID],tblCustomers[Gender],"not found")</f>
        <v>Male</v>
      </c>
      <c r="F1798" t="str">
        <f>_xlfn.XLOOKUP(tblOrders[[#This Row],[CustomerID]],tblCustomers[CustomerID],tblCustomers[Region],"not found")</f>
        <v>Central</v>
      </c>
      <c r="G1798">
        <v>1009</v>
      </c>
      <c r="H1798" t="str">
        <f>_xlfn.XLOOKUP(tblOrders[[#This Row],[ProductID]],tblProducts[ProductID],tblProducts[ProductName],"not found")</f>
        <v>Parent</v>
      </c>
      <c r="I1798" t="str">
        <f>_xlfn.XLOOKUP(tblOrders[[#This Row],[ProductID]],tblProducts[ProductID],tblProducts[Category],"not found")</f>
        <v>Beauty</v>
      </c>
      <c r="J1798">
        <f>_xlfn.XLOOKUP(tblOrders[[#This Row],[ProductID]],tblProducts[ProductID],tblProducts[UnitPrice],"not found")</f>
        <v>50.94</v>
      </c>
      <c r="K1798" t="str">
        <f>_xlfn.XLOOKUP(tblOrders[[#This Row],[ProductID]],tblProducts[ProductID],tblProducts[Supplier],"not found")</f>
        <v>Gibson LLC</v>
      </c>
      <c r="L1798" s="1" t="s">
        <v>2360</v>
      </c>
      <c r="M17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45534</v>
      </c>
      <c r="N1798">
        <v>2</v>
      </c>
      <c r="O1798">
        <v>101.88</v>
      </c>
      <c r="P1798">
        <f>tblOrders[[#This Row],[Quantity]]*tblOrders[[#This Row],[Unit Price]]</f>
        <v>101.88</v>
      </c>
      <c r="Q1798">
        <f>tblOrders[[#This Row],[TotalSales]]-tblOrders[[#This Row],[Calculated Sales]]</f>
        <v>0</v>
      </c>
    </row>
    <row r="1799" spans="1:17" x14ac:dyDescent="0.25">
      <c r="A1799">
        <v>1132</v>
      </c>
      <c r="B1799">
        <v>609</v>
      </c>
      <c r="C1799" t="str">
        <f>_xlfn.XLOOKUP(tblOrders[[#This Row],[CustomerID]],tblCustomers[CustomerID],tblCustomers[CustomerName],"not found")</f>
        <v>Jeffrey Harris</v>
      </c>
      <c r="D1799">
        <f>_xlfn.XLOOKUP(tblOrders[[#This Row],[CustomerID]],tblCustomers[CustomerID],tblCustomers[Age],"not found")</f>
        <v>62</v>
      </c>
      <c r="E1799" t="str">
        <f>_xlfn.XLOOKUP(tblOrders[[#This Row],[CustomerID]],tblCustomers[CustomerID],tblCustomers[Gender],"not found")</f>
        <v>Male</v>
      </c>
      <c r="F1799" t="str">
        <f>_xlfn.XLOOKUP(tblOrders[[#This Row],[CustomerID]],tblCustomers[CustomerID],tblCustomers[Region],"not found")</f>
        <v>East</v>
      </c>
      <c r="G1799">
        <v>1009</v>
      </c>
      <c r="H1799" t="str">
        <f>_xlfn.XLOOKUP(tblOrders[[#This Row],[ProductID]],tblProducts[ProductID],tblProducts[ProductName],"not found")</f>
        <v>Parent</v>
      </c>
      <c r="I1799" t="str">
        <f>_xlfn.XLOOKUP(tblOrders[[#This Row],[ProductID]],tblProducts[ProductID],tblProducts[Category],"not found")</f>
        <v>Beauty</v>
      </c>
      <c r="J1799">
        <f>_xlfn.XLOOKUP(tblOrders[[#This Row],[ProductID]],tblProducts[ProductID],tblProducts[UnitPrice],"not found")</f>
        <v>50.94</v>
      </c>
      <c r="K1799" t="str">
        <f>_xlfn.XLOOKUP(tblOrders[[#This Row],[ProductID]],tblProducts[ProductID],tblProducts[Supplier],"not found")</f>
        <v>Gibson LLC</v>
      </c>
      <c r="L1799" s="1" t="s">
        <v>2051</v>
      </c>
      <c r="M17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45403</v>
      </c>
      <c r="N1799">
        <v>3</v>
      </c>
      <c r="O1799">
        <v>152.82</v>
      </c>
      <c r="P1799">
        <f>tblOrders[[#This Row],[Quantity]]*tblOrders[[#This Row],[Unit Price]]</f>
        <v>152.82</v>
      </c>
      <c r="Q1799">
        <f>tblOrders[[#This Row],[TotalSales]]-tblOrders[[#This Row],[Calculated Sales]]</f>
        <v>0</v>
      </c>
    </row>
    <row r="1800" spans="1:17" x14ac:dyDescent="0.25">
      <c r="A1800">
        <v>1172</v>
      </c>
      <c r="B1800">
        <v>859</v>
      </c>
      <c r="C1800" t="str">
        <f>_xlfn.XLOOKUP(tblOrders[[#This Row],[CustomerID]],tblCustomers[CustomerID],tblCustomers[CustomerName],"not found")</f>
        <v>Richard Murray</v>
      </c>
      <c r="D1800">
        <f>_xlfn.XLOOKUP(tblOrders[[#This Row],[CustomerID]],tblCustomers[CustomerID],tblCustomers[Age],"not found")</f>
        <v>48</v>
      </c>
      <c r="E1800" t="str">
        <f>_xlfn.XLOOKUP(tblOrders[[#This Row],[CustomerID]],tblCustomers[CustomerID],tblCustomers[Gender],"not found")</f>
        <v>Female</v>
      </c>
      <c r="F1800" t="str">
        <f>_xlfn.XLOOKUP(tblOrders[[#This Row],[CustomerID]],tblCustomers[CustomerID],tblCustomers[Region],"not found")</f>
        <v>North</v>
      </c>
      <c r="G1800">
        <v>1009</v>
      </c>
      <c r="H1800" t="str">
        <f>_xlfn.XLOOKUP(tblOrders[[#This Row],[ProductID]],tblProducts[ProductID],tblProducts[ProductName],"not found")</f>
        <v>Parent</v>
      </c>
      <c r="I1800" t="str">
        <f>_xlfn.XLOOKUP(tblOrders[[#This Row],[ProductID]],tblProducts[ProductID],tblProducts[Category],"not found")</f>
        <v>Beauty</v>
      </c>
      <c r="J1800">
        <f>_xlfn.XLOOKUP(tblOrders[[#This Row],[ProductID]],tblProducts[ProductID],tblProducts[UnitPrice],"not found")</f>
        <v>50.94</v>
      </c>
      <c r="K1800" t="str">
        <f>_xlfn.XLOOKUP(tblOrders[[#This Row],[ProductID]],tblProducts[ProductID],tblProducts[Supplier],"not found")</f>
        <v>Gibson LLC</v>
      </c>
      <c r="L1800" s="1">
        <v>45088</v>
      </c>
      <c r="M18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45088</v>
      </c>
      <c r="N1800">
        <v>7</v>
      </c>
      <c r="O1800">
        <v>356.58</v>
      </c>
      <c r="P1800">
        <f>tblOrders[[#This Row],[Quantity]]*tblOrders[[#This Row],[Unit Price]]</f>
        <v>356.58</v>
      </c>
      <c r="Q1800">
        <f>tblOrders[[#This Row],[TotalSales]]-tblOrders[[#This Row],[Calculated Sales]]</f>
        <v>0</v>
      </c>
    </row>
    <row r="1801" spans="1:17" x14ac:dyDescent="0.25">
      <c r="A1801">
        <v>1274</v>
      </c>
      <c r="B1801">
        <v>656</v>
      </c>
      <c r="C1801" t="str">
        <f>_xlfn.XLOOKUP(tblOrders[[#This Row],[CustomerID]],tblCustomers[CustomerID],tblCustomers[CustomerName],"not found")</f>
        <v>Dana Church</v>
      </c>
      <c r="D1801">
        <f>_xlfn.XLOOKUP(tblOrders[[#This Row],[CustomerID]],tblCustomers[CustomerID],tblCustomers[Age],"not found")</f>
        <v>63</v>
      </c>
      <c r="E1801" t="str">
        <f>_xlfn.XLOOKUP(tblOrders[[#This Row],[CustomerID]],tblCustomers[CustomerID],tblCustomers[Gender],"not found")</f>
        <v>Female</v>
      </c>
      <c r="F1801" t="str">
        <f>_xlfn.XLOOKUP(tblOrders[[#This Row],[CustomerID]],tblCustomers[CustomerID],tblCustomers[Region],"not found")</f>
        <v>North</v>
      </c>
      <c r="G1801">
        <v>1009</v>
      </c>
      <c r="H1801" t="str">
        <f>_xlfn.XLOOKUP(tblOrders[[#This Row],[ProductID]],tblProducts[ProductID],tblProducts[ProductName],"not found")</f>
        <v>Parent</v>
      </c>
      <c r="I1801" t="str">
        <f>_xlfn.XLOOKUP(tblOrders[[#This Row],[ProductID]],tblProducts[ProductID],tblProducts[Category],"not found")</f>
        <v>Beauty</v>
      </c>
      <c r="J1801">
        <f>_xlfn.XLOOKUP(tblOrders[[#This Row],[ProductID]],tblProducts[ProductID],tblProducts[UnitPrice],"not found")</f>
        <v>50.94</v>
      </c>
      <c r="K1801" t="str">
        <f>_xlfn.XLOOKUP(tblOrders[[#This Row],[ProductID]],tblProducts[ProductID],tblProducts[Supplier],"not found")</f>
        <v>Gibson LLC</v>
      </c>
      <c r="L1801" s="1">
        <v>45238</v>
      </c>
      <c r="M18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45238</v>
      </c>
      <c r="N1801">
        <v>1</v>
      </c>
      <c r="O1801">
        <v>50.94</v>
      </c>
      <c r="P1801">
        <f>tblOrders[[#This Row],[Quantity]]*tblOrders[[#This Row],[Unit Price]]</f>
        <v>50.94</v>
      </c>
      <c r="Q1801">
        <f>tblOrders[[#This Row],[TotalSales]]-tblOrders[[#This Row],[Calculated Sales]]</f>
        <v>0</v>
      </c>
    </row>
    <row r="1802" spans="1:17" x14ac:dyDescent="0.25">
      <c r="A1802">
        <v>1275</v>
      </c>
      <c r="B1802">
        <v>15</v>
      </c>
      <c r="C1802" t="str">
        <f>_xlfn.XLOOKUP(tblOrders[[#This Row],[CustomerID]],tblCustomers[CustomerID],tblCustomers[CustomerName],"not found")</f>
        <v>Frank Fritz</v>
      </c>
      <c r="D1802">
        <f>_xlfn.XLOOKUP(tblOrders[[#This Row],[CustomerID]],tblCustomers[CustomerID],tblCustomers[Age],"not found")</f>
        <v>34</v>
      </c>
      <c r="E1802" t="str">
        <f>_xlfn.XLOOKUP(tblOrders[[#This Row],[CustomerID]],tblCustomers[CustomerID],tblCustomers[Gender],"not found")</f>
        <v>Female</v>
      </c>
      <c r="F1802" t="str">
        <f>_xlfn.XLOOKUP(tblOrders[[#This Row],[CustomerID]],tblCustomers[CustomerID],tblCustomers[Region],"not found")</f>
        <v>West</v>
      </c>
      <c r="G1802">
        <v>1009</v>
      </c>
      <c r="H1802" t="str">
        <f>_xlfn.XLOOKUP(tblOrders[[#This Row],[ProductID]],tblProducts[ProductID],tblProducts[ProductName],"not found")</f>
        <v>Parent</v>
      </c>
      <c r="I1802" t="str">
        <f>_xlfn.XLOOKUP(tblOrders[[#This Row],[ProductID]],tblProducts[ProductID],tblProducts[Category],"not found")</f>
        <v>Beauty</v>
      </c>
      <c r="J1802">
        <f>_xlfn.XLOOKUP(tblOrders[[#This Row],[ProductID]],tblProducts[ProductID],tblProducts[UnitPrice],"not found")</f>
        <v>50.94</v>
      </c>
      <c r="K1802" t="str">
        <f>_xlfn.XLOOKUP(tblOrders[[#This Row],[ProductID]],tblProducts[ProductID],tblProducts[Supplier],"not found")</f>
        <v>Gibson LLC</v>
      </c>
      <c r="L1802" s="1" t="s">
        <v>2340</v>
      </c>
      <c r="M18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45554</v>
      </c>
      <c r="N1802">
        <v>9</v>
      </c>
      <c r="O1802">
        <v>458.46</v>
      </c>
      <c r="P1802">
        <f>tblOrders[[#This Row],[Quantity]]*tblOrders[[#This Row],[Unit Price]]</f>
        <v>458.46</v>
      </c>
      <c r="Q1802">
        <f>tblOrders[[#This Row],[TotalSales]]-tblOrders[[#This Row],[Calculated Sales]]</f>
        <v>0</v>
      </c>
    </row>
    <row r="1803" spans="1:17" x14ac:dyDescent="0.25">
      <c r="A1803">
        <v>1289</v>
      </c>
      <c r="B1803">
        <v>29</v>
      </c>
      <c r="C1803" t="str">
        <f>_xlfn.XLOOKUP(tblOrders[[#This Row],[CustomerID]],tblCustomers[CustomerID],tblCustomers[CustomerName],"not found")</f>
        <v>Dylan Campbell</v>
      </c>
      <c r="D1803">
        <f>_xlfn.XLOOKUP(tblOrders[[#This Row],[CustomerID]],tblCustomers[CustomerID],tblCustomers[Age],"not found")</f>
        <v>67</v>
      </c>
      <c r="E1803" t="str">
        <f>_xlfn.XLOOKUP(tblOrders[[#This Row],[CustomerID]],tblCustomers[CustomerID],tblCustomers[Gender],"not found")</f>
        <v>Female</v>
      </c>
      <c r="F1803" t="str">
        <f>_xlfn.XLOOKUP(tblOrders[[#This Row],[CustomerID]],tblCustomers[CustomerID],tblCustomers[Region],"not found")</f>
        <v>North</v>
      </c>
      <c r="G1803">
        <v>1009</v>
      </c>
      <c r="H1803" t="str">
        <f>_xlfn.XLOOKUP(tblOrders[[#This Row],[ProductID]],tblProducts[ProductID],tblProducts[ProductName],"not found")</f>
        <v>Parent</v>
      </c>
      <c r="I1803" t="str">
        <f>_xlfn.XLOOKUP(tblOrders[[#This Row],[ProductID]],tblProducts[ProductID],tblProducts[Category],"not found")</f>
        <v>Beauty</v>
      </c>
      <c r="J1803">
        <f>_xlfn.XLOOKUP(tblOrders[[#This Row],[ProductID]],tblProducts[ProductID],tblProducts[UnitPrice],"not found")</f>
        <v>50.94</v>
      </c>
      <c r="K1803" t="str">
        <f>_xlfn.XLOOKUP(tblOrders[[#This Row],[ProductID]],tblProducts[ProductID],tblProducts[Supplier],"not found")</f>
        <v>Gibson LLC</v>
      </c>
      <c r="L1803" s="1" t="s">
        <v>2407</v>
      </c>
      <c r="M18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45194</v>
      </c>
      <c r="N1803">
        <v>1</v>
      </c>
      <c r="O1803">
        <v>50.94</v>
      </c>
      <c r="P1803">
        <f>tblOrders[[#This Row],[Quantity]]*tblOrders[[#This Row],[Unit Price]]</f>
        <v>50.94</v>
      </c>
      <c r="Q1803">
        <f>tblOrders[[#This Row],[TotalSales]]-tblOrders[[#This Row],[Calculated Sales]]</f>
        <v>0</v>
      </c>
    </row>
    <row r="1804" spans="1:17" x14ac:dyDescent="0.25">
      <c r="A1804">
        <v>1378</v>
      </c>
      <c r="B1804">
        <v>408</v>
      </c>
      <c r="C1804" t="str">
        <f>_xlfn.XLOOKUP(tblOrders[[#This Row],[CustomerID]],tblCustomers[CustomerID],tblCustomers[CustomerName],"not found")</f>
        <v>Alan Parks</v>
      </c>
      <c r="D1804">
        <f>_xlfn.XLOOKUP(tblOrders[[#This Row],[CustomerID]],tblCustomers[CustomerID],tblCustomers[Age],"not found")</f>
        <v>66</v>
      </c>
      <c r="E1804" t="str">
        <f>_xlfn.XLOOKUP(tblOrders[[#This Row],[CustomerID]],tblCustomers[CustomerID],tblCustomers[Gender],"not found")</f>
        <v>Female</v>
      </c>
      <c r="F1804" t="str">
        <f>_xlfn.XLOOKUP(tblOrders[[#This Row],[CustomerID]],tblCustomers[CustomerID],tblCustomers[Region],"not found")</f>
        <v>Central</v>
      </c>
      <c r="G1804">
        <v>1009</v>
      </c>
      <c r="H1804" t="str">
        <f>_xlfn.XLOOKUP(tblOrders[[#This Row],[ProductID]],tblProducts[ProductID],tblProducts[ProductName],"not found")</f>
        <v>Parent</v>
      </c>
      <c r="I1804" t="str">
        <f>_xlfn.XLOOKUP(tblOrders[[#This Row],[ProductID]],tblProducts[ProductID],tblProducts[Category],"not found")</f>
        <v>Beauty</v>
      </c>
      <c r="J1804">
        <f>_xlfn.XLOOKUP(tblOrders[[#This Row],[ProductID]],tblProducts[ProductID],tblProducts[UnitPrice],"not found")</f>
        <v>50.94</v>
      </c>
      <c r="K1804" t="str">
        <f>_xlfn.XLOOKUP(tblOrders[[#This Row],[ProductID]],tblProducts[ProductID],tblProducts[Supplier],"not found")</f>
        <v>Gibson LLC</v>
      </c>
      <c r="L1804" s="1">
        <v>45355</v>
      </c>
      <c r="M18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45355</v>
      </c>
      <c r="N1804">
        <v>4</v>
      </c>
      <c r="O1804">
        <v>203.76</v>
      </c>
      <c r="P1804">
        <f>tblOrders[[#This Row],[Quantity]]*tblOrders[[#This Row],[Unit Price]]</f>
        <v>203.76</v>
      </c>
      <c r="Q1804">
        <f>tblOrders[[#This Row],[TotalSales]]-tblOrders[[#This Row],[Calculated Sales]]</f>
        <v>0</v>
      </c>
    </row>
    <row r="1805" spans="1:17" x14ac:dyDescent="0.25">
      <c r="A1805">
        <v>1424</v>
      </c>
      <c r="B1805">
        <v>954</v>
      </c>
      <c r="C1805" t="str">
        <f>_xlfn.XLOOKUP(tblOrders[[#This Row],[CustomerID]],tblCustomers[CustomerID],tblCustomers[CustomerName],"not found")</f>
        <v>Ashley Turner</v>
      </c>
      <c r="D1805">
        <f>_xlfn.XLOOKUP(tblOrders[[#This Row],[CustomerID]],tblCustomers[CustomerID],tblCustomers[Age],"not found")</f>
        <v>23</v>
      </c>
      <c r="E1805" t="str">
        <f>_xlfn.XLOOKUP(tblOrders[[#This Row],[CustomerID]],tblCustomers[CustomerID],tblCustomers[Gender],"not found")</f>
        <v>Female</v>
      </c>
      <c r="F1805" t="str">
        <f>_xlfn.XLOOKUP(tblOrders[[#This Row],[CustomerID]],tblCustomers[CustomerID],tblCustomers[Region],"not found")</f>
        <v>North</v>
      </c>
      <c r="G1805">
        <v>1009</v>
      </c>
      <c r="H1805" t="str">
        <f>_xlfn.XLOOKUP(tblOrders[[#This Row],[ProductID]],tblProducts[ProductID],tblProducts[ProductName],"not found")</f>
        <v>Parent</v>
      </c>
      <c r="I1805" t="str">
        <f>_xlfn.XLOOKUP(tblOrders[[#This Row],[ProductID]],tblProducts[ProductID],tblProducts[Category],"not found")</f>
        <v>Beauty</v>
      </c>
      <c r="J1805">
        <f>_xlfn.XLOOKUP(tblOrders[[#This Row],[ProductID]],tblProducts[ProductID],tblProducts[UnitPrice],"not found")</f>
        <v>50.94</v>
      </c>
      <c r="K1805" t="str">
        <f>_xlfn.XLOOKUP(tblOrders[[#This Row],[ProductID]],tblProducts[ProductID],tblProducts[Supplier],"not found")</f>
        <v>Gibson LLC</v>
      </c>
      <c r="L1805" s="1">
        <v>45085</v>
      </c>
      <c r="M18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45085</v>
      </c>
      <c r="N1805">
        <v>6</v>
      </c>
      <c r="O1805">
        <v>305.64</v>
      </c>
      <c r="P1805">
        <f>tblOrders[[#This Row],[Quantity]]*tblOrders[[#This Row],[Unit Price]]</f>
        <v>305.64</v>
      </c>
      <c r="Q1805">
        <f>tblOrders[[#This Row],[TotalSales]]-tblOrders[[#This Row],[Calculated Sales]]</f>
        <v>0</v>
      </c>
    </row>
    <row r="1806" spans="1:17" x14ac:dyDescent="0.25">
      <c r="A1806">
        <v>1518</v>
      </c>
      <c r="B1806">
        <v>76</v>
      </c>
      <c r="C1806" t="str">
        <f>_xlfn.XLOOKUP(tblOrders[[#This Row],[CustomerID]],tblCustomers[CustomerID],tblCustomers[CustomerName],"not found")</f>
        <v>Monica Ross</v>
      </c>
      <c r="D1806">
        <f>_xlfn.XLOOKUP(tblOrders[[#This Row],[CustomerID]],tblCustomers[CustomerID],tblCustomers[Age],"not found")</f>
        <v>67</v>
      </c>
      <c r="E1806" t="str">
        <f>_xlfn.XLOOKUP(tblOrders[[#This Row],[CustomerID]],tblCustomers[CustomerID],tblCustomers[Gender],"not found")</f>
        <v>Male</v>
      </c>
      <c r="F1806" t="str">
        <f>_xlfn.XLOOKUP(tblOrders[[#This Row],[CustomerID]],tblCustomers[CustomerID],tblCustomers[Region],"not found")</f>
        <v>North</v>
      </c>
      <c r="G1806">
        <v>1009</v>
      </c>
      <c r="H1806" t="str">
        <f>_xlfn.XLOOKUP(tblOrders[[#This Row],[ProductID]],tblProducts[ProductID],tblProducts[ProductName],"not found")</f>
        <v>Parent</v>
      </c>
      <c r="I1806" t="str">
        <f>_xlfn.XLOOKUP(tblOrders[[#This Row],[ProductID]],tblProducts[ProductID],tblProducts[Category],"not found")</f>
        <v>Beauty</v>
      </c>
      <c r="J1806">
        <f>_xlfn.XLOOKUP(tblOrders[[#This Row],[ProductID]],tblProducts[ProductID],tblProducts[UnitPrice],"not found")</f>
        <v>50.94</v>
      </c>
      <c r="K1806" t="str">
        <f>_xlfn.XLOOKUP(tblOrders[[#This Row],[ProductID]],tblProducts[ProductID],tblProducts[Supplier],"not found")</f>
        <v>Gibson LLC</v>
      </c>
      <c r="L1806" s="1">
        <v>45358</v>
      </c>
      <c r="M18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45358</v>
      </c>
      <c r="N1806">
        <v>7</v>
      </c>
      <c r="O1806">
        <v>356.58</v>
      </c>
      <c r="P1806">
        <f>tblOrders[[#This Row],[Quantity]]*tblOrders[[#This Row],[Unit Price]]</f>
        <v>356.58</v>
      </c>
      <c r="Q1806">
        <f>tblOrders[[#This Row],[TotalSales]]-tblOrders[[#This Row],[Calculated Sales]]</f>
        <v>0</v>
      </c>
    </row>
    <row r="1807" spans="1:17" x14ac:dyDescent="0.25">
      <c r="A1807">
        <v>1685</v>
      </c>
      <c r="B1807">
        <v>449</v>
      </c>
      <c r="C1807" t="str">
        <f>_xlfn.XLOOKUP(tblOrders[[#This Row],[CustomerID]],tblCustomers[CustomerID],tblCustomers[CustomerName],"not found")</f>
        <v>Mackenzie Bowman</v>
      </c>
      <c r="D1807">
        <f>_xlfn.XLOOKUP(tblOrders[[#This Row],[CustomerID]],tblCustomers[CustomerID],tblCustomers[Age],"not found")</f>
        <v>68</v>
      </c>
      <c r="E1807" t="str">
        <f>_xlfn.XLOOKUP(tblOrders[[#This Row],[CustomerID]],tblCustomers[CustomerID],tblCustomers[Gender],"not found")</f>
        <v>Female</v>
      </c>
      <c r="F1807" t="str">
        <f>_xlfn.XLOOKUP(tblOrders[[#This Row],[CustomerID]],tblCustomers[CustomerID],tblCustomers[Region],"not found")</f>
        <v>West</v>
      </c>
      <c r="G1807">
        <v>1009</v>
      </c>
      <c r="H1807" t="str">
        <f>_xlfn.XLOOKUP(tblOrders[[#This Row],[ProductID]],tblProducts[ProductID],tblProducts[ProductName],"not found")</f>
        <v>Parent</v>
      </c>
      <c r="I1807" t="str">
        <f>_xlfn.XLOOKUP(tblOrders[[#This Row],[ProductID]],tblProducts[ProductID],tblProducts[Category],"not found")</f>
        <v>Beauty</v>
      </c>
      <c r="J1807">
        <f>_xlfn.XLOOKUP(tblOrders[[#This Row],[ProductID]],tblProducts[ProductID],tblProducts[UnitPrice],"not found")</f>
        <v>50.94</v>
      </c>
      <c r="K1807" t="str">
        <f>_xlfn.XLOOKUP(tblOrders[[#This Row],[ProductID]],tblProducts[ProductID],tblProducts[Supplier],"not found")</f>
        <v>Gibson LLC</v>
      </c>
      <c r="L1807" s="1" t="s">
        <v>2362</v>
      </c>
      <c r="M18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45370</v>
      </c>
      <c r="N1807">
        <v>5</v>
      </c>
      <c r="O1807">
        <v>254.7</v>
      </c>
      <c r="P1807">
        <f>tblOrders[[#This Row],[Quantity]]*tblOrders[[#This Row],[Unit Price]]</f>
        <v>254.7</v>
      </c>
      <c r="Q1807">
        <f>tblOrders[[#This Row],[TotalSales]]-tblOrders[[#This Row],[Calculated Sales]]</f>
        <v>0</v>
      </c>
    </row>
    <row r="1808" spans="1:17" x14ac:dyDescent="0.25">
      <c r="A1808">
        <v>1743</v>
      </c>
      <c r="B1808">
        <v>634</v>
      </c>
      <c r="C1808" t="str">
        <f>_xlfn.XLOOKUP(tblOrders[[#This Row],[CustomerID]],tblCustomers[CustomerID],tblCustomers[CustomerName],"not found")</f>
        <v>Chris Winters</v>
      </c>
      <c r="D1808">
        <f>_xlfn.XLOOKUP(tblOrders[[#This Row],[CustomerID]],tblCustomers[CustomerID],tblCustomers[Age],"not found")</f>
        <v>26</v>
      </c>
      <c r="E1808" t="str">
        <f>_xlfn.XLOOKUP(tblOrders[[#This Row],[CustomerID]],tblCustomers[CustomerID],tblCustomers[Gender],"not found")</f>
        <v>Male</v>
      </c>
      <c r="F1808" t="str">
        <f>_xlfn.XLOOKUP(tblOrders[[#This Row],[CustomerID]],tblCustomers[CustomerID],tblCustomers[Region],"not found")</f>
        <v>South</v>
      </c>
      <c r="G1808">
        <v>1009</v>
      </c>
      <c r="H1808" t="str">
        <f>_xlfn.XLOOKUP(tblOrders[[#This Row],[ProductID]],tblProducts[ProductID],tblProducts[ProductName],"not found")</f>
        <v>Parent</v>
      </c>
      <c r="I1808" t="str">
        <f>_xlfn.XLOOKUP(tblOrders[[#This Row],[ProductID]],tblProducts[ProductID],tblProducts[Category],"not found")</f>
        <v>Beauty</v>
      </c>
      <c r="J1808">
        <f>_xlfn.XLOOKUP(tblOrders[[#This Row],[ProductID]],tblProducts[ProductID],tblProducts[UnitPrice],"not found")</f>
        <v>50.94</v>
      </c>
      <c r="K1808" t="str">
        <f>_xlfn.XLOOKUP(tblOrders[[#This Row],[ProductID]],tblProducts[ProductID],tblProducts[Supplier],"not found")</f>
        <v>Gibson LLC</v>
      </c>
      <c r="L1808" s="1" t="s">
        <v>2392</v>
      </c>
      <c r="M18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44946</v>
      </c>
      <c r="N1808">
        <v>2</v>
      </c>
      <c r="O1808">
        <v>101.88</v>
      </c>
      <c r="P1808">
        <f>tblOrders[[#This Row],[Quantity]]*tblOrders[[#This Row],[Unit Price]]</f>
        <v>101.88</v>
      </c>
      <c r="Q1808">
        <f>tblOrders[[#This Row],[TotalSales]]-tblOrders[[#This Row],[Calculated Sales]]</f>
        <v>0</v>
      </c>
    </row>
    <row r="1809" spans="1:17" x14ac:dyDescent="0.25">
      <c r="A1809">
        <v>1940</v>
      </c>
      <c r="B1809">
        <v>22</v>
      </c>
      <c r="C1809" t="str">
        <f>_xlfn.XLOOKUP(tblOrders[[#This Row],[CustomerID]],tblCustomers[CustomerID],tblCustomers[CustomerName],"not found")</f>
        <v>Bridget Castaneda</v>
      </c>
      <c r="D1809">
        <f>_xlfn.XLOOKUP(tblOrders[[#This Row],[CustomerID]],tblCustomers[CustomerID],tblCustomers[Age],"not found")</f>
        <v>60</v>
      </c>
      <c r="E1809" t="str">
        <f>_xlfn.XLOOKUP(tblOrders[[#This Row],[CustomerID]],tblCustomers[CustomerID],tblCustomers[Gender],"not found")</f>
        <v>Female</v>
      </c>
      <c r="F1809" t="str">
        <f>_xlfn.XLOOKUP(tblOrders[[#This Row],[CustomerID]],tblCustomers[CustomerID],tblCustomers[Region],"not found")</f>
        <v>West</v>
      </c>
      <c r="G1809">
        <v>1009</v>
      </c>
      <c r="H1809" t="str">
        <f>_xlfn.XLOOKUP(tblOrders[[#This Row],[ProductID]],tblProducts[ProductID],tblProducts[ProductName],"not found")</f>
        <v>Parent</v>
      </c>
      <c r="I1809" t="str">
        <f>_xlfn.XLOOKUP(tblOrders[[#This Row],[ProductID]],tblProducts[ProductID],tblProducts[Category],"not found")</f>
        <v>Beauty</v>
      </c>
      <c r="J1809">
        <f>_xlfn.XLOOKUP(tblOrders[[#This Row],[ProductID]],tblProducts[ProductID],tblProducts[UnitPrice],"not found")</f>
        <v>50.94</v>
      </c>
      <c r="K1809" t="str">
        <f>_xlfn.XLOOKUP(tblOrders[[#This Row],[ProductID]],tblProducts[ProductID],tblProducts[Supplier],"not found")</f>
        <v>Gibson LLC</v>
      </c>
      <c r="L1809" s="1" t="s">
        <v>2203</v>
      </c>
      <c r="M18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45015</v>
      </c>
      <c r="N1809">
        <v>6</v>
      </c>
      <c r="O1809">
        <v>305.64</v>
      </c>
      <c r="P1809">
        <f>tblOrders[[#This Row],[Quantity]]*tblOrders[[#This Row],[Unit Price]]</f>
        <v>305.64</v>
      </c>
      <c r="Q1809">
        <f>tblOrders[[#This Row],[TotalSales]]-tblOrders[[#This Row],[Calculated Sales]]</f>
        <v>0</v>
      </c>
    </row>
    <row r="1810" spans="1:17" x14ac:dyDescent="0.25">
      <c r="A1810">
        <v>185</v>
      </c>
      <c r="B1810">
        <v>689</v>
      </c>
      <c r="C1810" t="str">
        <f>_xlfn.XLOOKUP(tblOrders[[#This Row],[CustomerID]],tblCustomers[CustomerID],tblCustomers[CustomerName],"not found")</f>
        <v>Maria Villanueva</v>
      </c>
      <c r="D1810">
        <f>_xlfn.XLOOKUP(tblOrders[[#This Row],[CustomerID]],tblCustomers[CustomerID],tblCustomers[Age],"not found")</f>
        <v>23</v>
      </c>
      <c r="E1810" t="str">
        <f>_xlfn.XLOOKUP(tblOrders[[#This Row],[CustomerID]],tblCustomers[CustomerID],tblCustomers[Gender],"not found")</f>
        <v>Male</v>
      </c>
      <c r="F1810" t="str">
        <f>_xlfn.XLOOKUP(tblOrders[[#This Row],[CustomerID]],tblCustomers[CustomerID],tblCustomers[Region],"not found")</f>
        <v>West</v>
      </c>
      <c r="G1810">
        <v>1026</v>
      </c>
      <c r="H1810" t="str">
        <f>_xlfn.XLOOKUP(tblOrders[[#This Row],[ProductID]],tblProducts[ProductID],tblProducts[ProductName],"not found")</f>
        <v>Nation</v>
      </c>
      <c r="I1810" t="str">
        <f>_xlfn.XLOOKUP(tblOrders[[#This Row],[ProductID]],tblProducts[ProductID],tblProducts[Category],"not found")</f>
        <v>Electronics</v>
      </c>
      <c r="J1810">
        <f>_xlfn.XLOOKUP(tblOrders[[#This Row],[ProductID]],tblProducts[ProductID],tblProducts[UnitPrice],"not found")</f>
        <v>372.11</v>
      </c>
      <c r="K1810" t="str">
        <f>_xlfn.XLOOKUP(tblOrders[[#This Row],[ProductID]],tblProducts[ProductID],tblProducts[Supplier],"not found")</f>
        <v>Taylor-Lewis</v>
      </c>
      <c r="L1810" s="1">
        <v>45178</v>
      </c>
      <c r="M18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45178</v>
      </c>
      <c r="N1810">
        <v>9</v>
      </c>
      <c r="O1810">
        <v>3348.99</v>
      </c>
      <c r="P1810">
        <f>tblOrders[[#This Row],[Quantity]]*tblOrders[[#This Row],[Unit Price]]</f>
        <v>3348.9900000000002</v>
      </c>
      <c r="Q1810">
        <f>tblOrders[[#This Row],[TotalSales]]-tblOrders[[#This Row],[Calculated Sales]]</f>
        <v>0</v>
      </c>
    </row>
    <row r="1811" spans="1:17" x14ac:dyDescent="0.25">
      <c r="A1811">
        <v>188</v>
      </c>
      <c r="B1811">
        <v>455</v>
      </c>
      <c r="C1811" t="str">
        <f>_xlfn.XLOOKUP(tblOrders[[#This Row],[CustomerID]],tblCustomers[CustomerID],tblCustomers[CustomerName],"not found")</f>
        <v>Melvin Glover</v>
      </c>
      <c r="D1811">
        <f>_xlfn.XLOOKUP(tblOrders[[#This Row],[CustomerID]],tblCustomers[CustomerID],tblCustomers[Age],"not found")</f>
        <v>31</v>
      </c>
      <c r="E1811" t="str">
        <f>_xlfn.XLOOKUP(tblOrders[[#This Row],[CustomerID]],tblCustomers[CustomerID],tblCustomers[Gender],"not found")</f>
        <v>Male</v>
      </c>
      <c r="F1811" t="str">
        <f>_xlfn.XLOOKUP(tblOrders[[#This Row],[CustomerID]],tblCustomers[CustomerID],tblCustomers[Region],"not found")</f>
        <v>Central</v>
      </c>
      <c r="G1811">
        <v>1026</v>
      </c>
      <c r="H1811" t="str">
        <f>_xlfn.XLOOKUP(tblOrders[[#This Row],[ProductID]],tblProducts[ProductID],tblProducts[ProductName],"not found")</f>
        <v>Nation</v>
      </c>
      <c r="I1811" t="str">
        <f>_xlfn.XLOOKUP(tblOrders[[#This Row],[ProductID]],tblProducts[ProductID],tblProducts[Category],"not found")</f>
        <v>Electronics</v>
      </c>
      <c r="J1811">
        <f>_xlfn.XLOOKUP(tblOrders[[#This Row],[ProductID]],tblProducts[ProductID],tblProducts[UnitPrice],"not found")</f>
        <v>372.11</v>
      </c>
      <c r="K1811" t="str">
        <f>_xlfn.XLOOKUP(tblOrders[[#This Row],[ProductID]],tblProducts[ProductID],tblProducts[Supplier],"not found")</f>
        <v>Taylor-Lewis</v>
      </c>
      <c r="L1811" s="1" t="s">
        <v>2180</v>
      </c>
      <c r="M18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45500</v>
      </c>
      <c r="N1811">
        <v>2</v>
      </c>
      <c r="O1811">
        <v>744.22</v>
      </c>
      <c r="P1811">
        <f>tblOrders[[#This Row],[Quantity]]*tblOrders[[#This Row],[Unit Price]]</f>
        <v>744.22</v>
      </c>
      <c r="Q1811">
        <f>tblOrders[[#This Row],[TotalSales]]-tblOrders[[#This Row],[Calculated Sales]]</f>
        <v>0</v>
      </c>
    </row>
    <row r="1812" spans="1:17" x14ac:dyDescent="0.25">
      <c r="A1812">
        <v>295</v>
      </c>
      <c r="B1812">
        <v>815</v>
      </c>
      <c r="C1812" t="str">
        <f>_xlfn.XLOOKUP(tblOrders[[#This Row],[CustomerID]],tblCustomers[CustomerID],tblCustomers[CustomerName],"not found")</f>
        <v>Robert Greene</v>
      </c>
      <c r="D1812">
        <f>_xlfn.XLOOKUP(tblOrders[[#This Row],[CustomerID]],tblCustomers[CustomerID],tblCustomers[Age],"not found")</f>
        <v>18</v>
      </c>
      <c r="E1812" t="str">
        <f>_xlfn.XLOOKUP(tblOrders[[#This Row],[CustomerID]],tblCustomers[CustomerID],tblCustomers[Gender],"not found")</f>
        <v>Male</v>
      </c>
      <c r="F1812" t="str">
        <f>_xlfn.XLOOKUP(tblOrders[[#This Row],[CustomerID]],tblCustomers[CustomerID],tblCustomers[Region],"not found")</f>
        <v>South</v>
      </c>
      <c r="G1812">
        <v>1026</v>
      </c>
      <c r="H1812" t="str">
        <f>_xlfn.XLOOKUP(tblOrders[[#This Row],[ProductID]],tblProducts[ProductID],tblProducts[ProductName],"not found")</f>
        <v>Nation</v>
      </c>
      <c r="I1812" t="str">
        <f>_xlfn.XLOOKUP(tblOrders[[#This Row],[ProductID]],tblProducts[ProductID],tblProducts[Category],"not found")</f>
        <v>Electronics</v>
      </c>
      <c r="J1812">
        <f>_xlfn.XLOOKUP(tblOrders[[#This Row],[ProductID]],tblProducts[ProductID],tblProducts[UnitPrice],"not found")</f>
        <v>372.11</v>
      </c>
      <c r="K1812" t="str">
        <f>_xlfn.XLOOKUP(tblOrders[[#This Row],[ProductID]],tblProducts[ProductID],tblProducts[Supplier],"not found")</f>
        <v>Taylor-Lewis</v>
      </c>
      <c r="L1812" s="1" t="s">
        <v>2396</v>
      </c>
      <c r="M18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45153</v>
      </c>
      <c r="N1812">
        <v>6</v>
      </c>
      <c r="O1812">
        <v>2232.66</v>
      </c>
      <c r="P1812">
        <f>tblOrders[[#This Row],[Quantity]]*tblOrders[[#This Row],[Unit Price]]</f>
        <v>2232.66</v>
      </c>
      <c r="Q1812">
        <f>tblOrders[[#This Row],[TotalSales]]-tblOrders[[#This Row],[Calculated Sales]]</f>
        <v>0</v>
      </c>
    </row>
    <row r="1813" spans="1:17" x14ac:dyDescent="0.25">
      <c r="A1813">
        <v>466</v>
      </c>
      <c r="B1813">
        <v>119</v>
      </c>
      <c r="C1813" t="str">
        <f>_xlfn.XLOOKUP(tblOrders[[#This Row],[CustomerID]],tblCustomers[CustomerID],tblCustomers[CustomerName],"not found")</f>
        <v>Adam Valencia</v>
      </c>
      <c r="D1813">
        <f>_xlfn.XLOOKUP(tblOrders[[#This Row],[CustomerID]],tblCustomers[CustomerID],tblCustomers[Age],"not found")</f>
        <v>42</v>
      </c>
      <c r="E1813" t="str">
        <f>_xlfn.XLOOKUP(tblOrders[[#This Row],[CustomerID]],tblCustomers[CustomerID],tblCustomers[Gender],"not found")</f>
        <v>Male</v>
      </c>
      <c r="F1813" t="str">
        <f>_xlfn.XLOOKUP(tblOrders[[#This Row],[CustomerID]],tblCustomers[CustomerID],tblCustomers[Region],"not found")</f>
        <v>North</v>
      </c>
      <c r="G1813">
        <v>1026</v>
      </c>
      <c r="H1813" t="str">
        <f>_xlfn.XLOOKUP(tblOrders[[#This Row],[ProductID]],tblProducts[ProductID],tblProducts[ProductName],"not found")</f>
        <v>Nation</v>
      </c>
      <c r="I1813" t="str">
        <f>_xlfn.XLOOKUP(tblOrders[[#This Row],[ProductID]],tblProducts[ProductID],tblProducts[Category],"not found")</f>
        <v>Electronics</v>
      </c>
      <c r="J1813">
        <f>_xlfn.XLOOKUP(tblOrders[[#This Row],[ProductID]],tblProducts[ProductID],tblProducts[UnitPrice],"not found")</f>
        <v>372.11</v>
      </c>
      <c r="K1813" t="str">
        <f>_xlfn.XLOOKUP(tblOrders[[#This Row],[ProductID]],tblProducts[ProductID],tblProducts[Supplier],"not found")</f>
        <v>Taylor-Lewis</v>
      </c>
      <c r="L1813" s="1" t="s">
        <v>2191</v>
      </c>
      <c r="M18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45154</v>
      </c>
      <c r="N1813">
        <v>3</v>
      </c>
      <c r="O1813">
        <v>1116.33</v>
      </c>
      <c r="P1813">
        <f>tblOrders[[#This Row],[Quantity]]*tblOrders[[#This Row],[Unit Price]]</f>
        <v>1116.33</v>
      </c>
      <c r="Q1813">
        <f>tblOrders[[#This Row],[TotalSales]]-tblOrders[[#This Row],[Calculated Sales]]</f>
        <v>0</v>
      </c>
    </row>
    <row r="1814" spans="1:17" x14ac:dyDescent="0.25">
      <c r="A1814">
        <v>482</v>
      </c>
      <c r="B1814">
        <v>177</v>
      </c>
      <c r="C1814" t="str">
        <f>_xlfn.XLOOKUP(tblOrders[[#This Row],[CustomerID]],tblCustomers[CustomerID],tblCustomers[CustomerName],"not found")</f>
        <v>Cassandra Wright</v>
      </c>
      <c r="D1814">
        <f>_xlfn.XLOOKUP(tblOrders[[#This Row],[CustomerID]],tblCustomers[CustomerID],tblCustomers[Age],"not found")</f>
        <v>45</v>
      </c>
      <c r="E1814" t="str">
        <f>_xlfn.XLOOKUP(tblOrders[[#This Row],[CustomerID]],tblCustomers[CustomerID],tblCustomers[Gender],"not found")</f>
        <v>Male</v>
      </c>
      <c r="F1814" t="str">
        <f>_xlfn.XLOOKUP(tblOrders[[#This Row],[CustomerID]],tblCustomers[CustomerID],tblCustomers[Region],"not found")</f>
        <v>East</v>
      </c>
      <c r="G1814">
        <v>1026</v>
      </c>
      <c r="H1814" t="str">
        <f>_xlfn.XLOOKUP(tblOrders[[#This Row],[ProductID]],tblProducts[ProductID],tblProducts[ProductName],"not found")</f>
        <v>Nation</v>
      </c>
      <c r="I1814" t="str">
        <f>_xlfn.XLOOKUP(tblOrders[[#This Row],[ProductID]],tblProducts[ProductID],tblProducts[Category],"not found")</f>
        <v>Electronics</v>
      </c>
      <c r="J1814">
        <f>_xlfn.XLOOKUP(tblOrders[[#This Row],[ProductID]],tblProducts[ProductID],tblProducts[UnitPrice],"not found")</f>
        <v>372.11</v>
      </c>
      <c r="K1814" t="str">
        <f>_xlfn.XLOOKUP(tblOrders[[#This Row],[ProductID]],tblProducts[ProductID],tblProducts[Supplier],"not found")</f>
        <v>Taylor-Lewis</v>
      </c>
      <c r="L1814" s="1" t="s">
        <v>2211</v>
      </c>
      <c r="M18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45557</v>
      </c>
      <c r="N1814">
        <v>4</v>
      </c>
      <c r="O1814">
        <v>1488.44</v>
      </c>
      <c r="P1814">
        <f>tblOrders[[#This Row],[Quantity]]*tblOrders[[#This Row],[Unit Price]]</f>
        <v>1488.44</v>
      </c>
      <c r="Q1814">
        <f>tblOrders[[#This Row],[TotalSales]]-tblOrders[[#This Row],[Calculated Sales]]</f>
        <v>0</v>
      </c>
    </row>
    <row r="1815" spans="1:17" x14ac:dyDescent="0.25">
      <c r="A1815">
        <v>563</v>
      </c>
      <c r="B1815">
        <v>437</v>
      </c>
      <c r="C1815" t="str">
        <f>_xlfn.XLOOKUP(tblOrders[[#This Row],[CustomerID]],tblCustomers[CustomerID],tblCustomers[CustomerName],"not found")</f>
        <v>John Brown</v>
      </c>
      <c r="D1815">
        <f>_xlfn.XLOOKUP(tblOrders[[#This Row],[CustomerID]],tblCustomers[CustomerID],tblCustomers[Age],"not found")</f>
        <v>49</v>
      </c>
      <c r="E1815" t="str">
        <f>_xlfn.XLOOKUP(tblOrders[[#This Row],[CustomerID]],tblCustomers[CustomerID],tblCustomers[Gender],"not found")</f>
        <v>Female</v>
      </c>
      <c r="F1815" t="str">
        <f>_xlfn.XLOOKUP(tblOrders[[#This Row],[CustomerID]],tblCustomers[CustomerID],tblCustomers[Region],"not found")</f>
        <v>South</v>
      </c>
      <c r="G1815">
        <v>1026</v>
      </c>
      <c r="H1815" t="str">
        <f>_xlfn.XLOOKUP(tblOrders[[#This Row],[ProductID]],tblProducts[ProductID],tblProducts[ProductName],"not found")</f>
        <v>Nation</v>
      </c>
      <c r="I1815" t="str">
        <f>_xlfn.XLOOKUP(tblOrders[[#This Row],[ProductID]],tblProducts[ProductID],tblProducts[Category],"not found")</f>
        <v>Electronics</v>
      </c>
      <c r="J1815">
        <f>_xlfn.XLOOKUP(tblOrders[[#This Row],[ProductID]],tblProducts[ProductID],tblProducts[UnitPrice],"not found")</f>
        <v>372.11</v>
      </c>
      <c r="K1815" t="str">
        <f>_xlfn.XLOOKUP(tblOrders[[#This Row],[ProductID]],tblProducts[ProductID],tblProducts[Supplier],"not found")</f>
        <v>Taylor-Lewis</v>
      </c>
      <c r="L1815" s="1">
        <v>45119</v>
      </c>
      <c r="M18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45119</v>
      </c>
      <c r="N1815">
        <v>6</v>
      </c>
      <c r="O1815">
        <v>2232.66</v>
      </c>
      <c r="P1815">
        <f>tblOrders[[#This Row],[Quantity]]*tblOrders[[#This Row],[Unit Price]]</f>
        <v>2232.66</v>
      </c>
      <c r="Q1815">
        <f>tblOrders[[#This Row],[TotalSales]]-tblOrders[[#This Row],[Calculated Sales]]</f>
        <v>0</v>
      </c>
    </row>
    <row r="1816" spans="1:17" x14ac:dyDescent="0.25">
      <c r="A1816">
        <v>673</v>
      </c>
      <c r="B1816">
        <v>700</v>
      </c>
      <c r="C1816" t="str">
        <f>_xlfn.XLOOKUP(tblOrders[[#This Row],[CustomerID]],tblCustomers[CustomerID],tblCustomers[CustomerName],"not found")</f>
        <v>William Coleman</v>
      </c>
      <c r="D1816">
        <f>_xlfn.XLOOKUP(tblOrders[[#This Row],[CustomerID]],tblCustomers[CustomerID],tblCustomers[Age],"not found")</f>
        <v>34</v>
      </c>
      <c r="E1816" t="str">
        <f>_xlfn.XLOOKUP(tblOrders[[#This Row],[CustomerID]],tblCustomers[CustomerID],tblCustomers[Gender],"not found")</f>
        <v>Male</v>
      </c>
      <c r="F1816" t="str">
        <f>_xlfn.XLOOKUP(tblOrders[[#This Row],[CustomerID]],tblCustomers[CustomerID],tblCustomers[Region],"not found")</f>
        <v>South</v>
      </c>
      <c r="G1816">
        <v>1026</v>
      </c>
      <c r="H1816" t="str">
        <f>_xlfn.XLOOKUP(tblOrders[[#This Row],[ProductID]],tblProducts[ProductID],tblProducts[ProductName],"not found")</f>
        <v>Nation</v>
      </c>
      <c r="I1816" t="str">
        <f>_xlfn.XLOOKUP(tblOrders[[#This Row],[ProductID]],tblProducts[ProductID],tblProducts[Category],"not found")</f>
        <v>Electronics</v>
      </c>
      <c r="J1816">
        <f>_xlfn.XLOOKUP(tblOrders[[#This Row],[ProductID]],tblProducts[ProductID],tblProducts[UnitPrice],"not found")</f>
        <v>372.11</v>
      </c>
      <c r="K1816" t="str">
        <f>_xlfn.XLOOKUP(tblOrders[[#This Row],[ProductID]],tblProducts[ProductID],tblProducts[Supplier],"not found")</f>
        <v>Taylor-Lewis</v>
      </c>
      <c r="L1816" s="1" t="s">
        <v>2405</v>
      </c>
      <c r="M18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45350</v>
      </c>
      <c r="N1816">
        <v>6</v>
      </c>
      <c r="O1816">
        <v>2232.66</v>
      </c>
      <c r="P1816">
        <f>tblOrders[[#This Row],[Quantity]]*tblOrders[[#This Row],[Unit Price]]</f>
        <v>2232.66</v>
      </c>
      <c r="Q1816">
        <f>tblOrders[[#This Row],[TotalSales]]-tblOrders[[#This Row],[Calculated Sales]]</f>
        <v>0</v>
      </c>
    </row>
    <row r="1817" spans="1:17" x14ac:dyDescent="0.25">
      <c r="A1817">
        <v>968</v>
      </c>
      <c r="B1817">
        <v>519</v>
      </c>
      <c r="C1817" t="str">
        <f>_xlfn.XLOOKUP(tblOrders[[#This Row],[CustomerID]],tblCustomers[CustomerID],tblCustomers[CustomerName],"not found")</f>
        <v>Aaron Ward</v>
      </c>
      <c r="D1817">
        <f>_xlfn.XLOOKUP(tblOrders[[#This Row],[CustomerID]],tblCustomers[CustomerID],tblCustomers[Age],"not found")</f>
        <v>64</v>
      </c>
      <c r="E1817" t="str">
        <f>_xlfn.XLOOKUP(tblOrders[[#This Row],[CustomerID]],tblCustomers[CustomerID],tblCustomers[Gender],"not found")</f>
        <v>Male</v>
      </c>
      <c r="F1817" t="str">
        <f>_xlfn.XLOOKUP(tblOrders[[#This Row],[CustomerID]],tblCustomers[CustomerID],tblCustomers[Region],"not found")</f>
        <v>South</v>
      </c>
      <c r="G1817">
        <v>1026</v>
      </c>
      <c r="H1817" t="str">
        <f>_xlfn.XLOOKUP(tblOrders[[#This Row],[ProductID]],tblProducts[ProductID],tblProducts[ProductName],"not found")</f>
        <v>Nation</v>
      </c>
      <c r="I1817" t="str">
        <f>_xlfn.XLOOKUP(tblOrders[[#This Row],[ProductID]],tblProducts[ProductID],tblProducts[Category],"not found")</f>
        <v>Electronics</v>
      </c>
      <c r="J1817">
        <f>_xlfn.XLOOKUP(tblOrders[[#This Row],[ProductID]],tblProducts[ProductID],tblProducts[UnitPrice],"not found")</f>
        <v>372.11</v>
      </c>
      <c r="K1817" t="str">
        <f>_xlfn.XLOOKUP(tblOrders[[#This Row],[ProductID]],tblProducts[ProductID],tblProducts[Supplier],"not found")</f>
        <v>Taylor-Lewis</v>
      </c>
      <c r="L1817" s="1">
        <v>45149</v>
      </c>
      <c r="M18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45149</v>
      </c>
      <c r="N1817">
        <v>8</v>
      </c>
      <c r="O1817">
        <v>2976.88</v>
      </c>
      <c r="P1817">
        <f>tblOrders[[#This Row],[Quantity]]*tblOrders[[#This Row],[Unit Price]]</f>
        <v>2976.88</v>
      </c>
      <c r="Q1817">
        <f>tblOrders[[#This Row],[TotalSales]]-tblOrders[[#This Row],[Calculated Sales]]</f>
        <v>0</v>
      </c>
    </row>
    <row r="1818" spans="1:17" x14ac:dyDescent="0.25">
      <c r="A1818">
        <v>1109</v>
      </c>
      <c r="B1818">
        <v>768</v>
      </c>
      <c r="C1818" t="str">
        <f>_xlfn.XLOOKUP(tblOrders[[#This Row],[CustomerID]],tblCustomers[CustomerID],tblCustomers[CustomerName],"not found")</f>
        <v>Nathan Garcia</v>
      </c>
      <c r="D1818">
        <f>_xlfn.XLOOKUP(tblOrders[[#This Row],[CustomerID]],tblCustomers[CustomerID],tblCustomers[Age],"not found")</f>
        <v>26</v>
      </c>
      <c r="E1818" t="str">
        <f>_xlfn.XLOOKUP(tblOrders[[#This Row],[CustomerID]],tblCustomers[CustomerID],tblCustomers[Gender],"not found")</f>
        <v>Male</v>
      </c>
      <c r="F1818" t="str">
        <f>_xlfn.XLOOKUP(tblOrders[[#This Row],[CustomerID]],tblCustomers[CustomerID],tblCustomers[Region],"not found")</f>
        <v>North</v>
      </c>
      <c r="G1818">
        <v>1026</v>
      </c>
      <c r="H1818" t="str">
        <f>_xlfn.XLOOKUP(tblOrders[[#This Row],[ProductID]],tblProducts[ProductID],tblProducts[ProductName],"not found")</f>
        <v>Nation</v>
      </c>
      <c r="I1818" t="str">
        <f>_xlfn.XLOOKUP(tblOrders[[#This Row],[ProductID]],tblProducts[ProductID],tblProducts[Category],"not found")</f>
        <v>Electronics</v>
      </c>
      <c r="J1818">
        <f>_xlfn.XLOOKUP(tblOrders[[#This Row],[ProductID]],tblProducts[ProductID],tblProducts[UnitPrice],"not found")</f>
        <v>372.11</v>
      </c>
      <c r="K1818" t="str">
        <f>_xlfn.XLOOKUP(tblOrders[[#This Row],[ProductID]],tblProducts[ProductID],tblProducts[Supplier],"not found")</f>
        <v>Taylor-Lewis</v>
      </c>
      <c r="L1818" s="1">
        <v>44934</v>
      </c>
      <c r="M18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44934</v>
      </c>
      <c r="N1818">
        <v>1</v>
      </c>
      <c r="O1818">
        <v>372.11</v>
      </c>
      <c r="P1818">
        <f>tblOrders[[#This Row],[Quantity]]*tblOrders[[#This Row],[Unit Price]]</f>
        <v>372.11</v>
      </c>
      <c r="Q1818">
        <f>tblOrders[[#This Row],[TotalSales]]-tblOrders[[#This Row],[Calculated Sales]]</f>
        <v>0</v>
      </c>
    </row>
    <row r="1819" spans="1:17" x14ac:dyDescent="0.25">
      <c r="A1819">
        <v>1277</v>
      </c>
      <c r="B1819">
        <v>383</v>
      </c>
      <c r="C1819" t="str">
        <f>_xlfn.XLOOKUP(tblOrders[[#This Row],[CustomerID]],tblCustomers[CustomerID],tblCustomers[CustomerName],"not found")</f>
        <v>Karen Irwin</v>
      </c>
      <c r="D1819">
        <f>_xlfn.XLOOKUP(tblOrders[[#This Row],[CustomerID]],tblCustomers[CustomerID],tblCustomers[Age],"not found")</f>
        <v>18</v>
      </c>
      <c r="E1819" t="str">
        <f>_xlfn.XLOOKUP(tblOrders[[#This Row],[CustomerID]],tblCustomers[CustomerID],tblCustomers[Gender],"not found")</f>
        <v>Male</v>
      </c>
      <c r="F1819" t="str">
        <f>_xlfn.XLOOKUP(tblOrders[[#This Row],[CustomerID]],tblCustomers[CustomerID],tblCustomers[Region],"not found")</f>
        <v>West</v>
      </c>
      <c r="G1819">
        <v>1026</v>
      </c>
      <c r="H1819" t="str">
        <f>_xlfn.XLOOKUP(tblOrders[[#This Row],[ProductID]],tblProducts[ProductID],tblProducts[ProductName],"not found")</f>
        <v>Nation</v>
      </c>
      <c r="I1819" t="str">
        <f>_xlfn.XLOOKUP(tblOrders[[#This Row],[ProductID]],tblProducts[ProductID],tblProducts[Category],"not found")</f>
        <v>Electronics</v>
      </c>
      <c r="J1819">
        <f>_xlfn.XLOOKUP(tblOrders[[#This Row],[ProductID]],tblProducts[ProductID],tblProducts[UnitPrice],"not found")</f>
        <v>372.11</v>
      </c>
      <c r="K1819" t="str">
        <f>_xlfn.XLOOKUP(tblOrders[[#This Row],[ProductID]],tblProducts[ProductID],tblProducts[Supplier],"not found")</f>
        <v>Taylor-Lewis</v>
      </c>
      <c r="L1819" s="1" t="s">
        <v>2414</v>
      </c>
      <c r="M18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45522</v>
      </c>
      <c r="N1819">
        <v>2</v>
      </c>
      <c r="O1819">
        <v>744.22</v>
      </c>
      <c r="P1819">
        <f>tblOrders[[#This Row],[Quantity]]*tblOrders[[#This Row],[Unit Price]]</f>
        <v>744.22</v>
      </c>
      <c r="Q1819">
        <f>tblOrders[[#This Row],[TotalSales]]-tblOrders[[#This Row],[Calculated Sales]]</f>
        <v>0</v>
      </c>
    </row>
    <row r="1820" spans="1:17" x14ac:dyDescent="0.25">
      <c r="A1820">
        <v>1476</v>
      </c>
      <c r="B1820">
        <v>831</v>
      </c>
      <c r="C1820" t="str">
        <f>_xlfn.XLOOKUP(tblOrders[[#This Row],[CustomerID]],tblCustomers[CustomerID],tblCustomers[CustomerName],"not found")</f>
        <v>Lindsey Gilbert</v>
      </c>
      <c r="D1820">
        <f>_xlfn.XLOOKUP(tblOrders[[#This Row],[CustomerID]],tblCustomers[CustomerID],tblCustomers[Age],"not found")</f>
        <v>67</v>
      </c>
      <c r="E1820" t="str">
        <f>_xlfn.XLOOKUP(tblOrders[[#This Row],[CustomerID]],tblCustomers[CustomerID],tblCustomers[Gender],"not found")</f>
        <v>Male</v>
      </c>
      <c r="F1820" t="str">
        <f>_xlfn.XLOOKUP(tblOrders[[#This Row],[CustomerID]],tblCustomers[CustomerID],tblCustomers[Region],"not found")</f>
        <v>South</v>
      </c>
      <c r="G1820">
        <v>1026</v>
      </c>
      <c r="H1820" t="str">
        <f>_xlfn.XLOOKUP(tblOrders[[#This Row],[ProductID]],tblProducts[ProductID],tblProducts[ProductName],"not found")</f>
        <v>Nation</v>
      </c>
      <c r="I1820" t="str">
        <f>_xlfn.XLOOKUP(tblOrders[[#This Row],[ProductID]],tblProducts[ProductID],tblProducts[Category],"not found")</f>
        <v>Electronics</v>
      </c>
      <c r="J1820">
        <f>_xlfn.XLOOKUP(tblOrders[[#This Row],[ProductID]],tblProducts[ProductID],tblProducts[UnitPrice],"not found")</f>
        <v>372.11</v>
      </c>
      <c r="K1820" t="str">
        <f>_xlfn.XLOOKUP(tblOrders[[#This Row],[ProductID]],tblProducts[ProductID],tblProducts[Supplier],"not found")</f>
        <v>Taylor-Lewis</v>
      </c>
      <c r="L1820" s="1" t="s">
        <v>2130</v>
      </c>
      <c r="M18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1820">
        <v>3</v>
      </c>
      <c r="O1820">
        <v>1116.33</v>
      </c>
      <c r="P1820">
        <f>tblOrders[[#This Row],[Quantity]]*tblOrders[[#This Row],[Unit Price]]</f>
        <v>1116.33</v>
      </c>
      <c r="Q1820">
        <f>tblOrders[[#This Row],[TotalSales]]-tblOrders[[#This Row],[Calculated Sales]]</f>
        <v>0</v>
      </c>
    </row>
    <row r="1821" spans="1:17" x14ac:dyDescent="0.25">
      <c r="A1821">
        <v>1611</v>
      </c>
      <c r="B1821">
        <v>700</v>
      </c>
      <c r="C1821" t="str">
        <f>_xlfn.XLOOKUP(tblOrders[[#This Row],[CustomerID]],tblCustomers[CustomerID],tblCustomers[CustomerName],"not found")</f>
        <v>William Coleman</v>
      </c>
      <c r="D1821">
        <f>_xlfn.XLOOKUP(tblOrders[[#This Row],[CustomerID]],tblCustomers[CustomerID],tblCustomers[Age],"not found")</f>
        <v>34</v>
      </c>
      <c r="E1821" t="str">
        <f>_xlfn.XLOOKUP(tblOrders[[#This Row],[CustomerID]],tblCustomers[CustomerID],tblCustomers[Gender],"not found")</f>
        <v>Male</v>
      </c>
      <c r="F1821" t="str">
        <f>_xlfn.XLOOKUP(tblOrders[[#This Row],[CustomerID]],tblCustomers[CustomerID],tblCustomers[Region],"not found")</f>
        <v>South</v>
      </c>
      <c r="G1821">
        <v>1026</v>
      </c>
      <c r="H1821" t="str">
        <f>_xlfn.XLOOKUP(tblOrders[[#This Row],[ProductID]],tblProducts[ProductID],tblProducts[ProductName],"not found")</f>
        <v>Nation</v>
      </c>
      <c r="I1821" t="str">
        <f>_xlfn.XLOOKUP(tblOrders[[#This Row],[ProductID]],tblProducts[ProductID],tblProducts[Category],"not found")</f>
        <v>Electronics</v>
      </c>
      <c r="J1821">
        <f>_xlfn.XLOOKUP(tblOrders[[#This Row],[ProductID]],tblProducts[ProductID],tblProducts[UnitPrice],"not found")</f>
        <v>372.11</v>
      </c>
      <c r="K1821" t="str">
        <f>_xlfn.XLOOKUP(tblOrders[[#This Row],[ProductID]],tblProducts[ProductID],tblProducts[Supplier],"not found")</f>
        <v>Taylor-Lewis</v>
      </c>
      <c r="L1821" s="1">
        <v>45205</v>
      </c>
      <c r="M18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45205</v>
      </c>
      <c r="N1821">
        <v>7</v>
      </c>
      <c r="O1821">
        <v>2604.77</v>
      </c>
      <c r="P1821">
        <f>tblOrders[[#This Row],[Quantity]]*tblOrders[[#This Row],[Unit Price]]</f>
        <v>2604.77</v>
      </c>
      <c r="Q1821">
        <f>tblOrders[[#This Row],[TotalSales]]-tblOrders[[#This Row],[Calculated Sales]]</f>
        <v>0</v>
      </c>
    </row>
    <row r="1822" spans="1:17" x14ac:dyDescent="0.25">
      <c r="A1822">
        <v>1670</v>
      </c>
      <c r="B1822">
        <v>594</v>
      </c>
      <c r="C1822" t="str">
        <f>_xlfn.XLOOKUP(tblOrders[[#This Row],[CustomerID]],tblCustomers[CustomerID],tblCustomers[CustomerName],"not found")</f>
        <v>Rachel Jones</v>
      </c>
      <c r="D1822">
        <f>_xlfn.XLOOKUP(tblOrders[[#This Row],[CustomerID]],tblCustomers[CustomerID],tblCustomers[Age],"not found")</f>
        <v>51</v>
      </c>
      <c r="E1822" t="str">
        <f>_xlfn.XLOOKUP(tblOrders[[#This Row],[CustomerID]],tblCustomers[CustomerID],tblCustomers[Gender],"not found")</f>
        <v>Male</v>
      </c>
      <c r="F1822" t="str">
        <f>_xlfn.XLOOKUP(tblOrders[[#This Row],[CustomerID]],tblCustomers[CustomerID],tblCustomers[Region],"not found")</f>
        <v>Central</v>
      </c>
      <c r="G1822">
        <v>1026</v>
      </c>
      <c r="H1822" t="str">
        <f>_xlfn.XLOOKUP(tblOrders[[#This Row],[ProductID]],tblProducts[ProductID],tblProducts[ProductName],"not found")</f>
        <v>Nation</v>
      </c>
      <c r="I1822" t="str">
        <f>_xlfn.XLOOKUP(tblOrders[[#This Row],[ProductID]],tblProducts[ProductID],tblProducts[Category],"not found")</f>
        <v>Electronics</v>
      </c>
      <c r="J1822">
        <f>_xlfn.XLOOKUP(tblOrders[[#This Row],[ProductID]],tblProducts[ProductID],tblProducts[UnitPrice],"not found")</f>
        <v>372.11</v>
      </c>
      <c r="K1822" t="str">
        <f>_xlfn.XLOOKUP(tblOrders[[#This Row],[ProductID]],tblProducts[ProductID],tblProducts[Supplier],"not found")</f>
        <v>Taylor-Lewis</v>
      </c>
      <c r="L1822" s="1">
        <v>45632</v>
      </c>
      <c r="M18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45632</v>
      </c>
      <c r="N1822">
        <v>6</v>
      </c>
      <c r="O1822">
        <v>2232.66</v>
      </c>
      <c r="P1822">
        <f>tblOrders[[#This Row],[Quantity]]*tblOrders[[#This Row],[Unit Price]]</f>
        <v>2232.66</v>
      </c>
      <c r="Q1822">
        <f>tblOrders[[#This Row],[TotalSales]]-tblOrders[[#This Row],[Calculated Sales]]</f>
        <v>0</v>
      </c>
    </row>
    <row r="1823" spans="1:17" x14ac:dyDescent="0.25">
      <c r="A1823">
        <v>1870</v>
      </c>
      <c r="B1823">
        <v>540</v>
      </c>
      <c r="C1823" t="str">
        <f>_xlfn.XLOOKUP(tblOrders[[#This Row],[CustomerID]],tblCustomers[CustomerID],tblCustomers[CustomerName],"not found")</f>
        <v>Zachary Carlson</v>
      </c>
      <c r="D1823">
        <f>_xlfn.XLOOKUP(tblOrders[[#This Row],[CustomerID]],tblCustomers[CustomerID],tblCustomers[Age],"not found")</f>
        <v>68</v>
      </c>
      <c r="E1823" t="str">
        <f>_xlfn.XLOOKUP(tblOrders[[#This Row],[CustomerID]],tblCustomers[CustomerID],tblCustomers[Gender],"not found")</f>
        <v>Female</v>
      </c>
      <c r="F1823" t="str">
        <f>_xlfn.XLOOKUP(tblOrders[[#This Row],[CustomerID]],tblCustomers[CustomerID],tblCustomers[Region],"not found")</f>
        <v>Central</v>
      </c>
      <c r="G1823">
        <v>1026</v>
      </c>
      <c r="H1823" t="str">
        <f>_xlfn.XLOOKUP(tblOrders[[#This Row],[ProductID]],tblProducts[ProductID],tblProducts[ProductName],"not found")</f>
        <v>Nation</v>
      </c>
      <c r="I1823" t="str">
        <f>_xlfn.XLOOKUP(tblOrders[[#This Row],[ProductID]],tblProducts[ProductID],tblProducts[Category],"not found")</f>
        <v>Electronics</v>
      </c>
      <c r="J1823">
        <f>_xlfn.XLOOKUP(tblOrders[[#This Row],[ProductID]],tblProducts[ProductID],tblProducts[UnitPrice],"not found")</f>
        <v>372.11</v>
      </c>
      <c r="K1823" t="str">
        <f>_xlfn.XLOOKUP(tblOrders[[#This Row],[ProductID]],tblProducts[ProductID],tblProducts[Supplier],"not found")</f>
        <v>Taylor-Lewis</v>
      </c>
      <c r="L1823" s="1" t="s">
        <v>2391</v>
      </c>
      <c r="M18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45041</v>
      </c>
      <c r="N1823">
        <v>4</v>
      </c>
      <c r="O1823">
        <v>1488.44</v>
      </c>
      <c r="P1823">
        <f>tblOrders[[#This Row],[Quantity]]*tblOrders[[#This Row],[Unit Price]]</f>
        <v>1488.44</v>
      </c>
      <c r="Q1823">
        <f>tblOrders[[#This Row],[TotalSales]]-tblOrders[[#This Row],[Calculated Sales]]</f>
        <v>0</v>
      </c>
    </row>
    <row r="1824" spans="1:17" x14ac:dyDescent="0.25">
      <c r="A1824">
        <v>198</v>
      </c>
      <c r="B1824">
        <v>781</v>
      </c>
      <c r="C1824" t="str">
        <f>_xlfn.XLOOKUP(tblOrders[[#This Row],[CustomerID]],tblCustomers[CustomerID],tblCustomers[CustomerName],"not found")</f>
        <v>Jennifer Allen</v>
      </c>
      <c r="D1824">
        <f>_xlfn.XLOOKUP(tblOrders[[#This Row],[CustomerID]],tblCustomers[CustomerID],tblCustomers[Age],"not found")</f>
        <v>20</v>
      </c>
      <c r="E1824" t="str">
        <f>_xlfn.XLOOKUP(tblOrders[[#This Row],[CustomerID]],tblCustomers[CustomerID],tblCustomers[Gender],"not found")</f>
        <v>Female</v>
      </c>
      <c r="F1824" t="str">
        <f>_xlfn.XLOOKUP(tblOrders[[#This Row],[CustomerID]],tblCustomers[CustomerID],tblCustomers[Region],"not found")</f>
        <v>North</v>
      </c>
      <c r="G1824">
        <v>1096</v>
      </c>
      <c r="H1824" t="str">
        <f>_xlfn.XLOOKUP(tblOrders[[#This Row],[ProductID]],tblProducts[ProductID],tblProducts[ProductName],"not found")</f>
        <v>Message</v>
      </c>
      <c r="I1824" t="str">
        <f>_xlfn.XLOOKUP(tblOrders[[#This Row],[ProductID]],tblProducts[ProductID],tblProducts[Category],"not found")</f>
        <v>Apparel</v>
      </c>
      <c r="J1824">
        <f>_xlfn.XLOOKUP(tblOrders[[#This Row],[ProductID]],tblProducts[ProductID],tblProducts[UnitPrice],"not found")</f>
        <v>308.39</v>
      </c>
      <c r="K1824" t="str">
        <f>_xlfn.XLOOKUP(tblOrders[[#This Row],[ProductID]],tblProducts[ProductID],tblProducts[Supplier],"not found")</f>
        <v>Sheppard-Sullivan</v>
      </c>
      <c r="L1824" s="1">
        <v>44724</v>
      </c>
      <c r="M18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44724</v>
      </c>
      <c r="N1824">
        <v>5</v>
      </c>
      <c r="O1824">
        <v>1541.95</v>
      </c>
      <c r="P1824">
        <f>tblOrders[[#This Row],[Quantity]]*tblOrders[[#This Row],[Unit Price]]</f>
        <v>1541.9499999999998</v>
      </c>
      <c r="Q1824">
        <f>tblOrders[[#This Row],[TotalSales]]-tblOrders[[#This Row],[Calculated Sales]]</f>
        <v>0</v>
      </c>
    </row>
    <row r="1825" spans="1:17" x14ac:dyDescent="0.25">
      <c r="A1825">
        <v>228</v>
      </c>
      <c r="B1825">
        <v>252</v>
      </c>
      <c r="C1825" t="str">
        <f>_xlfn.XLOOKUP(tblOrders[[#This Row],[CustomerID]],tblCustomers[CustomerID],tblCustomers[CustomerName],"not found")</f>
        <v>Robert Gonzales</v>
      </c>
      <c r="D1825">
        <f>_xlfn.XLOOKUP(tblOrders[[#This Row],[CustomerID]],tblCustomers[CustomerID],tblCustomers[Age],"not found")</f>
        <v>36</v>
      </c>
      <c r="E1825" t="str">
        <f>_xlfn.XLOOKUP(tblOrders[[#This Row],[CustomerID]],tblCustomers[CustomerID],tblCustomers[Gender],"not found")</f>
        <v>Female</v>
      </c>
      <c r="F1825" t="str">
        <f>_xlfn.XLOOKUP(tblOrders[[#This Row],[CustomerID]],tblCustomers[CustomerID],tblCustomers[Region],"not found")</f>
        <v>West</v>
      </c>
      <c r="G1825">
        <v>1096</v>
      </c>
      <c r="H1825" t="str">
        <f>_xlfn.XLOOKUP(tblOrders[[#This Row],[ProductID]],tblProducts[ProductID],tblProducts[ProductName],"not found")</f>
        <v>Message</v>
      </c>
      <c r="I1825" t="str">
        <f>_xlfn.XLOOKUP(tblOrders[[#This Row],[ProductID]],tblProducts[ProductID],tblProducts[Category],"not found")</f>
        <v>Apparel</v>
      </c>
      <c r="J1825">
        <f>_xlfn.XLOOKUP(tblOrders[[#This Row],[ProductID]],tblProducts[ProductID],tblProducts[UnitPrice],"not found")</f>
        <v>308.39</v>
      </c>
      <c r="K1825" t="str">
        <f>_xlfn.XLOOKUP(tblOrders[[#This Row],[ProductID]],tblProducts[ProductID],tblProducts[Supplier],"not found")</f>
        <v>Sheppard-Sullivan</v>
      </c>
      <c r="L1825" s="1">
        <v>45479</v>
      </c>
      <c r="M18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45479</v>
      </c>
      <c r="N1825">
        <v>5</v>
      </c>
      <c r="O1825">
        <v>1541.95</v>
      </c>
      <c r="P1825">
        <f>tblOrders[[#This Row],[Quantity]]*tblOrders[[#This Row],[Unit Price]]</f>
        <v>1541.9499999999998</v>
      </c>
      <c r="Q1825">
        <f>tblOrders[[#This Row],[TotalSales]]-tblOrders[[#This Row],[Calculated Sales]]</f>
        <v>0</v>
      </c>
    </row>
    <row r="1826" spans="1:17" x14ac:dyDescent="0.25">
      <c r="A1826">
        <v>544</v>
      </c>
      <c r="B1826">
        <v>816</v>
      </c>
      <c r="C1826" t="str">
        <f>_xlfn.XLOOKUP(tblOrders[[#This Row],[CustomerID]],tblCustomers[CustomerID],tblCustomers[CustomerName],"not found")</f>
        <v>Anna Nguyen</v>
      </c>
      <c r="D1826">
        <f>_xlfn.XLOOKUP(tblOrders[[#This Row],[CustomerID]],tblCustomers[CustomerID],tblCustomers[Age],"not found")</f>
        <v>36</v>
      </c>
      <c r="E1826" t="str">
        <f>_xlfn.XLOOKUP(tblOrders[[#This Row],[CustomerID]],tblCustomers[CustomerID],tblCustomers[Gender],"not found")</f>
        <v>Female</v>
      </c>
      <c r="F1826" t="str">
        <f>_xlfn.XLOOKUP(tblOrders[[#This Row],[CustomerID]],tblCustomers[CustomerID],tblCustomers[Region],"not found")</f>
        <v>South</v>
      </c>
      <c r="G1826">
        <v>1096</v>
      </c>
      <c r="H1826" t="str">
        <f>_xlfn.XLOOKUP(tblOrders[[#This Row],[ProductID]],tblProducts[ProductID],tblProducts[ProductName],"not found")</f>
        <v>Message</v>
      </c>
      <c r="I1826" t="str">
        <f>_xlfn.XLOOKUP(tblOrders[[#This Row],[ProductID]],tblProducts[ProductID],tblProducts[Category],"not found")</f>
        <v>Apparel</v>
      </c>
      <c r="J1826">
        <f>_xlfn.XLOOKUP(tblOrders[[#This Row],[ProductID]],tblProducts[ProductID],tblProducts[UnitPrice],"not found")</f>
        <v>308.39</v>
      </c>
      <c r="K1826" t="str">
        <f>_xlfn.XLOOKUP(tblOrders[[#This Row],[ProductID]],tblProducts[ProductID],tblProducts[Supplier],"not found")</f>
        <v>Sheppard-Sullivan</v>
      </c>
      <c r="L1826" s="1" t="s">
        <v>2257</v>
      </c>
      <c r="M18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1826">
        <v>3</v>
      </c>
      <c r="O1826">
        <v>925.17</v>
      </c>
      <c r="P1826">
        <f>tblOrders[[#This Row],[Quantity]]*tblOrders[[#This Row],[Unit Price]]</f>
        <v>925.17</v>
      </c>
      <c r="Q1826">
        <f>tblOrders[[#This Row],[TotalSales]]-tblOrders[[#This Row],[Calculated Sales]]</f>
        <v>0</v>
      </c>
    </row>
    <row r="1827" spans="1:17" x14ac:dyDescent="0.25">
      <c r="A1827">
        <v>616</v>
      </c>
      <c r="B1827">
        <v>789</v>
      </c>
      <c r="C1827" t="str">
        <f>_xlfn.XLOOKUP(tblOrders[[#This Row],[CustomerID]],tblCustomers[CustomerID],tblCustomers[CustomerName],"not found")</f>
        <v>Timothy Weeks</v>
      </c>
      <c r="D1827">
        <f>_xlfn.XLOOKUP(tblOrders[[#This Row],[CustomerID]],tblCustomers[CustomerID],tblCustomers[Age],"not found")</f>
        <v>36</v>
      </c>
      <c r="E1827" t="str">
        <f>_xlfn.XLOOKUP(tblOrders[[#This Row],[CustomerID]],tblCustomers[CustomerID],tblCustomers[Gender],"not found")</f>
        <v>Female</v>
      </c>
      <c r="F1827" t="str">
        <f>_xlfn.XLOOKUP(tblOrders[[#This Row],[CustomerID]],tblCustomers[CustomerID],tblCustomers[Region],"not found")</f>
        <v>Central</v>
      </c>
      <c r="G1827">
        <v>1096</v>
      </c>
      <c r="H1827" t="str">
        <f>_xlfn.XLOOKUP(tblOrders[[#This Row],[ProductID]],tblProducts[ProductID],tblProducts[ProductName],"not found")</f>
        <v>Message</v>
      </c>
      <c r="I1827" t="str">
        <f>_xlfn.XLOOKUP(tblOrders[[#This Row],[ProductID]],tblProducts[ProductID],tblProducts[Category],"not found")</f>
        <v>Apparel</v>
      </c>
      <c r="J1827">
        <f>_xlfn.XLOOKUP(tblOrders[[#This Row],[ProductID]],tblProducts[ProductID],tblProducts[UnitPrice],"not found")</f>
        <v>308.39</v>
      </c>
      <c r="K1827" t="str">
        <f>_xlfn.XLOOKUP(tblOrders[[#This Row],[ProductID]],tblProducts[ProductID],tblProducts[Supplier],"not found")</f>
        <v>Sheppard-Sullivan</v>
      </c>
      <c r="L1827" s="1" t="s">
        <v>2017</v>
      </c>
      <c r="M18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45129</v>
      </c>
      <c r="N1827">
        <v>9</v>
      </c>
      <c r="O1827">
        <v>2775.51</v>
      </c>
      <c r="P1827">
        <f>tblOrders[[#This Row],[Quantity]]*tblOrders[[#This Row],[Unit Price]]</f>
        <v>2775.5099999999998</v>
      </c>
      <c r="Q1827">
        <f>tblOrders[[#This Row],[TotalSales]]-tblOrders[[#This Row],[Calculated Sales]]</f>
        <v>0</v>
      </c>
    </row>
    <row r="1828" spans="1:17" x14ac:dyDescent="0.25">
      <c r="A1828">
        <v>629</v>
      </c>
      <c r="B1828">
        <v>435</v>
      </c>
      <c r="C1828" t="str">
        <f>_xlfn.XLOOKUP(tblOrders[[#This Row],[CustomerID]],tblCustomers[CustomerID],tblCustomers[CustomerName],"not found")</f>
        <v>Judy Garcia DDS</v>
      </c>
      <c r="D1828">
        <f>_xlfn.XLOOKUP(tblOrders[[#This Row],[CustomerID]],tblCustomers[CustomerID],tblCustomers[Age],"not found")</f>
        <v>62</v>
      </c>
      <c r="E1828" t="str">
        <f>_xlfn.XLOOKUP(tblOrders[[#This Row],[CustomerID]],tblCustomers[CustomerID],tblCustomers[Gender],"not found")</f>
        <v>Female</v>
      </c>
      <c r="F1828" t="str">
        <f>_xlfn.XLOOKUP(tblOrders[[#This Row],[CustomerID]],tblCustomers[CustomerID],tblCustomers[Region],"not found")</f>
        <v>West</v>
      </c>
      <c r="G1828">
        <v>1096</v>
      </c>
      <c r="H1828" t="str">
        <f>_xlfn.XLOOKUP(tblOrders[[#This Row],[ProductID]],tblProducts[ProductID],tblProducts[ProductName],"not found")</f>
        <v>Message</v>
      </c>
      <c r="I1828" t="str">
        <f>_xlfn.XLOOKUP(tblOrders[[#This Row],[ProductID]],tblProducts[ProductID],tblProducts[Category],"not found")</f>
        <v>Apparel</v>
      </c>
      <c r="J1828">
        <f>_xlfn.XLOOKUP(tblOrders[[#This Row],[ProductID]],tblProducts[ProductID],tblProducts[UnitPrice],"not found")</f>
        <v>308.39</v>
      </c>
      <c r="K1828" t="str">
        <f>_xlfn.XLOOKUP(tblOrders[[#This Row],[ProductID]],tblProducts[ProductID],tblProducts[Supplier],"not found")</f>
        <v>Sheppard-Sullivan</v>
      </c>
      <c r="L1828" s="1" t="s">
        <v>2016</v>
      </c>
      <c r="M18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45163</v>
      </c>
      <c r="N1828">
        <v>9</v>
      </c>
      <c r="O1828">
        <v>2775.51</v>
      </c>
      <c r="P1828">
        <f>tblOrders[[#This Row],[Quantity]]*tblOrders[[#This Row],[Unit Price]]</f>
        <v>2775.5099999999998</v>
      </c>
      <c r="Q1828">
        <f>tblOrders[[#This Row],[TotalSales]]-tblOrders[[#This Row],[Calculated Sales]]</f>
        <v>0</v>
      </c>
    </row>
    <row r="1829" spans="1:17" x14ac:dyDescent="0.25">
      <c r="A1829">
        <v>632</v>
      </c>
      <c r="B1829">
        <v>884</v>
      </c>
      <c r="C1829" t="str">
        <f>_xlfn.XLOOKUP(tblOrders[[#This Row],[CustomerID]],tblCustomers[CustomerID],tblCustomers[CustomerName],"not found")</f>
        <v>Ashley Allen</v>
      </c>
      <c r="D1829">
        <f>_xlfn.XLOOKUP(tblOrders[[#This Row],[CustomerID]],tblCustomers[CustomerID],tblCustomers[Age],"not found")</f>
        <v>50</v>
      </c>
      <c r="E1829" t="str">
        <f>_xlfn.XLOOKUP(tblOrders[[#This Row],[CustomerID]],tblCustomers[CustomerID],tblCustomers[Gender],"not found")</f>
        <v>Female</v>
      </c>
      <c r="F1829" t="str">
        <f>_xlfn.XLOOKUP(tblOrders[[#This Row],[CustomerID]],tblCustomers[CustomerID],tblCustomers[Region],"not found")</f>
        <v>Central</v>
      </c>
      <c r="G1829">
        <v>1096</v>
      </c>
      <c r="H1829" t="str">
        <f>_xlfn.XLOOKUP(tblOrders[[#This Row],[ProductID]],tblProducts[ProductID],tblProducts[ProductName],"not found")</f>
        <v>Message</v>
      </c>
      <c r="I1829" t="str">
        <f>_xlfn.XLOOKUP(tblOrders[[#This Row],[ProductID]],tblProducts[ProductID],tblProducts[Category],"not found")</f>
        <v>Apparel</v>
      </c>
      <c r="J1829">
        <f>_xlfn.XLOOKUP(tblOrders[[#This Row],[ProductID]],tblProducts[ProductID],tblProducts[UnitPrice],"not found")</f>
        <v>308.39</v>
      </c>
      <c r="K1829" t="str">
        <f>_xlfn.XLOOKUP(tblOrders[[#This Row],[ProductID]],tblProducts[ProductID],tblProducts[Supplier],"not found")</f>
        <v>Sheppard-Sullivan</v>
      </c>
      <c r="L1829" s="1">
        <v>45453</v>
      </c>
      <c r="M18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45453</v>
      </c>
      <c r="N1829">
        <v>1</v>
      </c>
      <c r="O1829">
        <v>308.39</v>
      </c>
      <c r="P1829">
        <f>tblOrders[[#This Row],[Quantity]]*tblOrders[[#This Row],[Unit Price]]</f>
        <v>308.39</v>
      </c>
      <c r="Q1829">
        <f>tblOrders[[#This Row],[TotalSales]]-tblOrders[[#This Row],[Calculated Sales]]</f>
        <v>0</v>
      </c>
    </row>
    <row r="1830" spans="1:17" x14ac:dyDescent="0.25">
      <c r="A1830">
        <v>677</v>
      </c>
      <c r="B1830">
        <v>696</v>
      </c>
      <c r="C1830" t="str">
        <f>_xlfn.XLOOKUP(tblOrders[[#This Row],[CustomerID]],tblCustomers[CustomerID],tblCustomers[CustomerName],"not found")</f>
        <v>Anthony Acosta</v>
      </c>
      <c r="D1830">
        <f>_xlfn.XLOOKUP(tblOrders[[#This Row],[CustomerID]],tblCustomers[CustomerID],tblCustomers[Age],"not found")</f>
        <v>22</v>
      </c>
      <c r="E1830" t="str">
        <f>_xlfn.XLOOKUP(tblOrders[[#This Row],[CustomerID]],tblCustomers[CustomerID],tblCustomers[Gender],"not found")</f>
        <v>Female</v>
      </c>
      <c r="F1830" t="str">
        <f>_xlfn.XLOOKUP(tblOrders[[#This Row],[CustomerID]],tblCustomers[CustomerID],tblCustomers[Region],"not found")</f>
        <v>South</v>
      </c>
      <c r="G1830">
        <v>1096</v>
      </c>
      <c r="H1830" t="str">
        <f>_xlfn.XLOOKUP(tblOrders[[#This Row],[ProductID]],tblProducts[ProductID],tblProducts[ProductName],"not found")</f>
        <v>Message</v>
      </c>
      <c r="I1830" t="str">
        <f>_xlfn.XLOOKUP(tblOrders[[#This Row],[ProductID]],tblProducts[ProductID],tblProducts[Category],"not found")</f>
        <v>Apparel</v>
      </c>
      <c r="J1830">
        <f>_xlfn.XLOOKUP(tblOrders[[#This Row],[ProductID]],tblProducts[ProductID],tblProducts[UnitPrice],"not found")</f>
        <v>308.39</v>
      </c>
      <c r="K1830" t="str">
        <f>_xlfn.XLOOKUP(tblOrders[[#This Row],[ProductID]],tblProducts[ProductID],tblProducts[Supplier],"not found")</f>
        <v>Sheppard-Sullivan</v>
      </c>
      <c r="L1830" s="1">
        <v>45451</v>
      </c>
      <c r="M18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45451</v>
      </c>
      <c r="N1830">
        <v>5</v>
      </c>
      <c r="O1830">
        <v>1541.95</v>
      </c>
      <c r="P1830">
        <f>tblOrders[[#This Row],[Quantity]]*tblOrders[[#This Row],[Unit Price]]</f>
        <v>1541.9499999999998</v>
      </c>
      <c r="Q1830">
        <f>tblOrders[[#This Row],[TotalSales]]-tblOrders[[#This Row],[Calculated Sales]]</f>
        <v>0</v>
      </c>
    </row>
    <row r="1831" spans="1:17" x14ac:dyDescent="0.25">
      <c r="A1831">
        <v>750</v>
      </c>
      <c r="B1831">
        <v>92</v>
      </c>
      <c r="C1831" t="str">
        <f>_xlfn.XLOOKUP(tblOrders[[#This Row],[CustomerID]],tblCustomers[CustomerID],tblCustomers[CustomerName],"not found")</f>
        <v>Pamela Gordon</v>
      </c>
      <c r="D1831">
        <f>_xlfn.XLOOKUP(tblOrders[[#This Row],[CustomerID]],tblCustomers[CustomerID],tblCustomers[Age],"not found")</f>
        <v>51</v>
      </c>
      <c r="E1831" t="str">
        <f>_xlfn.XLOOKUP(tblOrders[[#This Row],[CustomerID]],tblCustomers[CustomerID],tblCustomers[Gender],"not found")</f>
        <v>Male</v>
      </c>
      <c r="F1831" t="str">
        <f>_xlfn.XLOOKUP(tblOrders[[#This Row],[CustomerID]],tblCustomers[CustomerID],tblCustomers[Region],"not found")</f>
        <v>North</v>
      </c>
      <c r="G1831">
        <v>1096</v>
      </c>
      <c r="H1831" t="str">
        <f>_xlfn.XLOOKUP(tblOrders[[#This Row],[ProductID]],tblProducts[ProductID],tblProducts[ProductName],"not found")</f>
        <v>Message</v>
      </c>
      <c r="I1831" t="str">
        <f>_xlfn.XLOOKUP(tblOrders[[#This Row],[ProductID]],tblProducts[ProductID],tblProducts[Category],"not found")</f>
        <v>Apparel</v>
      </c>
      <c r="J1831">
        <f>_xlfn.XLOOKUP(tblOrders[[#This Row],[ProductID]],tblProducts[ProductID],tblProducts[UnitPrice],"not found")</f>
        <v>308.39</v>
      </c>
      <c r="K1831" t="str">
        <f>_xlfn.XLOOKUP(tblOrders[[#This Row],[ProductID]],tblProducts[ProductID],tblProducts[Supplier],"not found")</f>
        <v>Sheppard-Sullivan</v>
      </c>
      <c r="L1831" s="1" t="s">
        <v>2058</v>
      </c>
      <c r="M18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45563</v>
      </c>
      <c r="N1831">
        <v>4</v>
      </c>
      <c r="O1831">
        <v>1233.56</v>
      </c>
      <c r="P1831">
        <f>tblOrders[[#This Row],[Quantity]]*tblOrders[[#This Row],[Unit Price]]</f>
        <v>1233.56</v>
      </c>
      <c r="Q1831">
        <f>tblOrders[[#This Row],[TotalSales]]-tblOrders[[#This Row],[Calculated Sales]]</f>
        <v>0</v>
      </c>
    </row>
    <row r="1832" spans="1:17" x14ac:dyDescent="0.25">
      <c r="A1832">
        <v>878</v>
      </c>
      <c r="B1832">
        <v>723</v>
      </c>
      <c r="C1832" t="str">
        <f>_xlfn.XLOOKUP(tblOrders[[#This Row],[CustomerID]],tblCustomers[CustomerID],tblCustomers[CustomerName],"not found")</f>
        <v>Lindsay Gomez</v>
      </c>
      <c r="D1832">
        <f>_xlfn.XLOOKUP(tblOrders[[#This Row],[CustomerID]],tblCustomers[CustomerID],tblCustomers[Age],"not found")</f>
        <v>46</v>
      </c>
      <c r="E1832" t="str">
        <f>_xlfn.XLOOKUP(tblOrders[[#This Row],[CustomerID]],tblCustomers[CustomerID],tblCustomers[Gender],"not found")</f>
        <v>Male</v>
      </c>
      <c r="F1832" t="str">
        <f>_xlfn.XLOOKUP(tblOrders[[#This Row],[CustomerID]],tblCustomers[CustomerID],tblCustomers[Region],"not found")</f>
        <v>Central</v>
      </c>
      <c r="G1832">
        <v>1096</v>
      </c>
      <c r="H1832" t="str">
        <f>_xlfn.XLOOKUP(tblOrders[[#This Row],[ProductID]],tblProducts[ProductID],tblProducts[ProductName],"not found")</f>
        <v>Message</v>
      </c>
      <c r="I1832" t="str">
        <f>_xlfn.XLOOKUP(tblOrders[[#This Row],[ProductID]],tblProducts[ProductID],tblProducts[Category],"not found")</f>
        <v>Apparel</v>
      </c>
      <c r="J1832">
        <f>_xlfn.XLOOKUP(tblOrders[[#This Row],[ProductID]],tblProducts[ProductID],tblProducts[UnitPrice],"not found")</f>
        <v>308.39</v>
      </c>
      <c r="K1832" t="str">
        <f>_xlfn.XLOOKUP(tblOrders[[#This Row],[ProductID]],tblProducts[ProductID],tblProducts[Supplier],"not found")</f>
        <v>Sheppard-Sullivan</v>
      </c>
      <c r="L1832" s="1" t="s">
        <v>2299</v>
      </c>
      <c r="M18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45307</v>
      </c>
      <c r="N1832">
        <v>8</v>
      </c>
      <c r="O1832">
        <v>2467.12</v>
      </c>
      <c r="P1832">
        <f>tblOrders[[#This Row],[Quantity]]*tblOrders[[#This Row],[Unit Price]]</f>
        <v>2467.12</v>
      </c>
      <c r="Q1832">
        <f>tblOrders[[#This Row],[TotalSales]]-tblOrders[[#This Row],[Calculated Sales]]</f>
        <v>0</v>
      </c>
    </row>
    <row r="1833" spans="1:17" x14ac:dyDescent="0.25">
      <c r="A1833">
        <v>888</v>
      </c>
      <c r="B1833">
        <v>608</v>
      </c>
      <c r="C1833" t="str">
        <f>_xlfn.XLOOKUP(tblOrders[[#This Row],[CustomerID]],tblCustomers[CustomerID],tblCustomers[CustomerName],"not found")</f>
        <v>Sean Jimenez</v>
      </c>
      <c r="D1833">
        <f>_xlfn.XLOOKUP(tblOrders[[#This Row],[CustomerID]],tblCustomers[CustomerID],tblCustomers[Age],"not found")</f>
        <v>59</v>
      </c>
      <c r="E1833" t="str">
        <f>_xlfn.XLOOKUP(tblOrders[[#This Row],[CustomerID]],tblCustomers[CustomerID],tblCustomers[Gender],"not found")</f>
        <v>Male</v>
      </c>
      <c r="F1833" t="str">
        <f>_xlfn.XLOOKUP(tblOrders[[#This Row],[CustomerID]],tblCustomers[CustomerID],tblCustomers[Region],"not found")</f>
        <v>Central</v>
      </c>
      <c r="G1833">
        <v>1096</v>
      </c>
      <c r="H1833" t="str">
        <f>_xlfn.XLOOKUP(tblOrders[[#This Row],[ProductID]],tblProducts[ProductID],tblProducts[ProductName],"not found")</f>
        <v>Message</v>
      </c>
      <c r="I1833" t="str">
        <f>_xlfn.XLOOKUP(tblOrders[[#This Row],[ProductID]],tblProducts[ProductID],tblProducts[Category],"not found")</f>
        <v>Apparel</v>
      </c>
      <c r="J1833">
        <f>_xlfn.XLOOKUP(tblOrders[[#This Row],[ProductID]],tblProducts[ProductID],tblProducts[UnitPrice],"not found")</f>
        <v>308.39</v>
      </c>
      <c r="K1833" t="str">
        <f>_xlfn.XLOOKUP(tblOrders[[#This Row],[ProductID]],tblProducts[ProductID],tblProducts[Supplier],"not found")</f>
        <v>Sheppard-Sullivan</v>
      </c>
      <c r="L1833" s="1">
        <v>44927</v>
      </c>
      <c r="M18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44927</v>
      </c>
      <c r="N1833">
        <v>9</v>
      </c>
      <c r="O1833">
        <v>2775.51</v>
      </c>
      <c r="P1833">
        <f>tblOrders[[#This Row],[Quantity]]*tblOrders[[#This Row],[Unit Price]]</f>
        <v>2775.5099999999998</v>
      </c>
      <c r="Q1833">
        <f>tblOrders[[#This Row],[TotalSales]]-tblOrders[[#This Row],[Calculated Sales]]</f>
        <v>0</v>
      </c>
    </row>
    <row r="1834" spans="1:17" x14ac:dyDescent="0.25">
      <c r="A1834">
        <v>890</v>
      </c>
      <c r="B1834">
        <v>25</v>
      </c>
      <c r="C1834" t="str">
        <f>_xlfn.XLOOKUP(tblOrders[[#This Row],[CustomerID]],tblCustomers[CustomerID],tblCustomers[CustomerName],"not found")</f>
        <v>Ashley Collins</v>
      </c>
      <c r="D1834">
        <f>_xlfn.XLOOKUP(tblOrders[[#This Row],[CustomerID]],tblCustomers[CustomerID],tblCustomers[Age],"not found")</f>
        <v>41</v>
      </c>
      <c r="E1834" t="str">
        <f>_xlfn.XLOOKUP(tblOrders[[#This Row],[CustomerID]],tblCustomers[CustomerID],tblCustomers[Gender],"not found")</f>
        <v>Female</v>
      </c>
      <c r="F1834" t="str">
        <f>_xlfn.XLOOKUP(tblOrders[[#This Row],[CustomerID]],tblCustomers[CustomerID],tblCustomers[Region],"not found")</f>
        <v>Central</v>
      </c>
      <c r="G1834">
        <v>1096</v>
      </c>
      <c r="H1834" t="str">
        <f>_xlfn.XLOOKUP(tblOrders[[#This Row],[ProductID]],tblProducts[ProductID],tblProducts[ProductName],"not found")</f>
        <v>Message</v>
      </c>
      <c r="I1834" t="str">
        <f>_xlfn.XLOOKUP(tblOrders[[#This Row],[ProductID]],tblProducts[ProductID],tblProducts[Category],"not found")</f>
        <v>Apparel</v>
      </c>
      <c r="J1834">
        <f>_xlfn.XLOOKUP(tblOrders[[#This Row],[ProductID]],tblProducts[ProductID],tblProducts[UnitPrice],"not found")</f>
        <v>308.39</v>
      </c>
      <c r="K1834" t="str">
        <f>_xlfn.XLOOKUP(tblOrders[[#This Row],[ProductID]],tblProducts[ProductID],tblProducts[Supplier],"not found")</f>
        <v>Sheppard-Sullivan</v>
      </c>
      <c r="L1834" s="1">
        <v>45571</v>
      </c>
      <c r="M18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45571</v>
      </c>
      <c r="N1834">
        <v>3</v>
      </c>
      <c r="O1834">
        <v>925.17</v>
      </c>
      <c r="P1834">
        <f>tblOrders[[#This Row],[Quantity]]*tblOrders[[#This Row],[Unit Price]]</f>
        <v>925.17</v>
      </c>
      <c r="Q1834">
        <f>tblOrders[[#This Row],[TotalSales]]-tblOrders[[#This Row],[Calculated Sales]]</f>
        <v>0</v>
      </c>
    </row>
    <row r="1835" spans="1:17" x14ac:dyDescent="0.25">
      <c r="A1835">
        <v>1086</v>
      </c>
      <c r="B1835">
        <v>822</v>
      </c>
      <c r="C1835" t="str">
        <f>_xlfn.XLOOKUP(tblOrders[[#This Row],[CustomerID]],tblCustomers[CustomerID],tblCustomers[CustomerName],"not found")</f>
        <v>Tracy Rios</v>
      </c>
      <c r="D1835">
        <f>_xlfn.XLOOKUP(tblOrders[[#This Row],[CustomerID]],tblCustomers[CustomerID],tblCustomers[Age],"not found")</f>
        <v>33</v>
      </c>
      <c r="E1835" t="str">
        <f>_xlfn.XLOOKUP(tblOrders[[#This Row],[CustomerID]],tblCustomers[CustomerID],tblCustomers[Gender],"not found")</f>
        <v>Female</v>
      </c>
      <c r="F1835" t="str">
        <f>_xlfn.XLOOKUP(tblOrders[[#This Row],[CustomerID]],tblCustomers[CustomerID],tblCustomers[Region],"not found")</f>
        <v>West</v>
      </c>
      <c r="G1835">
        <v>1096</v>
      </c>
      <c r="H1835" t="str">
        <f>_xlfn.XLOOKUP(tblOrders[[#This Row],[ProductID]],tblProducts[ProductID],tblProducts[ProductName],"not found")</f>
        <v>Message</v>
      </c>
      <c r="I1835" t="str">
        <f>_xlfn.XLOOKUP(tblOrders[[#This Row],[ProductID]],tblProducts[ProductID],tblProducts[Category],"not found")</f>
        <v>Apparel</v>
      </c>
      <c r="J1835">
        <f>_xlfn.XLOOKUP(tblOrders[[#This Row],[ProductID]],tblProducts[ProductID],tblProducts[UnitPrice],"not found")</f>
        <v>308.39</v>
      </c>
      <c r="K1835" t="str">
        <f>_xlfn.XLOOKUP(tblOrders[[#This Row],[ProductID]],tblProducts[ProductID],tblProducts[Supplier],"not found")</f>
        <v>Sheppard-Sullivan</v>
      </c>
      <c r="L1835" s="1" t="s">
        <v>2245</v>
      </c>
      <c r="M18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45425</v>
      </c>
      <c r="N1835">
        <v>2</v>
      </c>
      <c r="O1835">
        <v>616.78</v>
      </c>
      <c r="P1835">
        <f>tblOrders[[#This Row],[Quantity]]*tblOrders[[#This Row],[Unit Price]]</f>
        <v>616.78</v>
      </c>
      <c r="Q1835">
        <f>tblOrders[[#This Row],[TotalSales]]-tblOrders[[#This Row],[Calculated Sales]]</f>
        <v>0</v>
      </c>
    </row>
    <row r="1836" spans="1:17" x14ac:dyDescent="0.25">
      <c r="A1836">
        <v>1099</v>
      </c>
      <c r="B1836">
        <v>656</v>
      </c>
      <c r="C1836" t="str">
        <f>_xlfn.XLOOKUP(tblOrders[[#This Row],[CustomerID]],tblCustomers[CustomerID],tblCustomers[CustomerName],"not found")</f>
        <v>Dana Church</v>
      </c>
      <c r="D1836">
        <f>_xlfn.XLOOKUP(tblOrders[[#This Row],[CustomerID]],tblCustomers[CustomerID],tblCustomers[Age],"not found")</f>
        <v>63</v>
      </c>
      <c r="E1836" t="str">
        <f>_xlfn.XLOOKUP(tblOrders[[#This Row],[CustomerID]],tblCustomers[CustomerID],tblCustomers[Gender],"not found")</f>
        <v>Female</v>
      </c>
      <c r="F1836" t="str">
        <f>_xlfn.XLOOKUP(tblOrders[[#This Row],[CustomerID]],tblCustomers[CustomerID],tblCustomers[Region],"not found")</f>
        <v>North</v>
      </c>
      <c r="G1836">
        <v>1096</v>
      </c>
      <c r="H1836" t="str">
        <f>_xlfn.XLOOKUP(tblOrders[[#This Row],[ProductID]],tblProducts[ProductID],tblProducts[ProductName],"not found")</f>
        <v>Message</v>
      </c>
      <c r="I1836" t="str">
        <f>_xlfn.XLOOKUP(tblOrders[[#This Row],[ProductID]],tblProducts[ProductID],tblProducts[Category],"not found")</f>
        <v>Apparel</v>
      </c>
      <c r="J1836">
        <f>_xlfn.XLOOKUP(tblOrders[[#This Row],[ProductID]],tblProducts[ProductID],tblProducts[UnitPrice],"not found")</f>
        <v>308.39</v>
      </c>
      <c r="K1836" t="str">
        <f>_xlfn.XLOOKUP(tblOrders[[#This Row],[ProductID]],tblProducts[ProductID],tblProducts[Supplier],"not found")</f>
        <v>Sheppard-Sullivan</v>
      </c>
      <c r="L1836" s="1">
        <v>45567</v>
      </c>
      <c r="M18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45567</v>
      </c>
      <c r="N1836">
        <v>5</v>
      </c>
      <c r="O1836">
        <v>1541.95</v>
      </c>
      <c r="P1836">
        <f>tblOrders[[#This Row],[Quantity]]*tblOrders[[#This Row],[Unit Price]]</f>
        <v>1541.9499999999998</v>
      </c>
      <c r="Q1836">
        <f>tblOrders[[#This Row],[TotalSales]]-tblOrders[[#This Row],[Calculated Sales]]</f>
        <v>0</v>
      </c>
    </row>
    <row r="1837" spans="1:17" x14ac:dyDescent="0.25">
      <c r="A1837">
        <v>1240</v>
      </c>
      <c r="B1837">
        <v>762</v>
      </c>
      <c r="C1837" t="str">
        <f>_xlfn.XLOOKUP(tblOrders[[#This Row],[CustomerID]],tblCustomers[CustomerID],tblCustomers[CustomerName],"not found")</f>
        <v>Stephanie Rivera</v>
      </c>
      <c r="D1837">
        <f>_xlfn.XLOOKUP(tblOrders[[#This Row],[CustomerID]],tblCustomers[CustomerID],tblCustomers[Age],"not found")</f>
        <v>28</v>
      </c>
      <c r="E1837" t="str">
        <f>_xlfn.XLOOKUP(tblOrders[[#This Row],[CustomerID]],tblCustomers[CustomerID],tblCustomers[Gender],"not found")</f>
        <v>Female</v>
      </c>
      <c r="F1837" t="str">
        <f>_xlfn.XLOOKUP(tblOrders[[#This Row],[CustomerID]],tblCustomers[CustomerID],tblCustomers[Region],"not found")</f>
        <v>North</v>
      </c>
      <c r="G1837">
        <v>1096</v>
      </c>
      <c r="H1837" t="str">
        <f>_xlfn.XLOOKUP(tblOrders[[#This Row],[ProductID]],tblProducts[ProductID],tblProducts[ProductName],"not found")</f>
        <v>Message</v>
      </c>
      <c r="I1837" t="str">
        <f>_xlfn.XLOOKUP(tblOrders[[#This Row],[ProductID]],tblProducts[ProductID],tblProducts[Category],"not found")</f>
        <v>Apparel</v>
      </c>
      <c r="J1837">
        <f>_xlfn.XLOOKUP(tblOrders[[#This Row],[ProductID]],tblProducts[ProductID],tblProducts[UnitPrice],"not found")</f>
        <v>308.39</v>
      </c>
      <c r="K1837" t="str">
        <f>_xlfn.XLOOKUP(tblOrders[[#This Row],[ProductID]],tblProducts[ProductID],tblProducts[Supplier],"not found")</f>
        <v>Sheppard-Sullivan</v>
      </c>
      <c r="L1837" s="1" t="s">
        <v>2358</v>
      </c>
      <c r="M18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44943</v>
      </c>
      <c r="N1837">
        <v>9</v>
      </c>
      <c r="O1837">
        <v>2775.51</v>
      </c>
      <c r="P1837">
        <f>tblOrders[[#This Row],[Quantity]]*tblOrders[[#This Row],[Unit Price]]</f>
        <v>2775.5099999999998</v>
      </c>
      <c r="Q1837">
        <f>tblOrders[[#This Row],[TotalSales]]-tblOrders[[#This Row],[Calculated Sales]]</f>
        <v>0</v>
      </c>
    </row>
    <row r="1838" spans="1:17" x14ac:dyDescent="0.25">
      <c r="A1838">
        <v>1402</v>
      </c>
      <c r="B1838">
        <v>631</v>
      </c>
      <c r="C1838" t="str">
        <f>_xlfn.XLOOKUP(tblOrders[[#This Row],[CustomerID]],tblCustomers[CustomerID],tblCustomers[CustomerName],"not found")</f>
        <v>Brian Merritt</v>
      </c>
      <c r="D1838">
        <f>_xlfn.XLOOKUP(tblOrders[[#This Row],[CustomerID]],tblCustomers[CustomerID],tblCustomers[Age],"not found")</f>
        <v>27</v>
      </c>
      <c r="E1838" t="str">
        <f>_xlfn.XLOOKUP(tblOrders[[#This Row],[CustomerID]],tblCustomers[CustomerID],tblCustomers[Gender],"not found")</f>
        <v>Female</v>
      </c>
      <c r="F1838" t="str">
        <f>_xlfn.XLOOKUP(tblOrders[[#This Row],[CustomerID]],tblCustomers[CustomerID],tblCustomers[Region],"not found")</f>
        <v>North</v>
      </c>
      <c r="G1838">
        <v>1096</v>
      </c>
      <c r="H1838" t="str">
        <f>_xlfn.XLOOKUP(tblOrders[[#This Row],[ProductID]],tblProducts[ProductID],tblProducts[ProductName],"not found")</f>
        <v>Message</v>
      </c>
      <c r="I1838" t="str">
        <f>_xlfn.XLOOKUP(tblOrders[[#This Row],[ProductID]],tblProducts[ProductID],tblProducts[Category],"not found")</f>
        <v>Apparel</v>
      </c>
      <c r="J1838">
        <f>_xlfn.XLOOKUP(tblOrders[[#This Row],[ProductID]],tblProducts[ProductID],tblProducts[UnitPrice],"not found")</f>
        <v>308.39</v>
      </c>
      <c r="K1838" t="str">
        <f>_xlfn.XLOOKUP(tblOrders[[#This Row],[ProductID]],tblProducts[ProductID],tblProducts[Supplier],"not found")</f>
        <v>Sheppard-Sullivan</v>
      </c>
      <c r="L1838" s="1" t="s">
        <v>2092</v>
      </c>
      <c r="M18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45434</v>
      </c>
      <c r="N1838">
        <v>4</v>
      </c>
      <c r="O1838">
        <v>1233.56</v>
      </c>
      <c r="P1838">
        <f>tblOrders[[#This Row],[Quantity]]*tblOrders[[#This Row],[Unit Price]]</f>
        <v>1233.56</v>
      </c>
      <c r="Q1838">
        <f>tblOrders[[#This Row],[TotalSales]]-tblOrders[[#This Row],[Calculated Sales]]</f>
        <v>0</v>
      </c>
    </row>
    <row r="1839" spans="1:17" x14ac:dyDescent="0.25">
      <c r="A1839">
        <v>1435</v>
      </c>
      <c r="B1839">
        <v>5</v>
      </c>
      <c r="C1839" t="str">
        <f>_xlfn.XLOOKUP(tblOrders[[#This Row],[CustomerID]],tblCustomers[CustomerID],tblCustomers[CustomerName],"not found")</f>
        <v>Brian Wheeler</v>
      </c>
      <c r="D1839">
        <f>_xlfn.XLOOKUP(tblOrders[[#This Row],[CustomerID]],tblCustomers[CustomerID],tblCustomers[Age],"not found")</f>
        <v>18</v>
      </c>
      <c r="E1839" t="str">
        <f>_xlfn.XLOOKUP(tblOrders[[#This Row],[CustomerID]],tblCustomers[CustomerID],tblCustomers[Gender],"not found")</f>
        <v>Female</v>
      </c>
      <c r="F1839" t="str">
        <f>_xlfn.XLOOKUP(tblOrders[[#This Row],[CustomerID]],tblCustomers[CustomerID],tblCustomers[Region],"not found")</f>
        <v>South</v>
      </c>
      <c r="G1839">
        <v>1096</v>
      </c>
      <c r="H1839" t="str">
        <f>_xlfn.XLOOKUP(tblOrders[[#This Row],[ProductID]],tblProducts[ProductID],tblProducts[ProductName],"not found")</f>
        <v>Message</v>
      </c>
      <c r="I1839" t="str">
        <f>_xlfn.XLOOKUP(tblOrders[[#This Row],[ProductID]],tblProducts[ProductID],tblProducts[Category],"not found")</f>
        <v>Apparel</v>
      </c>
      <c r="J1839">
        <f>_xlfn.XLOOKUP(tblOrders[[#This Row],[ProductID]],tblProducts[ProductID],tblProducts[UnitPrice],"not found")</f>
        <v>308.39</v>
      </c>
      <c r="K1839" t="str">
        <f>_xlfn.XLOOKUP(tblOrders[[#This Row],[ProductID]],tblProducts[ProductID],tblProducts[Supplier],"not found")</f>
        <v>Sheppard-Sullivan</v>
      </c>
      <c r="L1839" s="1" t="s">
        <v>2415</v>
      </c>
      <c r="M18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45132</v>
      </c>
      <c r="N1839">
        <v>7</v>
      </c>
      <c r="O1839">
        <v>2158.73</v>
      </c>
      <c r="P1839">
        <f>tblOrders[[#This Row],[Quantity]]*tblOrders[[#This Row],[Unit Price]]</f>
        <v>2158.73</v>
      </c>
      <c r="Q1839">
        <f>tblOrders[[#This Row],[TotalSales]]-tblOrders[[#This Row],[Calculated Sales]]</f>
        <v>0</v>
      </c>
    </row>
    <row r="1840" spans="1:17" x14ac:dyDescent="0.25">
      <c r="A1840">
        <v>1502</v>
      </c>
      <c r="B1840">
        <v>709</v>
      </c>
      <c r="C1840" t="str">
        <f>_xlfn.XLOOKUP(tblOrders[[#This Row],[CustomerID]],tblCustomers[CustomerID],tblCustomers[CustomerName],"not found")</f>
        <v>Kevin Joyce</v>
      </c>
      <c r="D1840">
        <f>_xlfn.XLOOKUP(tblOrders[[#This Row],[CustomerID]],tblCustomers[CustomerID],tblCustomers[Age],"not found")</f>
        <v>50</v>
      </c>
      <c r="E1840" t="str">
        <f>_xlfn.XLOOKUP(tblOrders[[#This Row],[CustomerID]],tblCustomers[CustomerID],tblCustomers[Gender],"not found")</f>
        <v>Female</v>
      </c>
      <c r="F1840" t="str">
        <f>_xlfn.XLOOKUP(tblOrders[[#This Row],[CustomerID]],tblCustomers[CustomerID],tblCustomers[Region],"not found")</f>
        <v>Central</v>
      </c>
      <c r="G1840">
        <v>1096</v>
      </c>
      <c r="H1840" t="str">
        <f>_xlfn.XLOOKUP(tblOrders[[#This Row],[ProductID]],tblProducts[ProductID],tblProducts[ProductName],"not found")</f>
        <v>Message</v>
      </c>
      <c r="I1840" t="str">
        <f>_xlfn.XLOOKUP(tblOrders[[#This Row],[ProductID]],tblProducts[ProductID],tblProducts[Category],"not found")</f>
        <v>Apparel</v>
      </c>
      <c r="J1840">
        <f>_xlfn.XLOOKUP(tblOrders[[#This Row],[ProductID]],tblProducts[ProductID],tblProducts[UnitPrice],"not found")</f>
        <v>308.39</v>
      </c>
      <c r="K1840" t="str">
        <f>_xlfn.XLOOKUP(tblOrders[[#This Row],[ProductID]],tblProducts[ProductID],tblProducts[Supplier],"not found")</f>
        <v>Sheppard-Sullivan</v>
      </c>
      <c r="L1840" s="1" t="s">
        <v>2305</v>
      </c>
      <c r="M18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44974</v>
      </c>
      <c r="N1840">
        <v>9</v>
      </c>
      <c r="O1840">
        <v>2775.51</v>
      </c>
      <c r="P1840">
        <f>tblOrders[[#This Row],[Quantity]]*tblOrders[[#This Row],[Unit Price]]</f>
        <v>2775.5099999999998</v>
      </c>
      <c r="Q1840">
        <f>tblOrders[[#This Row],[TotalSales]]-tblOrders[[#This Row],[Calculated Sales]]</f>
        <v>0</v>
      </c>
    </row>
    <row r="1841" spans="1:17" x14ac:dyDescent="0.25">
      <c r="A1841">
        <v>1557</v>
      </c>
      <c r="B1841">
        <v>306</v>
      </c>
      <c r="C1841" t="str">
        <f>_xlfn.XLOOKUP(tblOrders[[#This Row],[CustomerID]],tblCustomers[CustomerID],tblCustomers[CustomerName],"not found")</f>
        <v>Philip Meyers</v>
      </c>
      <c r="D1841">
        <f>_xlfn.XLOOKUP(tblOrders[[#This Row],[CustomerID]],tblCustomers[CustomerID],tblCustomers[Age],"not found")</f>
        <v>56</v>
      </c>
      <c r="E1841" t="str">
        <f>_xlfn.XLOOKUP(tblOrders[[#This Row],[CustomerID]],tblCustomers[CustomerID],tblCustomers[Gender],"not found")</f>
        <v>Male</v>
      </c>
      <c r="F1841" t="str">
        <f>_xlfn.XLOOKUP(tblOrders[[#This Row],[CustomerID]],tblCustomers[CustomerID],tblCustomers[Region],"not found")</f>
        <v>West</v>
      </c>
      <c r="G1841">
        <v>1096</v>
      </c>
      <c r="H1841" t="str">
        <f>_xlfn.XLOOKUP(tblOrders[[#This Row],[ProductID]],tblProducts[ProductID],tblProducts[ProductName],"not found")</f>
        <v>Message</v>
      </c>
      <c r="I1841" t="str">
        <f>_xlfn.XLOOKUP(tblOrders[[#This Row],[ProductID]],tblProducts[ProductID],tblProducts[Category],"not found")</f>
        <v>Apparel</v>
      </c>
      <c r="J1841">
        <f>_xlfn.XLOOKUP(tblOrders[[#This Row],[ProductID]],tblProducts[ProductID],tblProducts[UnitPrice],"not found")</f>
        <v>308.39</v>
      </c>
      <c r="K1841" t="str">
        <f>_xlfn.XLOOKUP(tblOrders[[#This Row],[ProductID]],tblProducts[ProductID],tblProducts[Supplier],"not found")</f>
        <v>Sheppard-Sullivan</v>
      </c>
      <c r="L1841" s="1">
        <v>45170</v>
      </c>
      <c r="M18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45170</v>
      </c>
      <c r="N1841">
        <v>5</v>
      </c>
      <c r="O1841">
        <v>1541.95</v>
      </c>
      <c r="P1841">
        <f>tblOrders[[#This Row],[Quantity]]*tblOrders[[#This Row],[Unit Price]]</f>
        <v>1541.9499999999998</v>
      </c>
      <c r="Q1841">
        <f>tblOrders[[#This Row],[TotalSales]]-tblOrders[[#This Row],[Calculated Sales]]</f>
        <v>0</v>
      </c>
    </row>
    <row r="1842" spans="1:17" x14ac:dyDescent="0.25">
      <c r="A1842">
        <v>1803</v>
      </c>
      <c r="B1842">
        <v>485</v>
      </c>
      <c r="C1842" t="str">
        <f>_xlfn.XLOOKUP(tblOrders[[#This Row],[CustomerID]],tblCustomers[CustomerID],tblCustomers[CustomerName],"not found")</f>
        <v>Christina Stewart</v>
      </c>
      <c r="D1842">
        <f>_xlfn.XLOOKUP(tblOrders[[#This Row],[CustomerID]],tblCustomers[CustomerID],tblCustomers[Age],"not found")</f>
        <v>51</v>
      </c>
      <c r="E1842" t="str">
        <f>_xlfn.XLOOKUP(tblOrders[[#This Row],[CustomerID]],tblCustomers[CustomerID],tblCustomers[Gender],"not found")</f>
        <v>Female</v>
      </c>
      <c r="F1842" t="str">
        <f>_xlfn.XLOOKUP(tblOrders[[#This Row],[CustomerID]],tblCustomers[CustomerID],tblCustomers[Region],"not found")</f>
        <v>Central</v>
      </c>
      <c r="G1842">
        <v>1096</v>
      </c>
      <c r="H1842" t="str">
        <f>_xlfn.XLOOKUP(tblOrders[[#This Row],[ProductID]],tblProducts[ProductID],tblProducts[ProductName],"not found")</f>
        <v>Message</v>
      </c>
      <c r="I1842" t="str">
        <f>_xlfn.XLOOKUP(tblOrders[[#This Row],[ProductID]],tblProducts[ProductID],tblProducts[Category],"not found")</f>
        <v>Apparel</v>
      </c>
      <c r="J1842">
        <f>_xlfn.XLOOKUP(tblOrders[[#This Row],[ProductID]],tblProducts[ProductID],tblProducts[UnitPrice],"not found")</f>
        <v>308.39</v>
      </c>
      <c r="K1842" t="str">
        <f>_xlfn.XLOOKUP(tblOrders[[#This Row],[ProductID]],tblProducts[ProductID],tblProducts[Supplier],"not found")</f>
        <v>Sheppard-Sullivan</v>
      </c>
      <c r="L1842" s="1" t="s">
        <v>2130</v>
      </c>
      <c r="M18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45248</v>
      </c>
      <c r="N1842">
        <v>1</v>
      </c>
      <c r="O1842">
        <v>308.39</v>
      </c>
      <c r="P1842">
        <f>tblOrders[[#This Row],[Quantity]]*tblOrders[[#This Row],[Unit Price]]</f>
        <v>308.39</v>
      </c>
      <c r="Q1842">
        <f>tblOrders[[#This Row],[TotalSales]]-tblOrders[[#This Row],[Calculated Sales]]</f>
        <v>0</v>
      </c>
    </row>
    <row r="1843" spans="1:17" x14ac:dyDescent="0.25">
      <c r="A1843">
        <v>1994</v>
      </c>
      <c r="B1843">
        <v>156</v>
      </c>
      <c r="C1843" t="str">
        <f>_xlfn.XLOOKUP(tblOrders[[#This Row],[CustomerID]],tblCustomers[CustomerID],tblCustomers[CustomerName],"not found")</f>
        <v>Victor Osborn</v>
      </c>
      <c r="D1843">
        <f>_xlfn.XLOOKUP(tblOrders[[#This Row],[CustomerID]],tblCustomers[CustomerID],tblCustomers[Age],"not found")</f>
        <v>53</v>
      </c>
      <c r="E1843" t="str">
        <f>_xlfn.XLOOKUP(tblOrders[[#This Row],[CustomerID]],tblCustomers[CustomerID],tblCustomers[Gender],"not found")</f>
        <v>Female</v>
      </c>
      <c r="F1843" t="str">
        <f>_xlfn.XLOOKUP(tblOrders[[#This Row],[CustomerID]],tblCustomers[CustomerID],tblCustomers[Region],"not found")</f>
        <v>East</v>
      </c>
      <c r="G1843">
        <v>1096</v>
      </c>
      <c r="H1843" t="str">
        <f>_xlfn.XLOOKUP(tblOrders[[#This Row],[ProductID]],tblProducts[ProductID],tblProducts[ProductName],"not found")</f>
        <v>Message</v>
      </c>
      <c r="I1843" t="str">
        <f>_xlfn.XLOOKUP(tblOrders[[#This Row],[ProductID]],tblProducts[ProductID],tblProducts[Category],"not found")</f>
        <v>Apparel</v>
      </c>
      <c r="J1843">
        <f>_xlfn.XLOOKUP(tblOrders[[#This Row],[ProductID]],tblProducts[ProductID],tblProducts[UnitPrice],"not found")</f>
        <v>308.39</v>
      </c>
      <c r="K1843" t="str">
        <f>_xlfn.XLOOKUP(tblOrders[[#This Row],[ProductID]],tblProducts[ProductID],tblProducts[Supplier],"not found")</f>
        <v>Sheppard-Sullivan</v>
      </c>
      <c r="L1843" s="1" t="s">
        <v>2157</v>
      </c>
      <c r="M18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45558</v>
      </c>
      <c r="N1843">
        <v>9</v>
      </c>
      <c r="O1843">
        <v>2775.51</v>
      </c>
      <c r="P1843">
        <f>tblOrders[[#This Row],[Quantity]]*tblOrders[[#This Row],[Unit Price]]</f>
        <v>2775.5099999999998</v>
      </c>
      <c r="Q1843">
        <f>tblOrders[[#This Row],[TotalSales]]-tblOrders[[#This Row],[Calculated Sales]]</f>
        <v>0</v>
      </c>
    </row>
    <row r="1844" spans="1:17" x14ac:dyDescent="0.25">
      <c r="A1844">
        <v>211</v>
      </c>
      <c r="B1844">
        <v>552</v>
      </c>
      <c r="C1844" t="str">
        <f>_xlfn.XLOOKUP(tblOrders[[#This Row],[CustomerID]],tblCustomers[CustomerID],tblCustomers[CustomerName],"not found")</f>
        <v>Seth Boyd</v>
      </c>
      <c r="D1844">
        <f>_xlfn.XLOOKUP(tblOrders[[#This Row],[CustomerID]],tblCustomers[CustomerID],tblCustomers[Age],"not found")</f>
        <v>32</v>
      </c>
      <c r="E1844" t="str">
        <f>_xlfn.XLOOKUP(tblOrders[[#This Row],[CustomerID]],tblCustomers[CustomerID],tblCustomers[Gender],"not found")</f>
        <v>Male</v>
      </c>
      <c r="F1844" t="str">
        <f>_xlfn.XLOOKUP(tblOrders[[#This Row],[CustomerID]],tblCustomers[CustomerID],tblCustomers[Region],"not found")</f>
        <v>Central</v>
      </c>
      <c r="G1844">
        <v>1072</v>
      </c>
      <c r="H1844" t="str">
        <f>_xlfn.XLOOKUP(tblOrders[[#This Row],[ProductID]],tblProducts[ProductID],tblProducts[ProductName],"not found")</f>
        <v>Apply</v>
      </c>
      <c r="I1844" t="str">
        <f>_xlfn.XLOOKUP(tblOrders[[#This Row],[ProductID]],tblProducts[ProductID],tblProducts[Category],"not found")</f>
        <v>Toys</v>
      </c>
      <c r="J1844">
        <f>_xlfn.XLOOKUP(tblOrders[[#This Row],[ProductID]],tblProducts[ProductID],tblProducts[UnitPrice],"not found")</f>
        <v>334.9</v>
      </c>
      <c r="K1844" t="str">
        <f>_xlfn.XLOOKUP(tblOrders[[#This Row],[ProductID]],tblProducts[ProductID],tblProducts[Supplier],"not found")</f>
        <v>Blevins, Clark and Vincent</v>
      </c>
      <c r="L1844" s="1">
        <v>45513</v>
      </c>
      <c r="M18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45513</v>
      </c>
      <c r="N1844">
        <v>9</v>
      </c>
      <c r="O1844">
        <v>3014.1</v>
      </c>
      <c r="P1844">
        <f>tblOrders[[#This Row],[Quantity]]*tblOrders[[#This Row],[Unit Price]]</f>
        <v>3014.1</v>
      </c>
      <c r="Q1844">
        <f>tblOrders[[#This Row],[TotalSales]]-tblOrders[[#This Row],[Calculated Sales]]</f>
        <v>0</v>
      </c>
    </row>
    <row r="1845" spans="1:17" x14ac:dyDescent="0.25">
      <c r="A1845">
        <v>226</v>
      </c>
      <c r="B1845">
        <v>594</v>
      </c>
      <c r="C1845" t="str">
        <f>_xlfn.XLOOKUP(tblOrders[[#This Row],[CustomerID]],tblCustomers[CustomerID],tblCustomers[CustomerName],"not found")</f>
        <v>Rachel Jones</v>
      </c>
      <c r="D1845">
        <f>_xlfn.XLOOKUP(tblOrders[[#This Row],[CustomerID]],tblCustomers[CustomerID],tblCustomers[Age],"not found")</f>
        <v>51</v>
      </c>
      <c r="E1845" t="str">
        <f>_xlfn.XLOOKUP(tblOrders[[#This Row],[CustomerID]],tblCustomers[CustomerID],tblCustomers[Gender],"not found")</f>
        <v>Male</v>
      </c>
      <c r="F1845" t="str">
        <f>_xlfn.XLOOKUP(tblOrders[[#This Row],[CustomerID]],tblCustomers[CustomerID],tblCustomers[Region],"not found")</f>
        <v>Central</v>
      </c>
      <c r="G1845">
        <v>1072</v>
      </c>
      <c r="H1845" t="str">
        <f>_xlfn.XLOOKUP(tblOrders[[#This Row],[ProductID]],tblProducts[ProductID],tblProducts[ProductName],"not found")</f>
        <v>Apply</v>
      </c>
      <c r="I1845" t="str">
        <f>_xlfn.XLOOKUP(tblOrders[[#This Row],[ProductID]],tblProducts[ProductID],tblProducts[Category],"not found")</f>
        <v>Toys</v>
      </c>
      <c r="J1845">
        <f>_xlfn.XLOOKUP(tblOrders[[#This Row],[ProductID]],tblProducts[ProductID],tblProducts[UnitPrice],"not found")</f>
        <v>334.9</v>
      </c>
      <c r="K1845" t="str">
        <f>_xlfn.XLOOKUP(tblOrders[[#This Row],[ProductID]],tblProducts[ProductID],tblProducts[Supplier],"not found")</f>
        <v>Blevins, Clark and Vincent</v>
      </c>
      <c r="L1845" s="1">
        <v>45480</v>
      </c>
      <c r="M18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45480</v>
      </c>
      <c r="N1845">
        <v>9</v>
      </c>
      <c r="O1845">
        <v>3014.1</v>
      </c>
      <c r="P1845">
        <f>tblOrders[[#This Row],[Quantity]]*tblOrders[[#This Row],[Unit Price]]</f>
        <v>3014.1</v>
      </c>
      <c r="Q1845">
        <f>tblOrders[[#This Row],[TotalSales]]-tblOrders[[#This Row],[Calculated Sales]]</f>
        <v>0</v>
      </c>
    </row>
    <row r="1846" spans="1:17" x14ac:dyDescent="0.25">
      <c r="A1846">
        <v>281</v>
      </c>
      <c r="B1846">
        <v>308</v>
      </c>
      <c r="C1846" t="str">
        <f>_xlfn.XLOOKUP(tblOrders[[#This Row],[CustomerID]],tblCustomers[CustomerID],tblCustomers[CustomerName],"not found")</f>
        <v>Christopher Schmitt</v>
      </c>
      <c r="D1846">
        <f>_xlfn.XLOOKUP(tblOrders[[#This Row],[CustomerID]],tblCustomers[CustomerID],tblCustomers[Age],"not found")</f>
        <v>21</v>
      </c>
      <c r="E1846" t="str">
        <f>_xlfn.XLOOKUP(tblOrders[[#This Row],[CustomerID]],tblCustomers[CustomerID],tblCustomers[Gender],"not found")</f>
        <v>Male</v>
      </c>
      <c r="F1846" t="str">
        <f>_xlfn.XLOOKUP(tblOrders[[#This Row],[CustomerID]],tblCustomers[CustomerID],tblCustomers[Region],"not found")</f>
        <v>North</v>
      </c>
      <c r="G1846">
        <v>1072</v>
      </c>
      <c r="H1846" t="str">
        <f>_xlfn.XLOOKUP(tblOrders[[#This Row],[ProductID]],tblProducts[ProductID],tblProducts[ProductName],"not found")</f>
        <v>Apply</v>
      </c>
      <c r="I1846" t="str">
        <f>_xlfn.XLOOKUP(tblOrders[[#This Row],[ProductID]],tblProducts[ProductID],tblProducts[Category],"not found")</f>
        <v>Toys</v>
      </c>
      <c r="J1846">
        <f>_xlfn.XLOOKUP(tblOrders[[#This Row],[ProductID]],tblProducts[ProductID],tblProducts[UnitPrice],"not found")</f>
        <v>334.9</v>
      </c>
      <c r="K1846" t="str">
        <f>_xlfn.XLOOKUP(tblOrders[[#This Row],[ProductID]],tblProducts[ProductID],tblProducts[Supplier],"not found")</f>
        <v>Blevins, Clark and Vincent</v>
      </c>
      <c r="L1846" s="1">
        <v>45109</v>
      </c>
      <c r="M18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45109</v>
      </c>
      <c r="N1846">
        <v>1</v>
      </c>
      <c r="O1846">
        <v>334.9</v>
      </c>
      <c r="P1846">
        <f>tblOrders[[#This Row],[Quantity]]*tblOrders[[#This Row],[Unit Price]]</f>
        <v>334.9</v>
      </c>
      <c r="Q1846">
        <f>tblOrders[[#This Row],[TotalSales]]-tblOrders[[#This Row],[Calculated Sales]]</f>
        <v>0</v>
      </c>
    </row>
    <row r="1847" spans="1:17" x14ac:dyDescent="0.25">
      <c r="A1847">
        <v>410</v>
      </c>
      <c r="B1847">
        <v>316</v>
      </c>
      <c r="C1847" t="str">
        <f>_xlfn.XLOOKUP(tblOrders[[#This Row],[CustomerID]],tblCustomers[CustomerID],tblCustomers[CustomerName],"not found")</f>
        <v>Joseph Lawrence</v>
      </c>
      <c r="D1847">
        <f>_xlfn.XLOOKUP(tblOrders[[#This Row],[CustomerID]],tblCustomers[CustomerID],tblCustomers[Age],"not found")</f>
        <v>62</v>
      </c>
      <c r="E1847" t="str">
        <f>_xlfn.XLOOKUP(tblOrders[[#This Row],[CustomerID]],tblCustomers[CustomerID],tblCustomers[Gender],"not found")</f>
        <v>Female</v>
      </c>
      <c r="F1847" t="str">
        <f>_xlfn.XLOOKUP(tblOrders[[#This Row],[CustomerID]],tblCustomers[CustomerID],tblCustomers[Region],"not found")</f>
        <v>South</v>
      </c>
      <c r="G1847">
        <v>1072</v>
      </c>
      <c r="H1847" t="str">
        <f>_xlfn.XLOOKUP(tblOrders[[#This Row],[ProductID]],tblProducts[ProductID],tblProducts[ProductName],"not found")</f>
        <v>Apply</v>
      </c>
      <c r="I1847" t="str">
        <f>_xlfn.XLOOKUP(tblOrders[[#This Row],[ProductID]],tblProducts[ProductID],tblProducts[Category],"not found")</f>
        <v>Toys</v>
      </c>
      <c r="J1847">
        <f>_xlfn.XLOOKUP(tblOrders[[#This Row],[ProductID]],tblProducts[ProductID],tblProducts[UnitPrice],"not found")</f>
        <v>334.9</v>
      </c>
      <c r="K1847" t="str">
        <f>_xlfn.XLOOKUP(tblOrders[[#This Row],[ProductID]],tblProducts[ProductID],tblProducts[Supplier],"not found")</f>
        <v>Blevins, Clark and Vincent</v>
      </c>
      <c r="L1847" s="1" t="s">
        <v>2104</v>
      </c>
      <c r="M18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45045</v>
      </c>
      <c r="N1847">
        <v>7</v>
      </c>
      <c r="O1847">
        <v>2344.3000000000002</v>
      </c>
      <c r="P1847">
        <f>tblOrders[[#This Row],[Quantity]]*tblOrders[[#This Row],[Unit Price]]</f>
        <v>2344.2999999999997</v>
      </c>
      <c r="Q1847">
        <f>tblOrders[[#This Row],[TotalSales]]-tblOrders[[#This Row],[Calculated Sales]]</f>
        <v>0</v>
      </c>
    </row>
    <row r="1848" spans="1:17" x14ac:dyDescent="0.25">
      <c r="A1848">
        <v>765</v>
      </c>
      <c r="B1848">
        <v>817</v>
      </c>
      <c r="C1848" t="str">
        <f>_xlfn.XLOOKUP(tblOrders[[#This Row],[CustomerID]],tblCustomers[CustomerID],tblCustomers[CustomerName],"not found")</f>
        <v>Jose Rosales</v>
      </c>
      <c r="D1848">
        <f>_xlfn.XLOOKUP(tblOrders[[#This Row],[CustomerID]],tblCustomers[CustomerID],tblCustomers[Age],"not found")</f>
        <v>21</v>
      </c>
      <c r="E1848" t="str">
        <f>_xlfn.XLOOKUP(tblOrders[[#This Row],[CustomerID]],tblCustomers[CustomerID],tblCustomers[Gender],"not found")</f>
        <v>Female</v>
      </c>
      <c r="F1848" t="str">
        <f>_xlfn.XLOOKUP(tblOrders[[#This Row],[CustomerID]],tblCustomers[CustomerID],tblCustomers[Region],"not found")</f>
        <v>Central</v>
      </c>
      <c r="G1848">
        <v>1072</v>
      </c>
      <c r="H1848" t="str">
        <f>_xlfn.XLOOKUP(tblOrders[[#This Row],[ProductID]],tblProducts[ProductID],tblProducts[ProductName],"not found")</f>
        <v>Apply</v>
      </c>
      <c r="I1848" t="str">
        <f>_xlfn.XLOOKUP(tblOrders[[#This Row],[ProductID]],tblProducts[ProductID],tblProducts[Category],"not found")</f>
        <v>Toys</v>
      </c>
      <c r="J1848">
        <f>_xlfn.XLOOKUP(tblOrders[[#This Row],[ProductID]],tblProducts[ProductID],tblProducts[UnitPrice],"not found")</f>
        <v>334.9</v>
      </c>
      <c r="K1848" t="str">
        <f>_xlfn.XLOOKUP(tblOrders[[#This Row],[ProductID]],tblProducts[ProductID],tblProducts[Supplier],"not found")</f>
        <v>Blevins, Clark and Vincent</v>
      </c>
      <c r="L1848" s="1" t="s">
        <v>2103</v>
      </c>
      <c r="M18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45532</v>
      </c>
      <c r="N1848">
        <v>5</v>
      </c>
      <c r="O1848">
        <v>1674.5</v>
      </c>
      <c r="P1848">
        <f>tblOrders[[#This Row],[Quantity]]*tblOrders[[#This Row],[Unit Price]]</f>
        <v>1674.5</v>
      </c>
      <c r="Q1848">
        <f>tblOrders[[#This Row],[TotalSales]]-tblOrders[[#This Row],[Calculated Sales]]</f>
        <v>0</v>
      </c>
    </row>
    <row r="1849" spans="1:17" x14ac:dyDescent="0.25">
      <c r="A1849">
        <v>923</v>
      </c>
      <c r="B1849">
        <v>296</v>
      </c>
      <c r="C1849" t="str">
        <f>_xlfn.XLOOKUP(tblOrders[[#This Row],[CustomerID]],tblCustomers[CustomerID],tblCustomers[CustomerName],"not found")</f>
        <v>Kelly Williams</v>
      </c>
      <c r="D1849">
        <f>_xlfn.XLOOKUP(tblOrders[[#This Row],[CustomerID]],tblCustomers[CustomerID],tblCustomers[Age],"not found")</f>
        <v>30</v>
      </c>
      <c r="E1849" t="str">
        <f>_xlfn.XLOOKUP(tblOrders[[#This Row],[CustomerID]],tblCustomers[CustomerID],tblCustomers[Gender],"not found")</f>
        <v>Male</v>
      </c>
      <c r="F1849" t="str">
        <f>_xlfn.XLOOKUP(tblOrders[[#This Row],[CustomerID]],tblCustomers[CustomerID],tblCustomers[Region],"not found")</f>
        <v>North</v>
      </c>
      <c r="G1849">
        <v>1072</v>
      </c>
      <c r="H1849" t="str">
        <f>_xlfn.XLOOKUP(tblOrders[[#This Row],[ProductID]],tblProducts[ProductID],tblProducts[ProductName],"not found")</f>
        <v>Apply</v>
      </c>
      <c r="I1849" t="str">
        <f>_xlfn.XLOOKUP(tblOrders[[#This Row],[ProductID]],tblProducts[ProductID],tblProducts[Category],"not found")</f>
        <v>Toys</v>
      </c>
      <c r="J1849">
        <f>_xlfn.XLOOKUP(tblOrders[[#This Row],[ProductID]],tblProducts[ProductID],tblProducts[UnitPrice],"not found")</f>
        <v>334.9</v>
      </c>
      <c r="K1849" t="str">
        <f>_xlfn.XLOOKUP(tblOrders[[#This Row],[ProductID]],tblProducts[ProductID],tblProducts[Supplier],"not found")</f>
        <v>Blevins, Clark and Vincent</v>
      </c>
      <c r="L1849" s="1">
        <v>45018</v>
      </c>
      <c r="M18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1849">
        <v>1</v>
      </c>
      <c r="O1849">
        <v>334.9</v>
      </c>
      <c r="P1849">
        <f>tblOrders[[#This Row],[Quantity]]*tblOrders[[#This Row],[Unit Price]]</f>
        <v>334.9</v>
      </c>
      <c r="Q1849">
        <f>tblOrders[[#This Row],[TotalSales]]-tblOrders[[#This Row],[Calculated Sales]]</f>
        <v>0</v>
      </c>
    </row>
    <row r="1850" spans="1:17" x14ac:dyDescent="0.25">
      <c r="A1850">
        <v>989</v>
      </c>
      <c r="B1850">
        <v>379</v>
      </c>
      <c r="C1850" t="str">
        <f>_xlfn.XLOOKUP(tblOrders[[#This Row],[CustomerID]],tblCustomers[CustomerID],tblCustomers[CustomerName],"not found")</f>
        <v>Mary Johnson</v>
      </c>
      <c r="D1850">
        <f>_xlfn.XLOOKUP(tblOrders[[#This Row],[CustomerID]],tblCustomers[CustomerID],tblCustomers[Age],"not found")</f>
        <v>44</v>
      </c>
      <c r="E1850" t="str">
        <f>_xlfn.XLOOKUP(tblOrders[[#This Row],[CustomerID]],tblCustomers[CustomerID],tblCustomers[Gender],"not found")</f>
        <v>Female</v>
      </c>
      <c r="F1850" t="str">
        <f>_xlfn.XLOOKUP(tblOrders[[#This Row],[CustomerID]],tblCustomers[CustomerID],tblCustomers[Region],"not found")</f>
        <v>West</v>
      </c>
      <c r="G1850">
        <v>1072</v>
      </c>
      <c r="H1850" t="str">
        <f>_xlfn.XLOOKUP(tblOrders[[#This Row],[ProductID]],tblProducts[ProductID],tblProducts[ProductName],"not found")</f>
        <v>Apply</v>
      </c>
      <c r="I1850" t="str">
        <f>_xlfn.XLOOKUP(tblOrders[[#This Row],[ProductID]],tblProducts[ProductID],tblProducts[Category],"not found")</f>
        <v>Toys</v>
      </c>
      <c r="J1850">
        <f>_xlfn.XLOOKUP(tblOrders[[#This Row],[ProductID]],tblProducts[ProductID],tblProducts[UnitPrice],"not found")</f>
        <v>334.9</v>
      </c>
      <c r="K1850" t="str">
        <f>_xlfn.XLOOKUP(tblOrders[[#This Row],[ProductID]],tblProducts[ProductID],tblProducts[Supplier],"not found")</f>
        <v>Blevins, Clark and Vincent</v>
      </c>
      <c r="L1850" s="1">
        <v>45085</v>
      </c>
      <c r="M18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45085</v>
      </c>
      <c r="N1850">
        <v>4</v>
      </c>
      <c r="O1850">
        <v>1339.6</v>
      </c>
      <c r="P1850">
        <f>tblOrders[[#This Row],[Quantity]]*tblOrders[[#This Row],[Unit Price]]</f>
        <v>1339.6</v>
      </c>
      <c r="Q1850">
        <f>tblOrders[[#This Row],[TotalSales]]-tblOrders[[#This Row],[Calculated Sales]]</f>
        <v>0</v>
      </c>
    </row>
    <row r="1851" spans="1:17" x14ac:dyDescent="0.25">
      <c r="A1851">
        <v>1017</v>
      </c>
      <c r="B1851">
        <v>167</v>
      </c>
      <c r="C1851" t="str">
        <f>_xlfn.XLOOKUP(tblOrders[[#This Row],[CustomerID]],tblCustomers[CustomerID],tblCustomers[CustomerName],"not found")</f>
        <v>Anna Evans</v>
      </c>
      <c r="D1851">
        <f>_xlfn.XLOOKUP(tblOrders[[#This Row],[CustomerID]],tblCustomers[CustomerID],tblCustomers[Age],"not found")</f>
        <v>23</v>
      </c>
      <c r="E1851" t="str">
        <f>_xlfn.XLOOKUP(tblOrders[[#This Row],[CustomerID]],tblCustomers[CustomerID],tblCustomers[Gender],"not found")</f>
        <v>Male</v>
      </c>
      <c r="F1851" t="str">
        <f>_xlfn.XLOOKUP(tblOrders[[#This Row],[CustomerID]],tblCustomers[CustomerID],tblCustomers[Region],"not found")</f>
        <v>Central</v>
      </c>
      <c r="G1851">
        <v>1072</v>
      </c>
      <c r="H1851" t="str">
        <f>_xlfn.XLOOKUP(tblOrders[[#This Row],[ProductID]],tblProducts[ProductID],tblProducts[ProductName],"not found")</f>
        <v>Apply</v>
      </c>
      <c r="I1851" t="str">
        <f>_xlfn.XLOOKUP(tblOrders[[#This Row],[ProductID]],tblProducts[ProductID],tblProducts[Category],"not found")</f>
        <v>Toys</v>
      </c>
      <c r="J1851">
        <f>_xlfn.XLOOKUP(tblOrders[[#This Row],[ProductID]],tblProducts[ProductID],tblProducts[UnitPrice],"not found")</f>
        <v>334.9</v>
      </c>
      <c r="K1851" t="str">
        <f>_xlfn.XLOOKUP(tblOrders[[#This Row],[ProductID]],tblProducts[ProductID],tblProducts[Supplier],"not found")</f>
        <v>Blevins, Clark and Vincent</v>
      </c>
      <c r="L1851" s="1">
        <v>45475</v>
      </c>
      <c r="M18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45475</v>
      </c>
      <c r="N1851">
        <v>1</v>
      </c>
      <c r="O1851">
        <v>334.9</v>
      </c>
      <c r="P1851">
        <f>tblOrders[[#This Row],[Quantity]]*tblOrders[[#This Row],[Unit Price]]</f>
        <v>334.9</v>
      </c>
      <c r="Q1851">
        <f>tblOrders[[#This Row],[TotalSales]]-tblOrders[[#This Row],[Calculated Sales]]</f>
        <v>0</v>
      </c>
    </row>
    <row r="1852" spans="1:17" x14ac:dyDescent="0.25">
      <c r="A1852">
        <v>1085</v>
      </c>
      <c r="B1852">
        <v>467</v>
      </c>
      <c r="C1852" t="str">
        <f>_xlfn.XLOOKUP(tblOrders[[#This Row],[CustomerID]],tblCustomers[CustomerID],tblCustomers[CustomerName],"not found")</f>
        <v>David Williams PhD</v>
      </c>
      <c r="D1852">
        <f>_xlfn.XLOOKUP(tblOrders[[#This Row],[CustomerID]],tblCustomers[CustomerID],tblCustomers[Age],"not found")</f>
        <v>55</v>
      </c>
      <c r="E1852" t="str">
        <f>_xlfn.XLOOKUP(tblOrders[[#This Row],[CustomerID]],tblCustomers[CustomerID],tblCustomers[Gender],"not found")</f>
        <v>Female</v>
      </c>
      <c r="F1852" t="str">
        <f>_xlfn.XLOOKUP(tblOrders[[#This Row],[CustomerID]],tblCustomers[CustomerID],tblCustomers[Region],"not found")</f>
        <v>South</v>
      </c>
      <c r="G1852">
        <v>1072</v>
      </c>
      <c r="H1852" t="str">
        <f>_xlfn.XLOOKUP(tblOrders[[#This Row],[ProductID]],tblProducts[ProductID],tblProducts[ProductName],"not found")</f>
        <v>Apply</v>
      </c>
      <c r="I1852" t="str">
        <f>_xlfn.XLOOKUP(tblOrders[[#This Row],[ProductID]],tblProducts[ProductID],tblProducts[Category],"not found")</f>
        <v>Toys</v>
      </c>
      <c r="J1852">
        <f>_xlfn.XLOOKUP(tblOrders[[#This Row],[ProductID]],tblProducts[ProductID],tblProducts[UnitPrice],"not found")</f>
        <v>334.9</v>
      </c>
      <c r="K1852" t="str">
        <f>_xlfn.XLOOKUP(tblOrders[[#This Row],[ProductID]],tblProducts[ProductID],tblProducts[Supplier],"not found")</f>
        <v>Blevins, Clark and Vincent</v>
      </c>
      <c r="L1852" s="1" t="s">
        <v>2069</v>
      </c>
      <c r="M18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45488</v>
      </c>
      <c r="N1852">
        <v>9</v>
      </c>
      <c r="O1852">
        <v>3014.1</v>
      </c>
      <c r="P1852">
        <f>tblOrders[[#This Row],[Quantity]]*tblOrders[[#This Row],[Unit Price]]</f>
        <v>3014.1</v>
      </c>
      <c r="Q1852">
        <f>tblOrders[[#This Row],[TotalSales]]-tblOrders[[#This Row],[Calculated Sales]]</f>
        <v>0</v>
      </c>
    </row>
    <row r="1853" spans="1:17" x14ac:dyDescent="0.25">
      <c r="A1853">
        <v>1127</v>
      </c>
      <c r="B1853">
        <v>443</v>
      </c>
      <c r="C1853" t="str">
        <f>_xlfn.XLOOKUP(tblOrders[[#This Row],[CustomerID]],tblCustomers[CustomerID],tblCustomers[CustomerName],"not found")</f>
        <v>Edward Lopez</v>
      </c>
      <c r="D1853">
        <f>_xlfn.XLOOKUP(tblOrders[[#This Row],[CustomerID]],tblCustomers[CustomerID],tblCustomers[Age],"not found")</f>
        <v>23</v>
      </c>
      <c r="E1853" t="str">
        <f>_xlfn.XLOOKUP(tblOrders[[#This Row],[CustomerID]],tblCustomers[CustomerID],tblCustomers[Gender],"not found")</f>
        <v>Female</v>
      </c>
      <c r="F1853" t="str">
        <f>_xlfn.XLOOKUP(tblOrders[[#This Row],[CustomerID]],tblCustomers[CustomerID],tblCustomers[Region],"not found")</f>
        <v>South</v>
      </c>
      <c r="G1853">
        <v>1072</v>
      </c>
      <c r="H1853" t="str">
        <f>_xlfn.XLOOKUP(tblOrders[[#This Row],[ProductID]],tblProducts[ProductID],tblProducts[ProductName],"not found")</f>
        <v>Apply</v>
      </c>
      <c r="I1853" t="str">
        <f>_xlfn.XLOOKUP(tblOrders[[#This Row],[ProductID]],tblProducts[ProductID],tblProducts[Category],"not found")</f>
        <v>Toys</v>
      </c>
      <c r="J1853">
        <f>_xlfn.XLOOKUP(tblOrders[[#This Row],[ProductID]],tblProducts[ProductID],tblProducts[UnitPrice],"not found")</f>
        <v>334.9</v>
      </c>
      <c r="K1853" t="str">
        <f>_xlfn.XLOOKUP(tblOrders[[#This Row],[ProductID]],tblProducts[ProductID],tblProducts[Supplier],"not found")</f>
        <v>Blevins, Clark and Vincent</v>
      </c>
      <c r="L1853" s="1" t="s">
        <v>2251</v>
      </c>
      <c r="M18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45009</v>
      </c>
      <c r="N1853">
        <v>2</v>
      </c>
      <c r="O1853">
        <v>669.8</v>
      </c>
      <c r="P1853">
        <f>tblOrders[[#This Row],[Quantity]]*tblOrders[[#This Row],[Unit Price]]</f>
        <v>669.8</v>
      </c>
      <c r="Q1853">
        <f>tblOrders[[#This Row],[TotalSales]]-tblOrders[[#This Row],[Calculated Sales]]</f>
        <v>0</v>
      </c>
    </row>
    <row r="1854" spans="1:17" x14ac:dyDescent="0.25">
      <c r="A1854">
        <v>1130</v>
      </c>
      <c r="B1854">
        <v>804</v>
      </c>
      <c r="C1854" t="str">
        <f>_xlfn.XLOOKUP(tblOrders[[#This Row],[CustomerID]],tblCustomers[CustomerID],tblCustomers[CustomerName],"not found")</f>
        <v>David Pugh</v>
      </c>
      <c r="D1854">
        <f>_xlfn.XLOOKUP(tblOrders[[#This Row],[CustomerID]],tblCustomers[CustomerID],tblCustomers[Age],"not found")</f>
        <v>56</v>
      </c>
      <c r="E1854" t="str">
        <f>_xlfn.XLOOKUP(tblOrders[[#This Row],[CustomerID]],tblCustomers[CustomerID],tblCustomers[Gender],"not found")</f>
        <v>Male</v>
      </c>
      <c r="F1854" t="str">
        <f>_xlfn.XLOOKUP(tblOrders[[#This Row],[CustomerID]],tblCustomers[CustomerID],tblCustomers[Region],"not found")</f>
        <v>East</v>
      </c>
      <c r="G1854">
        <v>1072</v>
      </c>
      <c r="H1854" t="str">
        <f>_xlfn.XLOOKUP(tblOrders[[#This Row],[ProductID]],tblProducts[ProductID],tblProducts[ProductName],"not found")</f>
        <v>Apply</v>
      </c>
      <c r="I1854" t="str">
        <f>_xlfn.XLOOKUP(tblOrders[[#This Row],[ProductID]],tblProducts[ProductID],tblProducts[Category],"not found")</f>
        <v>Toys</v>
      </c>
      <c r="J1854">
        <f>_xlfn.XLOOKUP(tblOrders[[#This Row],[ProductID]],tblProducts[ProductID],tblProducts[UnitPrice],"not found")</f>
        <v>334.9</v>
      </c>
      <c r="K1854" t="str">
        <f>_xlfn.XLOOKUP(tblOrders[[#This Row],[ProductID]],tblProducts[ProductID],tblProducts[Supplier],"not found")</f>
        <v>Blevins, Clark and Vincent</v>
      </c>
      <c r="L1854" s="1" t="s">
        <v>2416</v>
      </c>
      <c r="M18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45127</v>
      </c>
      <c r="N1854">
        <v>7</v>
      </c>
      <c r="O1854">
        <v>2344.3000000000002</v>
      </c>
      <c r="P1854">
        <f>tblOrders[[#This Row],[Quantity]]*tblOrders[[#This Row],[Unit Price]]</f>
        <v>2344.2999999999997</v>
      </c>
      <c r="Q1854">
        <f>tblOrders[[#This Row],[TotalSales]]-tblOrders[[#This Row],[Calculated Sales]]</f>
        <v>0</v>
      </c>
    </row>
    <row r="1855" spans="1:17" x14ac:dyDescent="0.25">
      <c r="A1855">
        <v>1221</v>
      </c>
      <c r="B1855">
        <v>45</v>
      </c>
      <c r="C1855" t="str">
        <f>_xlfn.XLOOKUP(tblOrders[[#This Row],[CustomerID]],tblCustomers[CustomerID],tblCustomers[CustomerName],"not found")</f>
        <v>William Morris</v>
      </c>
      <c r="D1855">
        <f>_xlfn.XLOOKUP(tblOrders[[#This Row],[CustomerID]],tblCustomers[CustomerID],tblCustomers[Age],"not found")</f>
        <v>51</v>
      </c>
      <c r="E1855" t="str">
        <f>_xlfn.XLOOKUP(tblOrders[[#This Row],[CustomerID]],tblCustomers[CustomerID],tblCustomers[Gender],"not found")</f>
        <v>Female</v>
      </c>
      <c r="F1855" t="str">
        <f>_xlfn.XLOOKUP(tblOrders[[#This Row],[CustomerID]],tblCustomers[CustomerID],tblCustomers[Region],"not found")</f>
        <v>North</v>
      </c>
      <c r="G1855">
        <v>1072</v>
      </c>
      <c r="H1855" t="str">
        <f>_xlfn.XLOOKUP(tblOrders[[#This Row],[ProductID]],tblProducts[ProductID],tblProducts[ProductName],"not found")</f>
        <v>Apply</v>
      </c>
      <c r="I1855" t="str">
        <f>_xlfn.XLOOKUP(tblOrders[[#This Row],[ProductID]],tblProducts[ProductID],tblProducts[Category],"not found")</f>
        <v>Toys</v>
      </c>
      <c r="J1855">
        <f>_xlfn.XLOOKUP(tblOrders[[#This Row],[ProductID]],tblProducts[ProductID],tblProducts[UnitPrice],"not found")</f>
        <v>334.9</v>
      </c>
      <c r="K1855" t="str">
        <f>_xlfn.XLOOKUP(tblOrders[[#This Row],[ProductID]],tblProducts[ProductID],tblProducts[Supplier],"not found")</f>
        <v>Blevins, Clark and Vincent</v>
      </c>
      <c r="L1855" s="1">
        <v>44934</v>
      </c>
      <c r="M18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44934</v>
      </c>
      <c r="N1855">
        <v>3</v>
      </c>
      <c r="O1855">
        <v>1004.7</v>
      </c>
      <c r="P1855">
        <f>tblOrders[[#This Row],[Quantity]]*tblOrders[[#This Row],[Unit Price]]</f>
        <v>1004.6999999999999</v>
      </c>
      <c r="Q1855">
        <f>tblOrders[[#This Row],[TotalSales]]-tblOrders[[#This Row],[Calculated Sales]]</f>
        <v>0</v>
      </c>
    </row>
    <row r="1856" spans="1:17" x14ac:dyDescent="0.25">
      <c r="A1856">
        <v>1411</v>
      </c>
      <c r="B1856">
        <v>590</v>
      </c>
      <c r="C1856" t="str">
        <f>_xlfn.XLOOKUP(tblOrders[[#This Row],[CustomerID]],tblCustomers[CustomerID],tblCustomers[CustomerName],"not found")</f>
        <v>Judy Chung</v>
      </c>
      <c r="D1856">
        <f>_xlfn.XLOOKUP(tblOrders[[#This Row],[CustomerID]],tblCustomers[CustomerID],tblCustomers[Age],"not found")</f>
        <v>64</v>
      </c>
      <c r="E1856" t="str">
        <f>_xlfn.XLOOKUP(tblOrders[[#This Row],[CustomerID]],tblCustomers[CustomerID],tblCustomers[Gender],"not found")</f>
        <v>Male</v>
      </c>
      <c r="F1856" t="str">
        <f>_xlfn.XLOOKUP(tblOrders[[#This Row],[CustomerID]],tblCustomers[CustomerID],tblCustomers[Region],"not found")</f>
        <v>South</v>
      </c>
      <c r="G1856">
        <v>1072</v>
      </c>
      <c r="H1856" t="str">
        <f>_xlfn.XLOOKUP(tblOrders[[#This Row],[ProductID]],tblProducts[ProductID],tblProducts[ProductName],"not found")</f>
        <v>Apply</v>
      </c>
      <c r="I1856" t="str">
        <f>_xlfn.XLOOKUP(tblOrders[[#This Row],[ProductID]],tblProducts[ProductID],tblProducts[Category],"not found")</f>
        <v>Toys</v>
      </c>
      <c r="J1856">
        <f>_xlfn.XLOOKUP(tblOrders[[#This Row],[ProductID]],tblProducts[ProductID],tblProducts[UnitPrice],"not found")</f>
        <v>334.9</v>
      </c>
      <c r="K1856" t="str">
        <f>_xlfn.XLOOKUP(tblOrders[[#This Row],[ProductID]],tblProducts[ProductID],tblProducts[Supplier],"not found")</f>
        <v>Blevins, Clark and Vincent</v>
      </c>
      <c r="L1856" s="1">
        <v>45150</v>
      </c>
      <c r="M18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45150</v>
      </c>
      <c r="N1856">
        <v>1</v>
      </c>
      <c r="O1856">
        <v>334.9</v>
      </c>
      <c r="P1856">
        <f>tblOrders[[#This Row],[Quantity]]*tblOrders[[#This Row],[Unit Price]]</f>
        <v>334.9</v>
      </c>
      <c r="Q1856">
        <f>tblOrders[[#This Row],[TotalSales]]-tblOrders[[#This Row],[Calculated Sales]]</f>
        <v>0</v>
      </c>
    </row>
    <row r="1857" spans="1:17" x14ac:dyDescent="0.25">
      <c r="A1857">
        <v>1528</v>
      </c>
      <c r="B1857">
        <v>651</v>
      </c>
      <c r="C1857" t="str">
        <f>_xlfn.XLOOKUP(tblOrders[[#This Row],[CustomerID]],tblCustomers[CustomerID],tblCustomers[CustomerName],"not found")</f>
        <v>Jillian Haas</v>
      </c>
      <c r="D1857">
        <f>_xlfn.XLOOKUP(tblOrders[[#This Row],[CustomerID]],tblCustomers[CustomerID],tblCustomers[Age],"not found")</f>
        <v>26</v>
      </c>
      <c r="E1857" t="str">
        <f>_xlfn.XLOOKUP(tblOrders[[#This Row],[CustomerID]],tblCustomers[CustomerID],tblCustomers[Gender],"not found")</f>
        <v>Female</v>
      </c>
      <c r="F1857" t="str">
        <f>_xlfn.XLOOKUP(tblOrders[[#This Row],[CustomerID]],tblCustomers[CustomerID],tblCustomers[Region],"not found")</f>
        <v>Central</v>
      </c>
      <c r="G1857">
        <v>1072</v>
      </c>
      <c r="H1857" t="str">
        <f>_xlfn.XLOOKUP(tblOrders[[#This Row],[ProductID]],tblProducts[ProductID],tblProducts[ProductName],"not found")</f>
        <v>Apply</v>
      </c>
      <c r="I1857" t="str">
        <f>_xlfn.XLOOKUP(tblOrders[[#This Row],[ProductID]],tblProducts[ProductID],tblProducts[Category],"not found")</f>
        <v>Toys</v>
      </c>
      <c r="J1857">
        <f>_xlfn.XLOOKUP(tblOrders[[#This Row],[ProductID]],tblProducts[ProductID],tblProducts[UnitPrice],"not found")</f>
        <v>334.9</v>
      </c>
      <c r="K1857" t="str">
        <f>_xlfn.XLOOKUP(tblOrders[[#This Row],[ProductID]],tblProducts[ProductID],tblProducts[Supplier],"not found")</f>
        <v>Blevins, Clark and Vincent</v>
      </c>
      <c r="L1857" s="1" t="s">
        <v>2324</v>
      </c>
      <c r="M18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45220</v>
      </c>
      <c r="N1857">
        <v>8</v>
      </c>
      <c r="O1857">
        <v>2679.2</v>
      </c>
      <c r="P1857">
        <f>tblOrders[[#This Row],[Quantity]]*tblOrders[[#This Row],[Unit Price]]</f>
        <v>2679.2</v>
      </c>
      <c r="Q1857">
        <f>tblOrders[[#This Row],[TotalSales]]-tblOrders[[#This Row],[Calculated Sales]]</f>
        <v>0</v>
      </c>
    </row>
    <row r="1858" spans="1:17" x14ac:dyDescent="0.25">
      <c r="A1858">
        <v>1594</v>
      </c>
      <c r="B1858">
        <v>979</v>
      </c>
      <c r="C1858" t="str">
        <f>_xlfn.XLOOKUP(tblOrders[[#This Row],[CustomerID]],tblCustomers[CustomerID],tblCustomers[CustomerName],"not found")</f>
        <v>Sheila Erickson</v>
      </c>
      <c r="D1858">
        <f>_xlfn.XLOOKUP(tblOrders[[#This Row],[CustomerID]],tblCustomers[CustomerID],tblCustomers[Age],"not found")</f>
        <v>38</v>
      </c>
      <c r="E1858" t="str">
        <f>_xlfn.XLOOKUP(tblOrders[[#This Row],[CustomerID]],tblCustomers[CustomerID],tblCustomers[Gender],"not found")</f>
        <v>Female</v>
      </c>
      <c r="F1858" t="str">
        <f>_xlfn.XLOOKUP(tblOrders[[#This Row],[CustomerID]],tblCustomers[CustomerID],tblCustomers[Region],"not found")</f>
        <v>South</v>
      </c>
      <c r="G1858">
        <v>1072</v>
      </c>
      <c r="H1858" t="str">
        <f>_xlfn.XLOOKUP(tblOrders[[#This Row],[ProductID]],tblProducts[ProductID],tblProducts[ProductName],"not found")</f>
        <v>Apply</v>
      </c>
      <c r="I1858" t="str">
        <f>_xlfn.XLOOKUP(tblOrders[[#This Row],[ProductID]],tblProducts[ProductID],tblProducts[Category],"not found")</f>
        <v>Toys</v>
      </c>
      <c r="J1858">
        <f>_xlfn.XLOOKUP(tblOrders[[#This Row],[ProductID]],tblProducts[ProductID],tblProducts[UnitPrice],"not found")</f>
        <v>334.9</v>
      </c>
      <c r="K1858" t="str">
        <f>_xlfn.XLOOKUP(tblOrders[[#This Row],[ProductID]],tblProducts[ProductID],tblProducts[Supplier],"not found")</f>
        <v>Blevins, Clark and Vincent</v>
      </c>
      <c r="L1858" s="1" t="s">
        <v>2196</v>
      </c>
      <c r="M18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45252</v>
      </c>
      <c r="N1858">
        <v>1</v>
      </c>
      <c r="O1858">
        <v>334.9</v>
      </c>
      <c r="P1858">
        <f>tblOrders[[#This Row],[Quantity]]*tblOrders[[#This Row],[Unit Price]]</f>
        <v>334.9</v>
      </c>
      <c r="Q1858">
        <f>tblOrders[[#This Row],[TotalSales]]-tblOrders[[#This Row],[Calculated Sales]]</f>
        <v>0</v>
      </c>
    </row>
    <row r="1859" spans="1:17" x14ac:dyDescent="0.25">
      <c r="A1859">
        <v>1663</v>
      </c>
      <c r="B1859">
        <v>794</v>
      </c>
      <c r="C1859" t="str">
        <f>_xlfn.XLOOKUP(tblOrders[[#This Row],[CustomerID]],tblCustomers[CustomerID],tblCustomers[CustomerName],"not found")</f>
        <v>Alexandra Rogers</v>
      </c>
      <c r="D1859">
        <f>_xlfn.XLOOKUP(tblOrders[[#This Row],[CustomerID]],tblCustomers[CustomerID],tblCustomers[Age],"not found")</f>
        <v>65</v>
      </c>
      <c r="E1859" t="str">
        <f>_xlfn.XLOOKUP(tblOrders[[#This Row],[CustomerID]],tblCustomers[CustomerID],tblCustomers[Gender],"not found")</f>
        <v>Male</v>
      </c>
      <c r="F1859" t="str">
        <f>_xlfn.XLOOKUP(tblOrders[[#This Row],[CustomerID]],tblCustomers[CustomerID],tblCustomers[Region],"not found")</f>
        <v>North</v>
      </c>
      <c r="G1859">
        <v>1072</v>
      </c>
      <c r="H1859" t="str">
        <f>_xlfn.XLOOKUP(tblOrders[[#This Row],[ProductID]],tblProducts[ProductID],tblProducts[ProductName],"not found")</f>
        <v>Apply</v>
      </c>
      <c r="I1859" t="str">
        <f>_xlfn.XLOOKUP(tblOrders[[#This Row],[ProductID]],tblProducts[ProductID],tblProducts[Category],"not found")</f>
        <v>Toys</v>
      </c>
      <c r="J1859">
        <f>_xlfn.XLOOKUP(tblOrders[[#This Row],[ProductID]],tblProducts[ProductID],tblProducts[UnitPrice],"not found")</f>
        <v>334.9</v>
      </c>
      <c r="K1859" t="str">
        <f>_xlfn.XLOOKUP(tblOrders[[#This Row],[ProductID]],tblProducts[ProductID],tblProducts[Supplier],"not found")</f>
        <v>Blevins, Clark and Vincent</v>
      </c>
      <c r="L1859" s="1">
        <v>45206</v>
      </c>
      <c r="M18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45206</v>
      </c>
      <c r="N1859">
        <v>1</v>
      </c>
      <c r="O1859">
        <v>334.9</v>
      </c>
      <c r="P1859">
        <f>tblOrders[[#This Row],[Quantity]]*tblOrders[[#This Row],[Unit Price]]</f>
        <v>334.9</v>
      </c>
      <c r="Q1859">
        <f>tblOrders[[#This Row],[TotalSales]]-tblOrders[[#This Row],[Calculated Sales]]</f>
        <v>0</v>
      </c>
    </row>
    <row r="1860" spans="1:17" x14ac:dyDescent="0.25">
      <c r="A1860">
        <v>1938</v>
      </c>
      <c r="B1860">
        <v>605</v>
      </c>
      <c r="C1860" t="str">
        <f>_xlfn.XLOOKUP(tblOrders[[#This Row],[CustomerID]],tblCustomers[CustomerID],tblCustomers[CustomerName],"not found")</f>
        <v>Brent Nielsen</v>
      </c>
      <c r="D1860">
        <f>_xlfn.XLOOKUP(tblOrders[[#This Row],[CustomerID]],tblCustomers[CustomerID],tblCustomers[Age],"not found")</f>
        <v>61</v>
      </c>
      <c r="E1860" t="str">
        <f>_xlfn.XLOOKUP(tblOrders[[#This Row],[CustomerID]],tblCustomers[CustomerID],tblCustomers[Gender],"not found")</f>
        <v>Male</v>
      </c>
      <c r="F1860" t="str">
        <f>_xlfn.XLOOKUP(tblOrders[[#This Row],[CustomerID]],tblCustomers[CustomerID],tblCustomers[Region],"not found")</f>
        <v>South</v>
      </c>
      <c r="G1860">
        <v>1072</v>
      </c>
      <c r="H1860" t="str">
        <f>_xlfn.XLOOKUP(tblOrders[[#This Row],[ProductID]],tblProducts[ProductID],tblProducts[ProductName],"not found")</f>
        <v>Apply</v>
      </c>
      <c r="I1860" t="str">
        <f>_xlfn.XLOOKUP(tblOrders[[#This Row],[ProductID]],tblProducts[ProductID],tblProducts[Category],"not found")</f>
        <v>Toys</v>
      </c>
      <c r="J1860">
        <f>_xlfn.XLOOKUP(tblOrders[[#This Row],[ProductID]],tblProducts[ProductID],tblProducts[UnitPrice],"not found")</f>
        <v>334.9</v>
      </c>
      <c r="K1860" t="str">
        <f>_xlfn.XLOOKUP(tblOrders[[#This Row],[ProductID]],tblProducts[ProductID],tblProducts[Supplier],"not found")</f>
        <v>Blevins, Clark and Vincent</v>
      </c>
      <c r="L1860" s="1">
        <v>44723</v>
      </c>
      <c r="M18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1860">
        <v>2</v>
      </c>
      <c r="O1860">
        <v>669.8</v>
      </c>
      <c r="P1860">
        <f>tblOrders[[#This Row],[Quantity]]*tblOrders[[#This Row],[Unit Price]]</f>
        <v>669.8</v>
      </c>
      <c r="Q1860">
        <f>tblOrders[[#This Row],[TotalSales]]-tblOrders[[#This Row],[Calculated Sales]]</f>
        <v>0</v>
      </c>
    </row>
    <row r="1861" spans="1:17" x14ac:dyDescent="0.25">
      <c r="A1861">
        <v>1981</v>
      </c>
      <c r="B1861">
        <v>561</v>
      </c>
      <c r="C1861" t="str">
        <f>_xlfn.XLOOKUP(tblOrders[[#This Row],[CustomerID]],tblCustomers[CustomerID],tblCustomers[CustomerName],"not found")</f>
        <v>Jesse West</v>
      </c>
      <c r="D1861">
        <f>_xlfn.XLOOKUP(tblOrders[[#This Row],[CustomerID]],tblCustomers[CustomerID],tblCustomers[Age],"not found")</f>
        <v>19</v>
      </c>
      <c r="E1861" t="str">
        <f>_xlfn.XLOOKUP(tblOrders[[#This Row],[CustomerID]],tblCustomers[CustomerID],tblCustomers[Gender],"not found")</f>
        <v>Male</v>
      </c>
      <c r="F1861" t="str">
        <f>_xlfn.XLOOKUP(tblOrders[[#This Row],[CustomerID]],tblCustomers[CustomerID],tblCustomers[Region],"not found")</f>
        <v>North</v>
      </c>
      <c r="G1861">
        <v>1072</v>
      </c>
      <c r="H1861" t="str">
        <f>_xlfn.XLOOKUP(tblOrders[[#This Row],[ProductID]],tblProducts[ProductID],tblProducts[ProductName],"not found")</f>
        <v>Apply</v>
      </c>
      <c r="I1861" t="str">
        <f>_xlfn.XLOOKUP(tblOrders[[#This Row],[ProductID]],tblProducts[ProductID],tblProducts[Category],"not found")</f>
        <v>Toys</v>
      </c>
      <c r="J1861">
        <f>_xlfn.XLOOKUP(tblOrders[[#This Row],[ProductID]],tblProducts[ProductID],tblProducts[UnitPrice],"not found")</f>
        <v>334.9</v>
      </c>
      <c r="K1861" t="str">
        <f>_xlfn.XLOOKUP(tblOrders[[#This Row],[ProductID]],tblProducts[ProductID],tblProducts[Supplier],"not found")</f>
        <v>Blevins, Clark and Vincent</v>
      </c>
      <c r="L1861" s="1" t="s">
        <v>2384</v>
      </c>
      <c r="M18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44978</v>
      </c>
      <c r="N1861">
        <v>6</v>
      </c>
      <c r="O1861">
        <v>2009.4</v>
      </c>
      <c r="P1861">
        <f>tblOrders[[#This Row],[Quantity]]*tblOrders[[#This Row],[Unit Price]]</f>
        <v>2009.3999999999999</v>
      </c>
      <c r="Q1861">
        <f>tblOrders[[#This Row],[TotalSales]]-tblOrders[[#This Row],[Calculated Sales]]</f>
        <v>0</v>
      </c>
    </row>
    <row r="1862" spans="1:17" x14ac:dyDescent="0.25">
      <c r="A1862">
        <v>247</v>
      </c>
      <c r="B1862">
        <v>271</v>
      </c>
      <c r="C1862" t="str">
        <f>_xlfn.XLOOKUP(tblOrders[[#This Row],[CustomerID]],tblCustomers[CustomerID],tblCustomers[CustomerName],"not found")</f>
        <v>Katherine Bowman</v>
      </c>
      <c r="D1862">
        <f>_xlfn.XLOOKUP(tblOrders[[#This Row],[CustomerID]],tblCustomers[CustomerID],tblCustomers[Age],"not found")</f>
        <v>37</v>
      </c>
      <c r="E1862" t="str">
        <f>_xlfn.XLOOKUP(tblOrders[[#This Row],[CustomerID]],tblCustomers[CustomerID],tblCustomers[Gender],"not found")</f>
        <v>Female</v>
      </c>
      <c r="F1862" t="str">
        <f>_xlfn.XLOOKUP(tblOrders[[#This Row],[CustomerID]],tblCustomers[CustomerID],tblCustomers[Region],"not found")</f>
        <v>North</v>
      </c>
      <c r="G1862">
        <v>1016</v>
      </c>
      <c r="H1862" t="str">
        <f>_xlfn.XLOOKUP(tblOrders[[#This Row],[ProductID]],tblProducts[ProductID],tblProducts[ProductName],"not found")</f>
        <v>Fast</v>
      </c>
      <c r="I1862" t="str">
        <f>_xlfn.XLOOKUP(tblOrders[[#This Row],[ProductID]],tblProducts[ProductID],tblProducts[Category],"not found")</f>
        <v>Toys</v>
      </c>
      <c r="J1862">
        <f>_xlfn.XLOOKUP(tblOrders[[#This Row],[ProductID]],tblProducts[ProductID],tblProducts[UnitPrice],"not found")</f>
        <v>287.68</v>
      </c>
      <c r="K1862" t="str">
        <f>_xlfn.XLOOKUP(tblOrders[[#This Row],[ProductID]],tblProducts[ProductID],tblProducts[Supplier],"not found")</f>
        <v>Mcmahon, Munoz and Lopez</v>
      </c>
      <c r="L1862" s="1">
        <v>45480</v>
      </c>
      <c r="M18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45480</v>
      </c>
      <c r="N1862">
        <v>3</v>
      </c>
      <c r="O1862">
        <v>863.04</v>
      </c>
      <c r="P1862">
        <f>tblOrders[[#This Row],[Quantity]]*tblOrders[[#This Row],[Unit Price]]</f>
        <v>863.04</v>
      </c>
      <c r="Q1862">
        <f>tblOrders[[#This Row],[TotalSales]]-tblOrders[[#This Row],[Calculated Sales]]</f>
        <v>0</v>
      </c>
    </row>
    <row r="1863" spans="1:17" x14ac:dyDescent="0.25">
      <c r="A1863">
        <v>365</v>
      </c>
      <c r="B1863">
        <v>3</v>
      </c>
      <c r="C1863" t="str">
        <f>_xlfn.XLOOKUP(tblOrders[[#This Row],[CustomerID]],tblCustomers[CustomerID],tblCustomers[CustomerName],"not found")</f>
        <v>Dr. Alicia Henderson DVM</v>
      </c>
      <c r="D1863">
        <f>_xlfn.XLOOKUP(tblOrders[[#This Row],[CustomerID]],tblCustomers[CustomerID],tblCustomers[Age],"not found")</f>
        <v>19</v>
      </c>
      <c r="E1863" t="str">
        <f>_xlfn.XLOOKUP(tblOrders[[#This Row],[CustomerID]],tblCustomers[CustomerID],tblCustomers[Gender],"not found")</f>
        <v>Male</v>
      </c>
      <c r="F1863" t="str">
        <f>_xlfn.XLOOKUP(tblOrders[[#This Row],[CustomerID]],tblCustomers[CustomerID],tblCustomers[Region],"not found")</f>
        <v>North</v>
      </c>
      <c r="G1863">
        <v>1016</v>
      </c>
      <c r="H1863" t="str">
        <f>_xlfn.XLOOKUP(tblOrders[[#This Row],[ProductID]],tblProducts[ProductID],tblProducts[ProductName],"not found")</f>
        <v>Fast</v>
      </c>
      <c r="I1863" t="str">
        <f>_xlfn.XLOOKUP(tblOrders[[#This Row],[ProductID]],tblProducts[ProductID],tblProducts[Category],"not found")</f>
        <v>Toys</v>
      </c>
      <c r="J1863">
        <f>_xlfn.XLOOKUP(tblOrders[[#This Row],[ProductID]],tblProducts[ProductID],tblProducts[UnitPrice],"not found")</f>
        <v>287.68</v>
      </c>
      <c r="K1863" t="str">
        <f>_xlfn.XLOOKUP(tblOrders[[#This Row],[ProductID]],tblProducts[ProductID],tblProducts[Supplier],"not found")</f>
        <v>Mcmahon, Munoz and Lopez</v>
      </c>
      <c r="L1863" s="1">
        <v>45360</v>
      </c>
      <c r="M18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45360</v>
      </c>
      <c r="N1863">
        <v>6</v>
      </c>
      <c r="O1863">
        <v>1726.08</v>
      </c>
      <c r="P1863">
        <f>tblOrders[[#This Row],[Quantity]]*tblOrders[[#This Row],[Unit Price]]</f>
        <v>1726.08</v>
      </c>
      <c r="Q1863">
        <f>tblOrders[[#This Row],[TotalSales]]-tblOrders[[#This Row],[Calculated Sales]]</f>
        <v>0</v>
      </c>
    </row>
    <row r="1864" spans="1:17" x14ac:dyDescent="0.25">
      <c r="A1864">
        <v>426</v>
      </c>
      <c r="B1864">
        <v>54</v>
      </c>
      <c r="C1864" t="str">
        <f>_xlfn.XLOOKUP(tblOrders[[#This Row],[CustomerID]],tblCustomers[CustomerID],tblCustomers[CustomerName],"not found")</f>
        <v>Jamie Sherman</v>
      </c>
      <c r="D1864">
        <f>_xlfn.XLOOKUP(tblOrders[[#This Row],[CustomerID]],tblCustomers[CustomerID],tblCustomers[Age],"not found")</f>
        <v>64</v>
      </c>
      <c r="E1864" t="str">
        <f>_xlfn.XLOOKUP(tblOrders[[#This Row],[CustomerID]],tblCustomers[CustomerID],tblCustomers[Gender],"not found")</f>
        <v>Male</v>
      </c>
      <c r="F1864" t="str">
        <f>_xlfn.XLOOKUP(tblOrders[[#This Row],[CustomerID]],tblCustomers[CustomerID],tblCustomers[Region],"not found")</f>
        <v>Central</v>
      </c>
      <c r="G1864">
        <v>1016</v>
      </c>
      <c r="H1864" t="str">
        <f>_xlfn.XLOOKUP(tblOrders[[#This Row],[ProductID]],tblProducts[ProductID],tblProducts[ProductName],"not found")</f>
        <v>Fast</v>
      </c>
      <c r="I1864" t="str">
        <f>_xlfn.XLOOKUP(tblOrders[[#This Row],[ProductID]],tblProducts[ProductID],tblProducts[Category],"not found")</f>
        <v>Toys</v>
      </c>
      <c r="J1864">
        <f>_xlfn.XLOOKUP(tblOrders[[#This Row],[ProductID]],tblProducts[ProductID],tblProducts[UnitPrice],"not found")</f>
        <v>287.68</v>
      </c>
      <c r="K1864" t="str">
        <f>_xlfn.XLOOKUP(tblOrders[[#This Row],[ProductID]],tblProducts[ProductID],tblProducts[Supplier],"not found")</f>
        <v>Mcmahon, Munoz and Lopez</v>
      </c>
      <c r="L1864" s="1">
        <v>45450</v>
      </c>
      <c r="M18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45450</v>
      </c>
      <c r="N1864">
        <v>1</v>
      </c>
      <c r="O1864">
        <v>287.68</v>
      </c>
      <c r="P1864">
        <f>tblOrders[[#This Row],[Quantity]]*tblOrders[[#This Row],[Unit Price]]</f>
        <v>287.68</v>
      </c>
      <c r="Q1864">
        <f>tblOrders[[#This Row],[TotalSales]]-tblOrders[[#This Row],[Calculated Sales]]</f>
        <v>0</v>
      </c>
    </row>
    <row r="1865" spans="1:17" x14ac:dyDescent="0.25">
      <c r="A1865">
        <v>435</v>
      </c>
      <c r="B1865">
        <v>394</v>
      </c>
      <c r="C1865" t="str">
        <f>_xlfn.XLOOKUP(tblOrders[[#This Row],[CustomerID]],tblCustomers[CustomerID],tblCustomers[CustomerName],"not found")</f>
        <v>Lori Roberts</v>
      </c>
      <c r="D1865">
        <f>_xlfn.XLOOKUP(tblOrders[[#This Row],[CustomerID]],tblCustomers[CustomerID],tblCustomers[Age],"not found")</f>
        <v>35</v>
      </c>
      <c r="E1865" t="str">
        <f>_xlfn.XLOOKUP(tblOrders[[#This Row],[CustomerID]],tblCustomers[CustomerID],tblCustomers[Gender],"not found")</f>
        <v>Female</v>
      </c>
      <c r="F1865" t="str">
        <f>_xlfn.XLOOKUP(tblOrders[[#This Row],[CustomerID]],tblCustomers[CustomerID],tblCustomers[Region],"not found")</f>
        <v>East</v>
      </c>
      <c r="G1865">
        <v>1016</v>
      </c>
      <c r="H1865" t="str">
        <f>_xlfn.XLOOKUP(tblOrders[[#This Row],[ProductID]],tblProducts[ProductID],tblProducts[ProductName],"not found")</f>
        <v>Fast</v>
      </c>
      <c r="I1865" t="str">
        <f>_xlfn.XLOOKUP(tblOrders[[#This Row],[ProductID]],tblProducts[ProductID],tblProducts[Category],"not found")</f>
        <v>Toys</v>
      </c>
      <c r="J1865">
        <f>_xlfn.XLOOKUP(tblOrders[[#This Row],[ProductID]],tblProducts[ProductID],tblProducts[UnitPrice],"not found")</f>
        <v>287.68</v>
      </c>
      <c r="K1865" t="str">
        <f>_xlfn.XLOOKUP(tblOrders[[#This Row],[ProductID]],tblProducts[ProductID],tblProducts[Supplier],"not found")</f>
        <v>Mcmahon, Munoz and Lopez</v>
      </c>
      <c r="L1865" s="1">
        <v>45145</v>
      </c>
      <c r="M18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45145</v>
      </c>
      <c r="N1865">
        <v>5</v>
      </c>
      <c r="O1865">
        <v>1438.4</v>
      </c>
      <c r="P1865">
        <f>tblOrders[[#This Row],[Quantity]]*tblOrders[[#This Row],[Unit Price]]</f>
        <v>1438.4</v>
      </c>
      <c r="Q1865">
        <f>tblOrders[[#This Row],[TotalSales]]-tblOrders[[#This Row],[Calculated Sales]]</f>
        <v>0</v>
      </c>
    </row>
    <row r="1866" spans="1:17" x14ac:dyDescent="0.25">
      <c r="A1866">
        <v>445</v>
      </c>
      <c r="B1866">
        <v>702</v>
      </c>
      <c r="C1866" t="str">
        <f>_xlfn.XLOOKUP(tblOrders[[#This Row],[CustomerID]],tblCustomers[CustomerID],tblCustomers[CustomerName],"not found")</f>
        <v>Julie Watson</v>
      </c>
      <c r="D1866">
        <f>_xlfn.XLOOKUP(tblOrders[[#This Row],[CustomerID]],tblCustomers[CustomerID],tblCustomers[Age],"not found")</f>
        <v>56</v>
      </c>
      <c r="E1866" t="str">
        <f>_xlfn.XLOOKUP(tblOrders[[#This Row],[CustomerID]],tblCustomers[CustomerID],tblCustomers[Gender],"not found")</f>
        <v>Female</v>
      </c>
      <c r="F1866" t="str">
        <f>_xlfn.XLOOKUP(tblOrders[[#This Row],[CustomerID]],tblCustomers[CustomerID],tblCustomers[Region],"not found")</f>
        <v>North</v>
      </c>
      <c r="G1866">
        <v>1016</v>
      </c>
      <c r="H1866" t="str">
        <f>_xlfn.XLOOKUP(tblOrders[[#This Row],[ProductID]],tblProducts[ProductID],tblProducts[ProductName],"not found")</f>
        <v>Fast</v>
      </c>
      <c r="I1866" t="str">
        <f>_xlfn.XLOOKUP(tblOrders[[#This Row],[ProductID]],tblProducts[ProductID],tblProducts[Category],"not found")</f>
        <v>Toys</v>
      </c>
      <c r="J1866">
        <f>_xlfn.XLOOKUP(tblOrders[[#This Row],[ProductID]],tblProducts[ProductID],tblProducts[UnitPrice],"not found")</f>
        <v>287.68</v>
      </c>
      <c r="K1866" t="str">
        <f>_xlfn.XLOOKUP(tblOrders[[#This Row],[ProductID]],tblProducts[ProductID],tblProducts[Supplier],"not found")</f>
        <v>Mcmahon, Munoz and Lopez</v>
      </c>
      <c r="L1866" s="1" t="s">
        <v>2173</v>
      </c>
      <c r="M18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45152</v>
      </c>
      <c r="N1866">
        <v>4</v>
      </c>
      <c r="O1866">
        <v>1150.72</v>
      </c>
      <c r="P1866">
        <f>tblOrders[[#This Row],[Quantity]]*tblOrders[[#This Row],[Unit Price]]</f>
        <v>1150.72</v>
      </c>
      <c r="Q1866">
        <f>tblOrders[[#This Row],[TotalSales]]-tblOrders[[#This Row],[Calculated Sales]]</f>
        <v>0</v>
      </c>
    </row>
    <row r="1867" spans="1:17" x14ac:dyDescent="0.25">
      <c r="A1867">
        <v>634</v>
      </c>
      <c r="B1867">
        <v>74</v>
      </c>
      <c r="C1867" t="str">
        <f>_xlfn.XLOOKUP(tblOrders[[#This Row],[CustomerID]],tblCustomers[CustomerID],tblCustomers[CustomerName],"not found")</f>
        <v>Gregory Miller</v>
      </c>
      <c r="D1867">
        <f>_xlfn.XLOOKUP(tblOrders[[#This Row],[CustomerID]],tblCustomers[CustomerID],tblCustomers[Age],"not found")</f>
        <v>57</v>
      </c>
      <c r="E1867" t="str">
        <f>_xlfn.XLOOKUP(tblOrders[[#This Row],[CustomerID]],tblCustomers[CustomerID],tblCustomers[Gender],"not found")</f>
        <v>Male</v>
      </c>
      <c r="F1867" t="str">
        <f>_xlfn.XLOOKUP(tblOrders[[#This Row],[CustomerID]],tblCustomers[CustomerID],tblCustomers[Region],"not found")</f>
        <v>East</v>
      </c>
      <c r="G1867">
        <v>1016</v>
      </c>
      <c r="H1867" t="str">
        <f>_xlfn.XLOOKUP(tblOrders[[#This Row],[ProductID]],tblProducts[ProductID],tblProducts[ProductName],"not found")</f>
        <v>Fast</v>
      </c>
      <c r="I1867" t="str">
        <f>_xlfn.XLOOKUP(tblOrders[[#This Row],[ProductID]],tblProducts[ProductID],tblProducts[Category],"not found")</f>
        <v>Toys</v>
      </c>
      <c r="J1867">
        <f>_xlfn.XLOOKUP(tblOrders[[#This Row],[ProductID]],tblProducts[ProductID],tblProducts[UnitPrice],"not found")</f>
        <v>287.68</v>
      </c>
      <c r="K1867" t="str">
        <f>_xlfn.XLOOKUP(tblOrders[[#This Row],[ProductID]],tblProducts[ProductID],tblProducts[Supplier],"not found")</f>
        <v>Mcmahon, Munoz and Lopez</v>
      </c>
      <c r="L1867" s="1" t="s">
        <v>2237</v>
      </c>
      <c r="M18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45128</v>
      </c>
      <c r="N1867">
        <v>8</v>
      </c>
      <c r="O1867">
        <v>2301.44</v>
      </c>
      <c r="P1867">
        <f>tblOrders[[#This Row],[Quantity]]*tblOrders[[#This Row],[Unit Price]]</f>
        <v>2301.44</v>
      </c>
      <c r="Q1867">
        <f>tblOrders[[#This Row],[TotalSales]]-tblOrders[[#This Row],[Calculated Sales]]</f>
        <v>0</v>
      </c>
    </row>
    <row r="1868" spans="1:17" x14ac:dyDescent="0.25">
      <c r="A1868">
        <v>642</v>
      </c>
      <c r="B1868">
        <v>203</v>
      </c>
      <c r="C1868" t="str">
        <f>_xlfn.XLOOKUP(tblOrders[[#This Row],[CustomerID]],tblCustomers[CustomerID],tblCustomers[CustomerName],"not found")</f>
        <v>Jordan Harper</v>
      </c>
      <c r="D1868">
        <f>_xlfn.XLOOKUP(tblOrders[[#This Row],[CustomerID]],tblCustomers[CustomerID],tblCustomers[Age],"not found")</f>
        <v>65</v>
      </c>
      <c r="E1868" t="str">
        <f>_xlfn.XLOOKUP(tblOrders[[#This Row],[CustomerID]],tblCustomers[CustomerID],tblCustomers[Gender],"not found")</f>
        <v>Female</v>
      </c>
      <c r="F1868" t="str">
        <f>_xlfn.XLOOKUP(tblOrders[[#This Row],[CustomerID]],tblCustomers[CustomerID],tblCustomers[Region],"not found")</f>
        <v>North</v>
      </c>
      <c r="G1868">
        <v>1016</v>
      </c>
      <c r="H1868" t="str">
        <f>_xlfn.XLOOKUP(tblOrders[[#This Row],[ProductID]],tblProducts[ProductID],tblProducts[ProductName],"not found")</f>
        <v>Fast</v>
      </c>
      <c r="I1868" t="str">
        <f>_xlfn.XLOOKUP(tblOrders[[#This Row],[ProductID]],tblProducts[ProductID],tblProducts[Category],"not found")</f>
        <v>Toys</v>
      </c>
      <c r="J1868">
        <f>_xlfn.XLOOKUP(tblOrders[[#This Row],[ProductID]],tblProducts[ProductID],tblProducts[UnitPrice],"not found")</f>
        <v>287.68</v>
      </c>
      <c r="K1868" t="str">
        <f>_xlfn.XLOOKUP(tblOrders[[#This Row],[ProductID]],tblProducts[ProductID],tblProducts[Supplier],"not found")</f>
        <v>Mcmahon, Munoz and Lopez</v>
      </c>
      <c r="L1868" s="1" t="s">
        <v>2247</v>
      </c>
      <c r="M18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45306</v>
      </c>
      <c r="N1868">
        <v>7</v>
      </c>
      <c r="O1868">
        <v>2013.76</v>
      </c>
      <c r="P1868">
        <f>tblOrders[[#This Row],[Quantity]]*tblOrders[[#This Row],[Unit Price]]</f>
        <v>2013.76</v>
      </c>
      <c r="Q1868">
        <f>tblOrders[[#This Row],[TotalSales]]-tblOrders[[#This Row],[Calculated Sales]]</f>
        <v>0</v>
      </c>
    </row>
    <row r="1869" spans="1:17" x14ac:dyDescent="0.25">
      <c r="A1869">
        <v>705</v>
      </c>
      <c r="B1869">
        <v>871</v>
      </c>
      <c r="C1869" t="str">
        <f>_xlfn.XLOOKUP(tblOrders[[#This Row],[CustomerID]],tblCustomers[CustomerID],tblCustomers[CustomerName],"not found")</f>
        <v>Martin Jones</v>
      </c>
      <c r="D1869">
        <f>_xlfn.XLOOKUP(tblOrders[[#This Row],[CustomerID]],tblCustomers[CustomerID],tblCustomers[Age],"not found")</f>
        <v>53</v>
      </c>
      <c r="E1869" t="str">
        <f>_xlfn.XLOOKUP(tblOrders[[#This Row],[CustomerID]],tblCustomers[CustomerID],tblCustomers[Gender],"not found")</f>
        <v>Female</v>
      </c>
      <c r="F1869" t="str">
        <f>_xlfn.XLOOKUP(tblOrders[[#This Row],[CustomerID]],tblCustomers[CustomerID],tblCustomers[Region],"not found")</f>
        <v>Central</v>
      </c>
      <c r="G1869">
        <v>1016</v>
      </c>
      <c r="H1869" t="str">
        <f>_xlfn.XLOOKUP(tblOrders[[#This Row],[ProductID]],tblProducts[ProductID],tblProducts[ProductName],"not found")</f>
        <v>Fast</v>
      </c>
      <c r="I1869" t="str">
        <f>_xlfn.XLOOKUP(tblOrders[[#This Row],[ProductID]],tblProducts[ProductID],tblProducts[Category],"not found")</f>
        <v>Toys</v>
      </c>
      <c r="J1869">
        <f>_xlfn.XLOOKUP(tblOrders[[#This Row],[ProductID]],tblProducts[ProductID],tblProducts[UnitPrice],"not found")</f>
        <v>287.68</v>
      </c>
      <c r="K1869" t="str">
        <f>_xlfn.XLOOKUP(tblOrders[[#This Row],[ProductID]],tblProducts[ProductID],tblProducts[Supplier],"not found")</f>
        <v>Mcmahon, Munoz and Lopez</v>
      </c>
      <c r="L1869" s="1" t="s">
        <v>2074</v>
      </c>
      <c r="M18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45367</v>
      </c>
      <c r="N1869">
        <v>6</v>
      </c>
      <c r="O1869">
        <v>1726.08</v>
      </c>
      <c r="P1869">
        <f>tblOrders[[#This Row],[Quantity]]*tblOrders[[#This Row],[Unit Price]]</f>
        <v>1726.08</v>
      </c>
      <c r="Q1869">
        <f>tblOrders[[#This Row],[TotalSales]]-tblOrders[[#This Row],[Calculated Sales]]</f>
        <v>0</v>
      </c>
    </row>
    <row r="1870" spans="1:17" x14ac:dyDescent="0.25">
      <c r="A1870">
        <v>710</v>
      </c>
      <c r="B1870">
        <v>204</v>
      </c>
      <c r="C1870" t="str">
        <f>_xlfn.XLOOKUP(tblOrders[[#This Row],[CustomerID]],tblCustomers[CustomerID],tblCustomers[CustomerName],"not found")</f>
        <v>Angela Watson</v>
      </c>
      <c r="D1870">
        <f>_xlfn.XLOOKUP(tblOrders[[#This Row],[CustomerID]],tblCustomers[CustomerID],tblCustomers[Age],"not found")</f>
        <v>31</v>
      </c>
      <c r="E1870" t="str">
        <f>_xlfn.XLOOKUP(tblOrders[[#This Row],[CustomerID]],tblCustomers[CustomerID],tblCustomers[Gender],"not found")</f>
        <v>Male</v>
      </c>
      <c r="F1870" t="str">
        <f>_xlfn.XLOOKUP(tblOrders[[#This Row],[CustomerID]],tblCustomers[CustomerID],tblCustomers[Region],"not found")</f>
        <v>North</v>
      </c>
      <c r="G1870">
        <v>1016</v>
      </c>
      <c r="H1870" t="str">
        <f>_xlfn.XLOOKUP(tblOrders[[#This Row],[ProductID]],tblProducts[ProductID],tblProducts[ProductName],"not found")</f>
        <v>Fast</v>
      </c>
      <c r="I1870" t="str">
        <f>_xlfn.XLOOKUP(tblOrders[[#This Row],[ProductID]],tblProducts[ProductID],tblProducts[Category],"not found")</f>
        <v>Toys</v>
      </c>
      <c r="J1870">
        <f>_xlfn.XLOOKUP(tblOrders[[#This Row],[ProductID]],tblProducts[ProductID],tblProducts[UnitPrice],"not found")</f>
        <v>287.68</v>
      </c>
      <c r="K1870" t="str">
        <f>_xlfn.XLOOKUP(tblOrders[[#This Row],[ProductID]],tblProducts[ProductID],tblProducts[Supplier],"not found")</f>
        <v>Mcmahon, Munoz and Lopez</v>
      </c>
      <c r="L1870" s="1">
        <v>45299</v>
      </c>
      <c r="M18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45299</v>
      </c>
      <c r="N1870">
        <v>1</v>
      </c>
      <c r="O1870">
        <v>287.68</v>
      </c>
      <c r="P1870">
        <f>tblOrders[[#This Row],[Quantity]]*tblOrders[[#This Row],[Unit Price]]</f>
        <v>287.68</v>
      </c>
      <c r="Q1870">
        <f>tblOrders[[#This Row],[TotalSales]]-tblOrders[[#This Row],[Calculated Sales]]</f>
        <v>0</v>
      </c>
    </row>
    <row r="1871" spans="1:17" x14ac:dyDescent="0.25">
      <c r="A1871">
        <v>743</v>
      </c>
      <c r="B1871">
        <v>538</v>
      </c>
      <c r="C1871" t="str">
        <f>_xlfn.XLOOKUP(tblOrders[[#This Row],[CustomerID]],tblCustomers[CustomerID],tblCustomers[CustomerName],"not found")</f>
        <v>Sarah Chavez</v>
      </c>
      <c r="D1871">
        <f>_xlfn.XLOOKUP(tblOrders[[#This Row],[CustomerID]],tblCustomers[CustomerID],tblCustomers[Age],"not found")</f>
        <v>57</v>
      </c>
      <c r="E1871" t="str">
        <f>_xlfn.XLOOKUP(tblOrders[[#This Row],[CustomerID]],tblCustomers[CustomerID],tblCustomers[Gender],"not found")</f>
        <v>Female</v>
      </c>
      <c r="F1871" t="str">
        <f>_xlfn.XLOOKUP(tblOrders[[#This Row],[CustomerID]],tblCustomers[CustomerID],tblCustomers[Region],"not found")</f>
        <v>South</v>
      </c>
      <c r="G1871">
        <v>1016</v>
      </c>
      <c r="H1871" t="str">
        <f>_xlfn.XLOOKUP(tblOrders[[#This Row],[ProductID]],tblProducts[ProductID],tblProducts[ProductName],"not found")</f>
        <v>Fast</v>
      </c>
      <c r="I1871" t="str">
        <f>_xlfn.XLOOKUP(tblOrders[[#This Row],[ProductID]],tblProducts[ProductID],tblProducts[Category],"not found")</f>
        <v>Toys</v>
      </c>
      <c r="J1871">
        <f>_xlfn.XLOOKUP(tblOrders[[#This Row],[ProductID]],tblProducts[ProductID],tblProducts[UnitPrice],"not found")</f>
        <v>287.68</v>
      </c>
      <c r="K1871" t="str">
        <f>_xlfn.XLOOKUP(tblOrders[[#This Row],[ProductID]],tblProducts[ProductID],tblProducts[Supplier],"not found")</f>
        <v>Mcmahon, Munoz and Lopez</v>
      </c>
      <c r="L1871" s="1" t="s">
        <v>2140</v>
      </c>
      <c r="M18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45072</v>
      </c>
      <c r="N1871">
        <v>2</v>
      </c>
      <c r="O1871">
        <v>575.36</v>
      </c>
      <c r="P1871">
        <f>tblOrders[[#This Row],[Quantity]]*tblOrders[[#This Row],[Unit Price]]</f>
        <v>575.36</v>
      </c>
      <c r="Q1871">
        <f>tblOrders[[#This Row],[TotalSales]]-tblOrders[[#This Row],[Calculated Sales]]</f>
        <v>0</v>
      </c>
    </row>
    <row r="1872" spans="1:17" x14ac:dyDescent="0.25">
      <c r="A1872">
        <v>792</v>
      </c>
      <c r="B1872">
        <v>252</v>
      </c>
      <c r="C1872" t="str">
        <f>_xlfn.XLOOKUP(tblOrders[[#This Row],[CustomerID]],tblCustomers[CustomerID],tblCustomers[CustomerName],"not found")</f>
        <v>Robert Gonzales</v>
      </c>
      <c r="D1872">
        <f>_xlfn.XLOOKUP(tblOrders[[#This Row],[CustomerID]],tblCustomers[CustomerID],tblCustomers[Age],"not found")</f>
        <v>36</v>
      </c>
      <c r="E1872" t="str">
        <f>_xlfn.XLOOKUP(tblOrders[[#This Row],[CustomerID]],tblCustomers[CustomerID],tblCustomers[Gender],"not found")</f>
        <v>Female</v>
      </c>
      <c r="F1872" t="str">
        <f>_xlfn.XLOOKUP(tblOrders[[#This Row],[CustomerID]],tblCustomers[CustomerID],tblCustomers[Region],"not found")</f>
        <v>West</v>
      </c>
      <c r="G1872">
        <v>1016</v>
      </c>
      <c r="H1872" t="str">
        <f>_xlfn.XLOOKUP(tblOrders[[#This Row],[ProductID]],tblProducts[ProductID],tblProducts[ProductName],"not found")</f>
        <v>Fast</v>
      </c>
      <c r="I1872" t="str">
        <f>_xlfn.XLOOKUP(tblOrders[[#This Row],[ProductID]],tblProducts[ProductID],tblProducts[Category],"not found")</f>
        <v>Toys</v>
      </c>
      <c r="J1872">
        <f>_xlfn.XLOOKUP(tblOrders[[#This Row],[ProductID]],tblProducts[ProductID],tblProducts[UnitPrice],"not found")</f>
        <v>287.68</v>
      </c>
      <c r="K1872" t="str">
        <f>_xlfn.XLOOKUP(tblOrders[[#This Row],[ProductID]],tblProducts[ProductID],tblProducts[Supplier],"not found")</f>
        <v>Mcmahon, Munoz and Lopez</v>
      </c>
      <c r="L1872" s="1" t="s">
        <v>2417</v>
      </c>
      <c r="M18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44951</v>
      </c>
      <c r="N1872">
        <v>2</v>
      </c>
      <c r="O1872">
        <v>575.36</v>
      </c>
      <c r="P1872">
        <f>tblOrders[[#This Row],[Quantity]]*tblOrders[[#This Row],[Unit Price]]</f>
        <v>575.36</v>
      </c>
      <c r="Q1872">
        <f>tblOrders[[#This Row],[TotalSales]]-tblOrders[[#This Row],[Calculated Sales]]</f>
        <v>0</v>
      </c>
    </row>
    <row r="1873" spans="1:17" x14ac:dyDescent="0.25">
      <c r="A1873">
        <v>912</v>
      </c>
      <c r="B1873">
        <v>550</v>
      </c>
      <c r="C1873" t="str">
        <f>_xlfn.XLOOKUP(tblOrders[[#This Row],[CustomerID]],tblCustomers[CustomerID],tblCustomers[CustomerName],"not found")</f>
        <v>Tammy Hicks</v>
      </c>
      <c r="D1873">
        <f>_xlfn.XLOOKUP(tblOrders[[#This Row],[CustomerID]],tblCustomers[CustomerID],tblCustomers[Age],"not found")</f>
        <v>28</v>
      </c>
      <c r="E1873" t="str">
        <f>_xlfn.XLOOKUP(tblOrders[[#This Row],[CustomerID]],tblCustomers[CustomerID],tblCustomers[Gender],"not found")</f>
        <v>Male</v>
      </c>
      <c r="F1873" t="str">
        <f>_xlfn.XLOOKUP(tblOrders[[#This Row],[CustomerID]],tblCustomers[CustomerID],tblCustomers[Region],"not found")</f>
        <v>Central</v>
      </c>
      <c r="G1873">
        <v>1016</v>
      </c>
      <c r="H1873" t="str">
        <f>_xlfn.XLOOKUP(tblOrders[[#This Row],[ProductID]],tblProducts[ProductID],tblProducts[ProductName],"not found")</f>
        <v>Fast</v>
      </c>
      <c r="I1873" t="str">
        <f>_xlfn.XLOOKUP(tblOrders[[#This Row],[ProductID]],tblProducts[ProductID],tblProducts[Category],"not found")</f>
        <v>Toys</v>
      </c>
      <c r="J1873">
        <f>_xlfn.XLOOKUP(tblOrders[[#This Row],[ProductID]],tblProducts[ProductID],tblProducts[UnitPrice],"not found")</f>
        <v>287.68</v>
      </c>
      <c r="K1873" t="str">
        <f>_xlfn.XLOOKUP(tblOrders[[#This Row],[ProductID]],tblProducts[ProductID],tblProducts[Supplier],"not found")</f>
        <v>Mcmahon, Munoz and Lopez</v>
      </c>
      <c r="L1873" s="1" t="s">
        <v>2012</v>
      </c>
      <c r="M18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44911</v>
      </c>
      <c r="N1873">
        <v>8</v>
      </c>
      <c r="O1873">
        <v>2301.44</v>
      </c>
      <c r="P1873">
        <f>tblOrders[[#This Row],[Quantity]]*tblOrders[[#This Row],[Unit Price]]</f>
        <v>2301.44</v>
      </c>
      <c r="Q1873">
        <f>tblOrders[[#This Row],[TotalSales]]-tblOrders[[#This Row],[Calculated Sales]]</f>
        <v>0</v>
      </c>
    </row>
    <row r="1874" spans="1:17" x14ac:dyDescent="0.25">
      <c r="A1874">
        <v>972</v>
      </c>
      <c r="B1874">
        <v>582</v>
      </c>
      <c r="C1874" t="str">
        <f>_xlfn.XLOOKUP(tblOrders[[#This Row],[CustomerID]],tblCustomers[CustomerID],tblCustomers[CustomerName],"not found")</f>
        <v>Holly Brandt</v>
      </c>
      <c r="D1874">
        <f>_xlfn.XLOOKUP(tblOrders[[#This Row],[CustomerID]],tblCustomers[CustomerID],tblCustomers[Age],"not found")</f>
        <v>51</v>
      </c>
      <c r="E1874" t="str">
        <f>_xlfn.XLOOKUP(tblOrders[[#This Row],[CustomerID]],tblCustomers[CustomerID],tblCustomers[Gender],"not found")</f>
        <v>Male</v>
      </c>
      <c r="F1874" t="str">
        <f>_xlfn.XLOOKUP(tblOrders[[#This Row],[CustomerID]],tblCustomers[CustomerID],tblCustomers[Region],"not found")</f>
        <v>East</v>
      </c>
      <c r="G1874">
        <v>1016</v>
      </c>
      <c r="H1874" t="str">
        <f>_xlfn.XLOOKUP(tblOrders[[#This Row],[ProductID]],tblProducts[ProductID],tblProducts[ProductName],"not found")</f>
        <v>Fast</v>
      </c>
      <c r="I1874" t="str">
        <f>_xlfn.XLOOKUP(tblOrders[[#This Row],[ProductID]],tblProducts[ProductID],tblProducts[Category],"not found")</f>
        <v>Toys</v>
      </c>
      <c r="J1874">
        <f>_xlfn.XLOOKUP(tblOrders[[#This Row],[ProductID]],tblProducts[ProductID],tblProducts[UnitPrice],"not found")</f>
        <v>287.68</v>
      </c>
      <c r="K1874" t="str">
        <f>_xlfn.XLOOKUP(tblOrders[[#This Row],[ProductID]],tblProducts[ProductID],tblProducts[Supplier],"not found")</f>
        <v>Mcmahon, Munoz and Lopez</v>
      </c>
      <c r="L1874" s="1" t="s">
        <v>2157</v>
      </c>
      <c r="M18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45558</v>
      </c>
      <c r="N1874">
        <v>5</v>
      </c>
      <c r="O1874">
        <v>1438.4</v>
      </c>
      <c r="P1874">
        <f>tblOrders[[#This Row],[Quantity]]*tblOrders[[#This Row],[Unit Price]]</f>
        <v>1438.4</v>
      </c>
      <c r="Q1874">
        <f>tblOrders[[#This Row],[TotalSales]]-tblOrders[[#This Row],[Calculated Sales]]</f>
        <v>0</v>
      </c>
    </row>
    <row r="1875" spans="1:17" x14ac:dyDescent="0.25">
      <c r="A1875">
        <v>982</v>
      </c>
      <c r="B1875">
        <v>210</v>
      </c>
      <c r="C1875" t="str">
        <f>_xlfn.XLOOKUP(tblOrders[[#This Row],[CustomerID]],tblCustomers[CustomerID],tblCustomers[CustomerName],"not found")</f>
        <v>Ashley Green</v>
      </c>
      <c r="D1875">
        <f>_xlfn.XLOOKUP(tblOrders[[#This Row],[CustomerID]],tblCustomers[CustomerID],tblCustomers[Age],"not found")</f>
        <v>68</v>
      </c>
      <c r="E1875" t="str">
        <f>_xlfn.XLOOKUP(tblOrders[[#This Row],[CustomerID]],tblCustomers[CustomerID],tblCustomers[Gender],"not found")</f>
        <v>Female</v>
      </c>
      <c r="F1875" t="str">
        <f>_xlfn.XLOOKUP(tblOrders[[#This Row],[CustomerID]],tblCustomers[CustomerID],tblCustomers[Region],"not found")</f>
        <v>West</v>
      </c>
      <c r="G1875">
        <v>1016</v>
      </c>
      <c r="H1875" t="str">
        <f>_xlfn.XLOOKUP(tblOrders[[#This Row],[ProductID]],tblProducts[ProductID],tblProducts[ProductName],"not found")</f>
        <v>Fast</v>
      </c>
      <c r="I1875" t="str">
        <f>_xlfn.XLOOKUP(tblOrders[[#This Row],[ProductID]],tblProducts[ProductID],tblProducts[Category],"not found")</f>
        <v>Toys</v>
      </c>
      <c r="J1875">
        <f>_xlfn.XLOOKUP(tblOrders[[#This Row],[ProductID]],tblProducts[ProductID],tblProducts[UnitPrice],"not found")</f>
        <v>287.68</v>
      </c>
      <c r="K1875" t="str">
        <f>_xlfn.XLOOKUP(tblOrders[[#This Row],[ProductID]],tblProducts[ProductID],tblProducts[Supplier],"not found")</f>
        <v>Mcmahon, Munoz and Lopez</v>
      </c>
      <c r="L1875" s="1">
        <v>45355</v>
      </c>
      <c r="M18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45355</v>
      </c>
      <c r="N1875">
        <v>9</v>
      </c>
      <c r="O1875">
        <v>2589.12</v>
      </c>
      <c r="P1875">
        <f>tblOrders[[#This Row],[Quantity]]*tblOrders[[#This Row],[Unit Price]]</f>
        <v>2589.12</v>
      </c>
      <c r="Q1875">
        <f>tblOrders[[#This Row],[TotalSales]]-tblOrders[[#This Row],[Calculated Sales]]</f>
        <v>0</v>
      </c>
    </row>
    <row r="1876" spans="1:17" x14ac:dyDescent="0.25">
      <c r="A1876">
        <v>1055</v>
      </c>
      <c r="B1876">
        <v>989</v>
      </c>
      <c r="C1876" t="str">
        <f>_xlfn.XLOOKUP(tblOrders[[#This Row],[CustomerID]],tblCustomers[CustomerID],tblCustomers[CustomerName],"not found")</f>
        <v>Allison Harper</v>
      </c>
      <c r="D1876">
        <f>_xlfn.XLOOKUP(tblOrders[[#This Row],[CustomerID]],tblCustomers[CustomerID],tblCustomers[Age],"not found")</f>
        <v>37</v>
      </c>
      <c r="E1876" t="str">
        <f>_xlfn.XLOOKUP(tblOrders[[#This Row],[CustomerID]],tblCustomers[CustomerID],tblCustomers[Gender],"not found")</f>
        <v>Male</v>
      </c>
      <c r="F1876" t="str">
        <f>_xlfn.XLOOKUP(tblOrders[[#This Row],[CustomerID]],tblCustomers[CustomerID],tblCustomers[Region],"not found")</f>
        <v>East</v>
      </c>
      <c r="G1876">
        <v>1016</v>
      </c>
      <c r="H1876" t="str">
        <f>_xlfn.XLOOKUP(tblOrders[[#This Row],[ProductID]],tblProducts[ProductID],tblProducts[ProductName],"not found")</f>
        <v>Fast</v>
      </c>
      <c r="I1876" t="str">
        <f>_xlfn.XLOOKUP(tblOrders[[#This Row],[ProductID]],tblProducts[ProductID],tblProducts[Category],"not found")</f>
        <v>Toys</v>
      </c>
      <c r="J1876">
        <f>_xlfn.XLOOKUP(tblOrders[[#This Row],[ProductID]],tblProducts[ProductID],tblProducts[UnitPrice],"not found")</f>
        <v>287.68</v>
      </c>
      <c r="K1876" t="str">
        <f>_xlfn.XLOOKUP(tblOrders[[#This Row],[ProductID]],tblProducts[ProductID],tblProducts[Supplier],"not found")</f>
        <v>Mcmahon, Munoz and Lopez</v>
      </c>
      <c r="L1876" s="1" t="s">
        <v>2324</v>
      </c>
      <c r="M18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45220</v>
      </c>
      <c r="N1876">
        <v>2</v>
      </c>
      <c r="O1876">
        <v>575.36</v>
      </c>
      <c r="P1876">
        <f>tblOrders[[#This Row],[Quantity]]*tblOrders[[#This Row],[Unit Price]]</f>
        <v>575.36</v>
      </c>
      <c r="Q1876">
        <f>tblOrders[[#This Row],[TotalSales]]-tblOrders[[#This Row],[Calculated Sales]]</f>
        <v>0</v>
      </c>
    </row>
    <row r="1877" spans="1:17" x14ac:dyDescent="0.25">
      <c r="A1877">
        <v>1193</v>
      </c>
      <c r="B1877">
        <v>563</v>
      </c>
      <c r="C1877" t="str">
        <f>_xlfn.XLOOKUP(tblOrders[[#This Row],[CustomerID]],tblCustomers[CustomerID],tblCustomers[CustomerName],"not found")</f>
        <v>Timothy Robertson</v>
      </c>
      <c r="D1877">
        <f>_xlfn.XLOOKUP(tblOrders[[#This Row],[CustomerID]],tblCustomers[CustomerID],tblCustomers[Age],"not found")</f>
        <v>52</v>
      </c>
      <c r="E1877" t="str">
        <f>_xlfn.XLOOKUP(tblOrders[[#This Row],[CustomerID]],tblCustomers[CustomerID],tblCustomers[Gender],"not found")</f>
        <v>Male</v>
      </c>
      <c r="F1877" t="str">
        <f>_xlfn.XLOOKUP(tblOrders[[#This Row],[CustomerID]],tblCustomers[CustomerID],tblCustomers[Region],"not found")</f>
        <v>North</v>
      </c>
      <c r="G1877">
        <v>1016</v>
      </c>
      <c r="H1877" t="str">
        <f>_xlfn.XLOOKUP(tblOrders[[#This Row],[ProductID]],tblProducts[ProductID],tblProducts[ProductName],"not found")</f>
        <v>Fast</v>
      </c>
      <c r="I1877" t="str">
        <f>_xlfn.XLOOKUP(tblOrders[[#This Row],[ProductID]],tblProducts[ProductID],tblProducts[Category],"not found")</f>
        <v>Toys</v>
      </c>
      <c r="J1877">
        <f>_xlfn.XLOOKUP(tblOrders[[#This Row],[ProductID]],tblProducts[ProductID],tblProducts[UnitPrice],"not found")</f>
        <v>287.68</v>
      </c>
      <c r="K1877" t="str">
        <f>_xlfn.XLOOKUP(tblOrders[[#This Row],[ProductID]],tblProducts[ProductID],tblProducts[Supplier],"not found")</f>
        <v>Mcmahon, Munoz and Lopez</v>
      </c>
      <c r="L1877" s="1" t="s">
        <v>2400</v>
      </c>
      <c r="M18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45274</v>
      </c>
      <c r="N1877">
        <v>3</v>
      </c>
      <c r="O1877">
        <v>863.04</v>
      </c>
      <c r="P1877">
        <f>tblOrders[[#This Row],[Quantity]]*tblOrders[[#This Row],[Unit Price]]</f>
        <v>863.04</v>
      </c>
      <c r="Q1877">
        <f>tblOrders[[#This Row],[TotalSales]]-tblOrders[[#This Row],[Calculated Sales]]</f>
        <v>0</v>
      </c>
    </row>
    <row r="1878" spans="1:17" x14ac:dyDescent="0.25">
      <c r="A1878">
        <v>1226</v>
      </c>
      <c r="B1878">
        <v>38</v>
      </c>
      <c r="C1878" t="str">
        <f>_xlfn.XLOOKUP(tblOrders[[#This Row],[CustomerID]],tblCustomers[CustomerID],tblCustomers[CustomerName],"not found")</f>
        <v>Stephen Martin</v>
      </c>
      <c r="D1878">
        <f>_xlfn.XLOOKUP(tblOrders[[#This Row],[CustomerID]],tblCustomers[CustomerID],tblCustomers[Age],"not found")</f>
        <v>30</v>
      </c>
      <c r="E1878" t="str">
        <f>_xlfn.XLOOKUP(tblOrders[[#This Row],[CustomerID]],tblCustomers[CustomerID],tblCustomers[Gender],"not found")</f>
        <v>Female</v>
      </c>
      <c r="F1878" t="str">
        <f>_xlfn.XLOOKUP(tblOrders[[#This Row],[CustomerID]],tblCustomers[CustomerID],tblCustomers[Region],"not found")</f>
        <v>West</v>
      </c>
      <c r="G1878">
        <v>1016</v>
      </c>
      <c r="H1878" t="str">
        <f>_xlfn.XLOOKUP(tblOrders[[#This Row],[ProductID]],tblProducts[ProductID],tblProducts[ProductName],"not found")</f>
        <v>Fast</v>
      </c>
      <c r="I1878" t="str">
        <f>_xlfn.XLOOKUP(tblOrders[[#This Row],[ProductID]],tblProducts[ProductID],tblProducts[Category],"not found")</f>
        <v>Toys</v>
      </c>
      <c r="J1878">
        <f>_xlfn.XLOOKUP(tblOrders[[#This Row],[ProductID]],tblProducts[ProductID],tblProducts[UnitPrice],"not found")</f>
        <v>287.68</v>
      </c>
      <c r="K1878" t="str">
        <f>_xlfn.XLOOKUP(tblOrders[[#This Row],[ProductID]],tblProducts[ProductID],tblProducts[Supplier],"not found")</f>
        <v>Mcmahon, Munoz and Lopez</v>
      </c>
      <c r="L1878" s="1" t="s">
        <v>2418</v>
      </c>
      <c r="M18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44971</v>
      </c>
      <c r="N1878">
        <v>6</v>
      </c>
      <c r="O1878">
        <v>1726.08</v>
      </c>
      <c r="P1878">
        <f>tblOrders[[#This Row],[Quantity]]*tblOrders[[#This Row],[Unit Price]]</f>
        <v>1726.08</v>
      </c>
      <c r="Q1878">
        <f>tblOrders[[#This Row],[TotalSales]]-tblOrders[[#This Row],[Calculated Sales]]</f>
        <v>0</v>
      </c>
    </row>
    <row r="1879" spans="1:17" x14ac:dyDescent="0.25">
      <c r="A1879">
        <v>1351</v>
      </c>
      <c r="B1879">
        <v>823</v>
      </c>
      <c r="C1879" t="str">
        <f>_xlfn.XLOOKUP(tblOrders[[#This Row],[CustomerID]],tblCustomers[CustomerID],tblCustomers[CustomerName],"not found")</f>
        <v>Scott Thomas</v>
      </c>
      <c r="D1879">
        <f>_xlfn.XLOOKUP(tblOrders[[#This Row],[CustomerID]],tblCustomers[CustomerID],tblCustomers[Age],"not found")</f>
        <v>28</v>
      </c>
      <c r="E1879" t="str">
        <f>_xlfn.XLOOKUP(tblOrders[[#This Row],[CustomerID]],tblCustomers[CustomerID],tblCustomers[Gender],"not found")</f>
        <v>Male</v>
      </c>
      <c r="F1879" t="str">
        <f>_xlfn.XLOOKUP(tblOrders[[#This Row],[CustomerID]],tblCustomers[CustomerID],tblCustomers[Region],"not found")</f>
        <v>East</v>
      </c>
      <c r="G1879">
        <v>1016</v>
      </c>
      <c r="H1879" t="str">
        <f>_xlfn.XLOOKUP(tblOrders[[#This Row],[ProductID]],tblProducts[ProductID],tblProducts[ProductName],"not found")</f>
        <v>Fast</v>
      </c>
      <c r="I1879" t="str">
        <f>_xlfn.XLOOKUP(tblOrders[[#This Row],[ProductID]],tblProducts[ProductID],tblProducts[Category],"not found")</f>
        <v>Toys</v>
      </c>
      <c r="J1879">
        <f>_xlfn.XLOOKUP(tblOrders[[#This Row],[ProductID]],tblProducts[ProductID],tblProducts[UnitPrice],"not found")</f>
        <v>287.68</v>
      </c>
      <c r="K1879" t="str">
        <f>_xlfn.XLOOKUP(tblOrders[[#This Row],[ProductID]],tblProducts[ProductID],tblProducts[Supplier],"not found")</f>
        <v>Mcmahon, Munoz and Lopez</v>
      </c>
      <c r="L1879" s="1" t="s">
        <v>2044</v>
      </c>
      <c r="M18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45160</v>
      </c>
      <c r="N1879">
        <v>7</v>
      </c>
      <c r="O1879">
        <v>2013.76</v>
      </c>
      <c r="P1879">
        <f>tblOrders[[#This Row],[Quantity]]*tblOrders[[#This Row],[Unit Price]]</f>
        <v>2013.76</v>
      </c>
      <c r="Q1879">
        <f>tblOrders[[#This Row],[TotalSales]]-tblOrders[[#This Row],[Calculated Sales]]</f>
        <v>0</v>
      </c>
    </row>
    <row r="1880" spans="1:17" x14ac:dyDescent="0.25">
      <c r="A1880">
        <v>1463</v>
      </c>
      <c r="B1880">
        <v>968</v>
      </c>
      <c r="C1880" t="str">
        <f>_xlfn.XLOOKUP(tblOrders[[#This Row],[CustomerID]],tblCustomers[CustomerID],tblCustomers[CustomerName],"not found")</f>
        <v>Bruce Cook</v>
      </c>
      <c r="D1880">
        <f>_xlfn.XLOOKUP(tblOrders[[#This Row],[CustomerID]],tblCustomers[CustomerID],tblCustomers[Age],"not found")</f>
        <v>18</v>
      </c>
      <c r="E1880" t="str">
        <f>_xlfn.XLOOKUP(tblOrders[[#This Row],[CustomerID]],tblCustomers[CustomerID],tblCustomers[Gender],"not found")</f>
        <v>Female</v>
      </c>
      <c r="F1880" t="str">
        <f>_xlfn.XLOOKUP(tblOrders[[#This Row],[CustomerID]],tblCustomers[CustomerID],tblCustomers[Region],"not found")</f>
        <v>South</v>
      </c>
      <c r="G1880">
        <v>1016</v>
      </c>
      <c r="H1880" t="str">
        <f>_xlfn.XLOOKUP(tblOrders[[#This Row],[ProductID]],tblProducts[ProductID],tblProducts[ProductName],"not found")</f>
        <v>Fast</v>
      </c>
      <c r="I1880" t="str">
        <f>_xlfn.XLOOKUP(tblOrders[[#This Row],[ProductID]],tblProducts[ProductID],tblProducts[Category],"not found")</f>
        <v>Toys</v>
      </c>
      <c r="J1880">
        <f>_xlfn.XLOOKUP(tblOrders[[#This Row],[ProductID]],tblProducts[ProductID],tblProducts[UnitPrice],"not found")</f>
        <v>287.68</v>
      </c>
      <c r="K1880" t="str">
        <f>_xlfn.XLOOKUP(tblOrders[[#This Row],[ProductID]],tblProducts[ProductID],tblProducts[Supplier],"not found")</f>
        <v>Mcmahon, Munoz and Lopez</v>
      </c>
      <c r="L1880" s="1" t="s">
        <v>2411</v>
      </c>
      <c r="M18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45427</v>
      </c>
      <c r="N1880">
        <v>2</v>
      </c>
      <c r="O1880">
        <v>575.36</v>
      </c>
      <c r="P1880">
        <f>tblOrders[[#This Row],[Quantity]]*tblOrders[[#This Row],[Unit Price]]</f>
        <v>575.36</v>
      </c>
      <c r="Q1880">
        <f>tblOrders[[#This Row],[TotalSales]]-tblOrders[[#This Row],[Calculated Sales]]</f>
        <v>0</v>
      </c>
    </row>
    <row r="1881" spans="1:17" x14ac:dyDescent="0.25">
      <c r="A1881">
        <v>1535</v>
      </c>
      <c r="B1881">
        <v>750</v>
      </c>
      <c r="C1881" t="str">
        <f>_xlfn.XLOOKUP(tblOrders[[#This Row],[CustomerID]],tblCustomers[CustomerID],tblCustomers[CustomerName],"not found")</f>
        <v>James Hughes</v>
      </c>
      <c r="D1881">
        <f>_xlfn.XLOOKUP(tblOrders[[#This Row],[CustomerID]],tblCustomers[CustomerID],tblCustomers[Age],"not found")</f>
        <v>60</v>
      </c>
      <c r="E1881" t="str">
        <f>_xlfn.XLOOKUP(tblOrders[[#This Row],[CustomerID]],tblCustomers[CustomerID],tblCustomers[Gender],"not found")</f>
        <v>Female</v>
      </c>
      <c r="F1881" t="str">
        <f>_xlfn.XLOOKUP(tblOrders[[#This Row],[CustomerID]],tblCustomers[CustomerID],tblCustomers[Region],"not found")</f>
        <v>West</v>
      </c>
      <c r="G1881">
        <v>1016</v>
      </c>
      <c r="H1881" t="str">
        <f>_xlfn.XLOOKUP(tblOrders[[#This Row],[ProductID]],tblProducts[ProductID],tblProducts[ProductName],"not found")</f>
        <v>Fast</v>
      </c>
      <c r="I1881" t="str">
        <f>_xlfn.XLOOKUP(tblOrders[[#This Row],[ProductID]],tblProducts[ProductID],tblProducts[Category],"not found")</f>
        <v>Toys</v>
      </c>
      <c r="J1881">
        <f>_xlfn.XLOOKUP(tblOrders[[#This Row],[ProductID]],tblProducts[ProductID],tblProducts[UnitPrice],"not found")</f>
        <v>287.68</v>
      </c>
      <c r="K1881" t="str">
        <f>_xlfn.XLOOKUP(tblOrders[[#This Row],[ProductID]],tblProducts[ProductID],tblProducts[Supplier],"not found")</f>
        <v>Mcmahon, Munoz and Lopez</v>
      </c>
      <c r="L1881" s="1">
        <v>45511</v>
      </c>
      <c r="M18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45511</v>
      </c>
      <c r="N1881">
        <v>7</v>
      </c>
      <c r="O1881">
        <v>2013.76</v>
      </c>
      <c r="P1881">
        <f>tblOrders[[#This Row],[Quantity]]*tblOrders[[#This Row],[Unit Price]]</f>
        <v>2013.76</v>
      </c>
      <c r="Q1881">
        <f>tblOrders[[#This Row],[TotalSales]]-tblOrders[[#This Row],[Calculated Sales]]</f>
        <v>0</v>
      </c>
    </row>
    <row r="1882" spans="1:17" x14ac:dyDescent="0.25">
      <c r="A1882">
        <v>1699</v>
      </c>
      <c r="B1882">
        <v>217</v>
      </c>
      <c r="C1882" t="str">
        <f>_xlfn.XLOOKUP(tblOrders[[#This Row],[CustomerID]],tblCustomers[CustomerID],tblCustomers[CustomerName],"not found")</f>
        <v>Sarah Erickson</v>
      </c>
      <c r="D1882">
        <f>_xlfn.XLOOKUP(tblOrders[[#This Row],[CustomerID]],tblCustomers[CustomerID],tblCustomers[Age],"not found")</f>
        <v>39</v>
      </c>
      <c r="E1882" t="str">
        <f>_xlfn.XLOOKUP(tblOrders[[#This Row],[CustomerID]],tblCustomers[CustomerID],tblCustomers[Gender],"not found")</f>
        <v>Female</v>
      </c>
      <c r="F1882" t="str">
        <f>_xlfn.XLOOKUP(tblOrders[[#This Row],[CustomerID]],tblCustomers[CustomerID],tblCustomers[Region],"not found")</f>
        <v>West</v>
      </c>
      <c r="G1882">
        <v>1016</v>
      </c>
      <c r="H1882" t="str">
        <f>_xlfn.XLOOKUP(tblOrders[[#This Row],[ProductID]],tblProducts[ProductID],tblProducts[ProductName],"not found")</f>
        <v>Fast</v>
      </c>
      <c r="I1882" t="str">
        <f>_xlfn.XLOOKUP(tblOrders[[#This Row],[ProductID]],tblProducts[ProductID],tblProducts[Category],"not found")</f>
        <v>Toys</v>
      </c>
      <c r="J1882">
        <f>_xlfn.XLOOKUP(tblOrders[[#This Row],[ProductID]],tblProducts[ProductID],tblProducts[UnitPrice],"not found")</f>
        <v>287.68</v>
      </c>
      <c r="K1882" t="str">
        <f>_xlfn.XLOOKUP(tblOrders[[#This Row],[ProductID]],tblProducts[ProductID],tblProducts[Supplier],"not found")</f>
        <v>Mcmahon, Munoz and Lopez</v>
      </c>
      <c r="L1882" s="1" t="s">
        <v>2290</v>
      </c>
      <c r="M18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45189</v>
      </c>
      <c r="N1882">
        <v>1</v>
      </c>
      <c r="O1882">
        <v>287.68</v>
      </c>
      <c r="P1882">
        <f>tblOrders[[#This Row],[Quantity]]*tblOrders[[#This Row],[Unit Price]]</f>
        <v>287.68</v>
      </c>
      <c r="Q1882">
        <f>tblOrders[[#This Row],[TotalSales]]-tblOrders[[#This Row],[Calculated Sales]]</f>
        <v>0</v>
      </c>
    </row>
    <row r="1883" spans="1:17" x14ac:dyDescent="0.25">
      <c r="A1883">
        <v>1784</v>
      </c>
      <c r="B1883">
        <v>863</v>
      </c>
      <c r="C1883" t="str">
        <f>_xlfn.XLOOKUP(tblOrders[[#This Row],[CustomerID]],tblCustomers[CustomerID],tblCustomers[CustomerName],"not found")</f>
        <v>Gregory White</v>
      </c>
      <c r="D1883">
        <f>_xlfn.XLOOKUP(tblOrders[[#This Row],[CustomerID]],tblCustomers[CustomerID],tblCustomers[Age],"not found")</f>
        <v>37</v>
      </c>
      <c r="E1883" t="str">
        <f>_xlfn.XLOOKUP(tblOrders[[#This Row],[CustomerID]],tblCustomers[CustomerID],tblCustomers[Gender],"not found")</f>
        <v>Male</v>
      </c>
      <c r="F1883" t="str">
        <f>_xlfn.XLOOKUP(tblOrders[[#This Row],[CustomerID]],tblCustomers[CustomerID],tblCustomers[Region],"not found")</f>
        <v>West</v>
      </c>
      <c r="G1883">
        <v>1016</v>
      </c>
      <c r="H1883" t="str">
        <f>_xlfn.XLOOKUP(tblOrders[[#This Row],[ProductID]],tblProducts[ProductID],tblProducts[ProductName],"not found")</f>
        <v>Fast</v>
      </c>
      <c r="I1883" t="str">
        <f>_xlfn.XLOOKUP(tblOrders[[#This Row],[ProductID]],tblProducts[ProductID],tblProducts[Category],"not found")</f>
        <v>Toys</v>
      </c>
      <c r="J1883">
        <f>_xlfn.XLOOKUP(tblOrders[[#This Row],[ProductID]],tblProducts[ProductID],tblProducts[UnitPrice],"not found")</f>
        <v>287.68</v>
      </c>
      <c r="K1883" t="str">
        <f>_xlfn.XLOOKUP(tblOrders[[#This Row],[ProductID]],tblProducts[ProductID],tblProducts[Supplier],"not found")</f>
        <v>Mcmahon, Munoz and Lopez</v>
      </c>
      <c r="L1883" s="1" t="s">
        <v>2419</v>
      </c>
      <c r="M18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45316</v>
      </c>
      <c r="N1883">
        <v>2</v>
      </c>
      <c r="O1883">
        <v>575.36</v>
      </c>
      <c r="P1883">
        <f>tblOrders[[#This Row],[Quantity]]*tblOrders[[#This Row],[Unit Price]]</f>
        <v>575.36</v>
      </c>
      <c r="Q1883">
        <f>tblOrders[[#This Row],[TotalSales]]-tblOrders[[#This Row],[Calculated Sales]]</f>
        <v>0</v>
      </c>
    </row>
    <row r="1884" spans="1:17" x14ac:dyDescent="0.25">
      <c r="A1884">
        <v>1884</v>
      </c>
      <c r="B1884">
        <v>514</v>
      </c>
      <c r="C1884" t="str">
        <f>_xlfn.XLOOKUP(tblOrders[[#This Row],[CustomerID]],tblCustomers[CustomerID],tblCustomers[CustomerName],"not found")</f>
        <v>Jason Lee</v>
      </c>
      <c r="D1884">
        <f>_xlfn.XLOOKUP(tblOrders[[#This Row],[CustomerID]],tblCustomers[CustomerID],tblCustomers[Age],"not found")</f>
        <v>66</v>
      </c>
      <c r="E1884" t="str">
        <f>_xlfn.XLOOKUP(tblOrders[[#This Row],[CustomerID]],tblCustomers[CustomerID],tblCustomers[Gender],"not found")</f>
        <v>Male</v>
      </c>
      <c r="F1884" t="str">
        <f>_xlfn.XLOOKUP(tblOrders[[#This Row],[CustomerID]],tblCustomers[CustomerID],tblCustomers[Region],"not found")</f>
        <v>Central</v>
      </c>
      <c r="G1884">
        <v>1016</v>
      </c>
      <c r="H1884" t="str">
        <f>_xlfn.XLOOKUP(tblOrders[[#This Row],[ProductID]],tblProducts[ProductID],tblProducts[ProductName],"not found")</f>
        <v>Fast</v>
      </c>
      <c r="I1884" t="str">
        <f>_xlfn.XLOOKUP(tblOrders[[#This Row],[ProductID]],tblProducts[ProductID],tblProducts[Category],"not found")</f>
        <v>Toys</v>
      </c>
      <c r="J1884">
        <f>_xlfn.XLOOKUP(tblOrders[[#This Row],[ProductID]],tblProducts[ProductID],tblProducts[UnitPrice],"not found")</f>
        <v>287.68</v>
      </c>
      <c r="K1884" t="str">
        <f>_xlfn.XLOOKUP(tblOrders[[#This Row],[ProductID]],tblProducts[ProductID],tblProducts[Supplier],"not found")</f>
        <v>Mcmahon, Munoz and Lopez</v>
      </c>
      <c r="L1884" s="1" t="s">
        <v>2259</v>
      </c>
      <c r="M18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45198</v>
      </c>
      <c r="N1884">
        <v>4</v>
      </c>
      <c r="O1884">
        <v>1150.72</v>
      </c>
      <c r="P1884">
        <f>tblOrders[[#This Row],[Quantity]]*tblOrders[[#This Row],[Unit Price]]</f>
        <v>1150.72</v>
      </c>
      <c r="Q1884">
        <f>tblOrders[[#This Row],[TotalSales]]-tblOrders[[#This Row],[Calculated Sales]]</f>
        <v>0</v>
      </c>
    </row>
    <row r="1885" spans="1:17" x14ac:dyDescent="0.25">
      <c r="A1885">
        <v>1899</v>
      </c>
      <c r="B1885">
        <v>50</v>
      </c>
      <c r="C1885" t="str">
        <f>_xlfn.XLOOKUP(tblOrders[[#This Row],[CustomerID]],tblCustomers[CustomerID],tblCustomers[CustomerName],"not found")</f>
        <v>Matthew Merritt</v>
      </c>
      <c r="D1885">
        <f>_xlfn.XLOOKUP(tblOrders[[#This Row],[CustomerID]],tblCustomers[CustomerID],tblCustomers[Age],"not found")</f>
        <v>53</v>
      </c>
      <c r="E1885" t="str">
        <f>_xlfn.XLOOKUP(tblOrders[[#This Row],[CustomerID]],tblCustomers[CustomerID],tblCustomers[Gender],"not found")</f>
        <v>Male</v>
      </c>
      <c r="F1885" t="str">
        <f>_xlfn.XLOOKUP(tblOrders[[#This Row],[CustomerID]],tblCustomers[CustomerID],tblCustomers[Region],"not found")</f>
        <v>North</v>
      </c>
      <c r="G1885">
        <v>1016</v>
      </c>
      <c r="H1885" t="str">
        <f>_xlfn.XLOOKUP(tblOrders[[#This Row],[ProductID]],tblProducts[ProductID],tblProducts[ProductName],"not found")</f>
        <v>Fast</v>
      </c>
      <c r="I1885" t="str">
        <f>_xlfn.XLOOKUP(tblOrders[[#This Row],[ProductID]],tblProducts[ProductID],tblProducts[Category],"not found")</f>
        <v>Toys</v>
      </c>
      <c r="J1885">
        <f>_xlfn.XLOOKUP(tblOrders[[#This Row],[ProductID]],tblProducts[ProductID],tblProducts[UnitPrice],"not found")</f>
        <v>287.68</v>
      </c>
      <c r="K1885" t="str">
        <f>_xlfn.XLOOKUP(tblOrders[[#This Row],[ProductID]],tblProducts[ProductID],tblProducts[Supplier],"not found")</f>
        <v>Mcmahon, Munoz and Lopez</v>
      </c>
      <c r="L1885" s="1">
        <v>45323</v>
      </c>
      <c r="M18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45323</v>
      </c>
      <c r="N1885">
        <v>6</v>
      </c>
      <c r="O1885">
        <v>1726.08</v>
      </c>
      <c r="P1885">
        <f>tblOrders[[#This Row],[Quantity]]*tblOrders[[#This Row],[Unit Price]]</f>
        <v>1726.08</v>
      </c>
      <c r="Q1885">
        <f>tblOrders[[#This Row],[TotalSales]]-tblOrders[[#This Row],[Calculated Sales]]</f>
        <v>0</v>
      </c>
    </row>
    <row r="1886" spans="1:17" x14ac:dyDescent="0.25">
      <c r="A1886">
        <v>1903</v>
      </c>
      <c r="B1886">
        <v>869</v>
      </c>
      <c r="C1886" t="str">
        <f>_xlfn.XLOOKUP(tblOrders[[#This Row],[CustomerID]],tblCustomers[CustomerID],tblCustomers[CustomerName],"not found")</f>
        <v>Lori Swanson</v>
      </c>
      <c r="D1886">
        <f>_xlfn.XLOOKUP(tblOrders[[#This Row],[CustomerID]],tblCustomers[CustomerID],tblCustomers[Age],"not found")</f>
        <v>69</v>
      </c>
      <c r="E1886" t="str">
        <f>_xlfn.XLOOKUP(tblOrders[[#This Row],[CustomerID]],tblCustomers[CustomerID],tblCustomers[Gender],"not found")</f>
        <v>Female</v>
      </c>
      <c r="F1886" t="str">
        <f>_xlfn.XLOOKUP(tblOrders[[#This Row],[CustomerID]],tblCustomers[CustomerID],tblCustomers[Region],"not found")</f>
        <v>East</v>
      </c>
      <c r="G1886">
        <v>1016</v>
      </c>
      <c r="H1886" t="str">
        <f>_xlfn.XLOOKUP(tblOrders[[#This Row],[ProductID]],tblProducts[ProductID],tblProducts[ProductName],"not found")</f>
        <v>Fast</v>
      </c>
      <c r="I1886" t="str">
        <f>_xlfn.XLOOKUP(tblOrders[[#This Row],[ProductID]],tblProducts[ProductID],tblProducts[Category],"not found")</f>
        <v>Toys</v>
      </c>
      <c r="J1886">
        <f>_xlfn.XLOOKUP(tblOrders[[#This Row],[ProductID]],tblProducts[ProductID],tblProducts[UnitPrice],"not found")</f>
        <v>287.68</v>
      </c>
      <c r="K1886" t="str">
        <f>_xlfn.XLOOKUP(tblOrders[[#This Row],[ProductID]],tblProducts[ProductID],tblProducts[Supplier],"not found")</f>
        <v>Mcmahon, Munoz and Lopez</v>
      </c>
      <c r="L1886" s="1" t="s">
        <v>2410</v>
      </c>
      <c r="M18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45365</v>
      </c>
      <c r="N1886">
        <v>7</v>
      </c>
      <c r="O1886">
        <v>2013.76</v>
      </c>
      <c r="P1886">
        <f>tblOrders[[#This Row],[Quantity]]*tblOrders[[#This Row],[Unit Price]]</f>
        <v>2013.76</v>
      </c>
      <c r="Q1886">
        <f>tblOrders[[#This Row],[TotalSales]]-tblOrders[[#This Row],[Calculated Sales]]</f>
        <v>0</v>
      </c>
    </row>
    <row r="1887" spans="1:17" x14ac:dyDescent="0.25">
      <c r="A1887">
        <v>284</v>
      </c>
      <c r="B1887">
        <v>491</v>
      </c>
      <c r="C1887" t="str">
        <f>_xlfn.XLOOKUP(tblOrders[[#This Row],[CustomerID]],tblCustomers[CustomerID],tblCustomers[CustomerName],"not found")</f>
        <v>Christopher Reyes</v>
      </c>
      <c r="D1887">
        <f>_xlfn.XLOOKUP(tblOrders[[#This Row],[CustomerID]],tblCustomers[CustomerID],tblCustomers[Age],"not found")</f>
        <v>33</v>
      </c>
      <c r="E1887" t="str">
        <f>_xlfn.XLOOKUP(tblOrders[[#This Row],[CustomerID]],tblCustomers[CustomerID],tblCustomers[Gender],"not found")</f>
        <v>Female</v>
      </c>
      <c r="F1887" t="str">
        <f>_xlfn.XLOOKUP(tblOrders[[#This Row],[CustomerID]],tblCustomers[CustomerID],tblCustomers[Region],"not found")</f>
        <v>North</v>
      </c>
      <c r="G1887">
        <v>1067</v>
      </c>
      <c r="H1887" t="str">
        <f>_xlfn.XLOOKUP(tblOrders[[#This Row],[ProductID]],tblProducts[ProductID],tblProducts[ProductName],"not found")</f>
        <v>Mention</v>
      </c>
      <c r="I1887" t="str">
        <f>_xlfn.XLOOKUP(tblOrders[[#This Row],[ProductID]],tblProducts[ProductID],tblProducts[Category],"not found")</f>
        <v>Apparel</v>
      </c>
      <c r="J1887">
        <f>_xlfn.XLOOKUP(tblOrders[[#This Row],[ProductID]],tblProducts[ProductID],tblProducts[UnitPrice],"not found")</f>
        <v>35.71</v>
      </c>
      <c r="K1887" t="str">
        <f>_xlfn.XLOOKUP(tblOrders[[#This Row],[ProductID]],tblProducts[ProductID],tblProducts[Supplier],"not found")</f>
        <v>Rivera-Cardenas</v>
      </c>
      <c r="L1887" s="1">
        <v>45233</v>
      </c>
      <c r="M18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45233</v>
      </c>
      <c r="N1887">
        <v>6</v>
      </c>
      <c r="O1887">
        <v>214.26</v>
      </c>
      <c r="P1887">
        <f>tblOrders[[#This Row],[Quantity]]*tblOrders[[#This Row],[Unit Price]]</f>
        <v>214.26</v>
      </c>
      <c r="Q1887">
        <f>tblOrders[[#This Row],[TotalSales]]-tblOrders[[#This Row],[Calculated Sales]]</f>
        <v>0</v>
      </c>
    </row>
    <row r="1888" spans="1:17" x14ac:dyDescent="0.25">
      <c r="A1888">
        <v>496</v>
      </c>
      <c r="B1888">
        <v>641</v>
      </c>
      <c r="C1888" t="str">
        <f>_xlfn.XLOOKUP(tblOrders[[#This Row],[CustomerID]],tblCustomers[CustomerID],tblCustomers[CustomerName],"not found")</f>
        <v>Lindsay Wong</v>
      </c>
      <c r="D1888">
        <f>_xlfn.XLOOKUP(tblOrders[[#This Row],[CustomerID]],tblCustomers[CustomerID],tblCustomers[Age],"not found")</f>
        <v>38</v>
      </c>
      <c r="E1888" t="str">
        <f>_xlfn.XLOOKUP(tblOrders[[#This Row],[CustomerID]],tblCustomers[CustomerID],tblCustomers[Gender],"not found")</f>
        <v>Female</v>
      </c>
      <c r="F1888" t="str">
        <f>_xlfn.XLOOKUP(tblOrders[[#This Row],[CustomerID]],tblCustomers[CustomerID],tblCustomers[Region],"not found")</f>
        <v>East</v>
      </c>
      <c r="G1888">
        <v>1067</v>
      </c>
      <c r="H1888" t="str">
        <f>_xlfn.XLOOKUP(tblOrders[[#This Row],[ProductID]],tblProducts[ProductID],tblProducts[ProductName],"not found")</f>
        <v>Mention</v>
      </c>
      <c r="I1888" t="str">
        <f>_xlfn.XLOOKUP(tblOrders[[#This Row],[ProductID]],tblProducts[ProductID],tblProducts[Category],"not found")</f>
        <v>Apparel</v>
      </c>
      <c r="J1888">
        <f>_xlfn.XLOOKUP(tblOrders[[#This Row],[ProductID]],tblProducts[ProductID],tblProducts[UnitPrice],"not found")</f>
        <v>35.71</v>
      </c>
      <c r="K1888" t="str">
        <f>_xlfn.XLOOKUP(tblOrders[[#This Row],[ProductID]],tblProducts[ProductID],tblProducts[Supplier],"not found")</f>
        <v>Rivera-Cardenas</v>
      </c>
      <c r="L1888" s="1">
        <v>45111</v>
      </c>
      <c r="M18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45111</v>
      </c>
      <c r="N1888">
        <v>6</v>
      </c>
      <c r="O1888">
        <v>214.26</v>
      </c>
      <c r="P1888">
        <f>tblOrders[[#This Row],[Quantity]]*tblOrders[[#This Row],[Unit Price]]</f>
        <v>214.26</v>
      </c>
      <c r="Q1888">
        <f>tblOrders[[#This Row],[TotalSales]]-tblOrders[[#This Row],[Calculated Sales]]</f>
        <v>0</v>
      </c>
    </row>
    <row r="1889" spans="1:17" x14ac:dyDescent="0.25">
      <c r="A1889">
        <v>654</v>
      </c>
      <c r="B1889">
        <v>194</v>
      </c>
      <c r="C1889" t="str">
        <f>_xlfn.XLOOKUP(tblOrders[[#This Row],[CustomerID]],tblCustomers[CustomerID],tblCustomers[CustomerName],"not found")</f>
        <v>Troy Peterson</v>
      </c>
      <c r="D1889">
        <f>_xlfn.XLOOKUP(tblOrders[[#This Row],[CustomerID]],tblCustomers[CustomerID],tblCustomers[Age],"not found")</f>
        <v>28</v>
      </c>
      <c r="E1889" t="str">
        <f>_xlfn.XLOOKUP(tblOrders[[#This Row],[CustomerID]],tblCustomers[CustomerID],tblCustomers[Gender],"not found")</f>
        <v>Female</v>
      </c>
      <c r="F1889" t="str">
        <f>_xlfn.XLOOKUP(tblOrders[[#This Row],[CustomerID]],tblCustomers[CustomerID],tblCustomers[Region],"not found")</f>
        <v>West</v>
      </c>
      <c r="G1889">
        <v>1067</v>
      </c>
      <c r="H1889" t="str">
        <f>_xlfn.XLOOKUP(tblOrders[[#This Row],[ProductID]],tblProducts[ProductID],tblProducts[ProductName],"not found")</f>
        <v>Mention</v>
      </c>
      <c r="I1889" t="str">
        <f>_xlfn.XLOOKUP(tblOrders[[#This Row],[ProductID]],tblProducts[ProductID],tblProducts[Category],"not found")</f>
        <v>Apparel</v>
      </c>
      <c r="J1889">
        <f>_xlfn.XLOOKUP(tblOrders[[#This Row],[ProductID]],tblProducts[ProductID],tblProducts[UnitPrice],"not found")</f>
        <v>35.71</v>
      </c>
      <c r="K1889" t="str">
        <f>_xlfn.XLOOKUP(tblOrders[[#This Row],[ProductID]],tblProducts[ProductID],tblProducts[Supplier],"not found")</f>
        <v>Rivera-Cardenas</v>
      </c>
      <c r="L1889" s="1">
        <v>45325</v>
      </c>
      <c r="M18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45325</v>
      </c>
      <c r="N1889">
        <v>1</v>
      </c>
      <c r="O1889">
        <v>35.71</v>
      </c>
      <c r="P1889">
        <f>tblOrders[[#This Row],[Quantity]]*tblOrders[[#This Row],[Unit Price]]</f>
        <v>35.71</v>
      </c>
      <c r="Q1889">
        <f>tblOrders[[#This Row],[TotalSales]]-tblOrders[[#This Row],[Calculated Sales]]</f>
        <v>0</v>
      </c>
    </row>
    <row r="1890" spans="1:17" x14ac:dyDescent="0.25">
      <c r="A1890">
        <v>655</v>
      </c>
      <c r="B1890">
        <v>775</v>
      </c>
      <c r="C1890" t="str">
        <f>_xlfn.XLOOKUP(tblOrders[[#This Row],[CustomerID]],tblCustomers[CustomerID],tblCustomers[CustomerName],"not found")</f>
        <v>Casey Edwards</v>
      </c>
      <c r="D1890">
        <f>_xlfn.XLOOKUP(tblOrders[[#This Row],[CustomerID]],tblCustomers[CustomerID],tblCustomers[Age],"not found")</f>
        <v>58</v>
      </c>
      <c r="E1890" t="str">
        <f>_xlfn.XLOOKUP(tblOrders[[#This Row],[CustomerID]],tblCustomers[CustomerID],tblCustomers[Gender],"not found")</f>
        <v>Female</v>
      </c>
      <c r="F1890" t="str">
        <f>_xlfn.XLOOKUP(tblOrders[[#This Row],[CustomerID]],tblCustomers[CustomerID],tblCustomers[Region],"not found")</f>
        <v>West</v>
      </c>
      <c r="G1890">
        <v>1067</v>
      </c>
      <c r="H1890" t="str">
        <f>_xlfn.XLOOKUP(tblOrders[[#This Row],[ProductID]],tblProducts[ProductID],tblProducts[ProductName],"not found")</f>
        <v>Mention</v>
      </c>
      <c r="I1890" t="str">
        <f>_xlfn.XLOOKUP(tblOrders[[#This Row],[ProductID]],tblProducts[ProductID],tblProducts[Category],"not found")</f>
        <v>Apparel</v>
      </c>
      <c r="J1890">
        <f>_xlfn.XLOOKUP(tblOrders[[#This Row],[ProductID]],tblProducts[ProductID],tblProducts[UnitPrice],"not found")</f>
        <v>35.71</v>
      </c>
      <c r="K1890" t="str">
        <f>_xlfn.XLOOKUP(tblOrders[[#This Row],[ProductID]],tblProducts[ProductID],tblProducts[Supplier],"not found")</f>
        <v>Rivera-Cardenas</v>
      </c>
      <c r="L1890" s="1" t="s">
        <v>2023</v>
      </c>
      <c r="M18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45312</v>
      </c>
      <c r="N1890">
        <v>1</v>
      </c>
      <c r="O1890">
        <v>35.71</v>
      </c>
      <c r="P1890">
        <f>tblOrders[[#This Row],[Quantity]]*tblOrders[[#This Row],[Unit Price]]</f>
        <v>35.71</v>
      </c>
      <c r="Q1890">
        <f>tblOrders[[#This Row],[TotalSales]]-tblOrders[[#This Row],[Calculated Sales]]</f>
        <v>0</v>
      </c>
    </row>
    <row r="1891" spans="1:17" x14ac:dyDescent="0.25">
      <c r="A1891">
        <v>678</v>
      </c>
      <c r="B1891">
        <v>815</v>
      </c>
      <c r="C1891" t="str">
        <f>_xlfn.XLOOKUP(tblOrders[[#This Row],[CustomerID]],tblCustomers[CustomerID],tblCustomers[CustomerName],"not found")</f>
        <v>Robert Greene</v>
      </c>
      <c r="D1891">
        <f>_xlfn.XLOOKUP(tblOrders[[#This Row],[CustomerID]],tblCustomers[CustomerID],tblCustomers[Age],"not found")</f>
        <v>18</v>
      </c>
      <c r="E1891" t="str">
        <f>_xlfn.XLOOKUP(tblOrders[[#This Row],[CustomerID]],tblCustomers[CustomerID],tblCustomers[Gender],"not found")</f>
        <v>Male</v>
      </c>
      <c r="F1891" t="str">
        <f>_xlfn.XLOOKUP(tblOrders[[#This Row],[CustomerID]],tblCustomers[CustomerID],tblCustomers[Region],"not found")</f>
        <v>South</v>
      </c>
      <c r="G1891">
        <v>1067</v>
      </c>
      <c r="H1891" t="str">
        <f>_xlfn.XLOOKUP(tblOrders[[#This Row],[ProductID]],tblProducts[ProductID],tblProducts[ProductName],"not found")</f>
        <v>Mention</v>
      </c>
      <c r="I1891" t="str">
        <f>_xlfn.XLOOKUP(tblOrders[[#This Row],[ProductID]],tblProducts[ProductID],tblProducts[Category],"not found")</f>
        <v>Apparel</v>
      </c>
      <c r="J1891">
        <f>_xlfn.XLOOKUP(tblOrders[[#This Row],[ProductID]],tblProducts[ProductID],tblProducts[UnitPrice],"not found")</f>
        <v>35.71</v>
      </c>
      <c r="K1891" t="str">
        <f>_xlfn.XLOOKUP(tblOrders[[#This Row],[ProductID]],tblProducts[ProductID],tblProducts[Supplier],"not found")</f>
        <v>Rivera-Cardenas</v>
      </c>
      <c r="L1891" s="1" t="s">
        <v>2308</v>
      </c>
      <c r="M18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45221</v>
      </c>
      <c r="N1891">
        <v>9</v>
      </c>
      <c r="O1891">
        <v>321.39</v>
      </c>
      <c r="P1891">
        <f>tblOrders[[#This Row],[Quantity]]*tblOrders[[#This Row],[Unit Price]]</f>
        <v>321.39</v>
      </c>
      <c r="Q1891">
        <f>tblOrders[[#This Row],[TotalSales]]-tblOrders[[#This Row],[Calculated Sales]]</f>
        <v>0</v>
      </c>
    </row>
    <row r="1892" spans="1:17" x14ac:dyDescent="0.25">
      <c r="A1892">
        <v>1406</v>
      </c>
      <c r="B1892">
        <v>251</v>
      </c>
      <c r="C1892" t="str">
        <f>_xlfn.XLOOKUP(tblOrders[[#This Row],[CustomerID]],tblCustomers[CustomerID],tblCustomers[CustomerName],"not found")</f>
        <v>Jessica Hamilton</v>
      </c>
      <c r="D1892">
        <f>_xlfn.XLOOKUP(tblOrders[[#This Row],[CustomerID]],tblCustomers[CustomerID],tblCustomers[Age],"not found")</f>
        <v>47</v>
      </c>
      <c r="E1892" t="str">
        <f>_xlfn.XLOOKUP(tblOrders[[#This Row],[CustomerID]],tblCustomers[CustomerID],tblCustomers[Gender],"not found")</f>
        <v>Male</v>
      </c>
      <c r="F1892" t="str">
        <f>_xlfn.XLOOKUP(tblOrders[[#This Row],[CustomerID]],tblCustomers[CustomerID],tblCustomers[Region],"not found")</f>
        <v>West</v>
      </c>
      <c r="G1892">
        <v>1067</v>
      </c>
      <c r="H1892" t="str">
        <f>_xlfn.XLOOKUP(tblOrders[[#This Row],[ProductID]],tblProducts[ProductID],tblProducts[ProductName],"not found")</f>
        <v>Mention</v>
      </c>
      <c r="I1892" t="str">
        <f>_xlfn.XLOOKUP(tblOrders[[#This Row],[ProductID]],tblProducts[ProductID],tblProducts[Category],"not found")</f>
        <v>Apparel</v>
      </c>
      <c r="J1892">
        <f>_xlfn.XLOOKUP(tblOrders[[#This Row],[ProductID]],tblProducts[ProductID],tblProducts[UnitPrice],"not found")</f>
        <v>35.71</v>
      </c>
      <c r="K1892" t="str">
        <f>_xlfn.XLOOKUP(tblOrders[[#This Row],[ProductID]],tblProducts[ProductID],tblProducts[Supplier],"not found")</f>
        <v>Rivera-Cardenas</v>
      </c>
      <c r="L1892" s="1" t="s">
        <v>2420</v>
      </c>
      <c r="M18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45259</v>
      </c>
      <c r="N1892">
        <v>2</v>
      </c>
      <c r="O1892">
        <v>71.42</v>
      </c>
      <c r="P1892">
        <f>tblOrders[[#This Row],[Quantity]]*tblOrders[[#This Row],[Unit Price]]</f>
        <v>71.42</v>
      </c>
      <c r="Q1892">
        <f>tblOrders[[#This Row],[TotalSales]]-tblOrders[[#This Row],[Calculated Sales]]</f>
        <v>0</v>
      </c>
    </row>
    <row r="1893" spans="1:17" x14ac:dyDescent="0.25">
      <c r="A1893">
        <v>316</v>
      </c>
      <c r="B1893">
        <v>499</v>
      </c>
      <c r="C1893" t="str">
        <f>_xlfn.XLOOKUP(tblOrders[[#This Row],[CustomerID]],tblCustomers[CustomerID],tblCustomers[CustomerName],"not found")</f>
        <v>Shannon Carter</v>
      </c>
      <c r="D1893">
        <f>_xlfn.XLOOKUP(tblOrders[[#This Row],[CustomerID]],tblCustomers[CustomerID],tblCustomers[Age],"not found")</f>
        <v>22</v>
      </c>
      <c r="E1893" t="str">
        <f>_xlfn.XLOOKUP(tblOrders[[#This Row],[CustomerID]],tblCustomers[CustomerID],tblCustomers[Gender],"not found")</f>
        <v>Female</v>
      </c>
      <c r="F1893" t="str">
        <f>_xlfn.XLOOKUP(tblOrders[[#This Row],[CustomerID]],tblCustomers[CustomerID],tblCustomers[Region],"not found")</f>
        <v>Central</v>
      </c>
      <c r="G1893">
        <v>1058</v>
      </c>
      <c r="H1893" t="str">
        <f>_xlfn.XLOOKUP(tblOrders[[#This Row],[ProductID]],tblProducts[ProductID],tblProducts[ProductName],"not found")</f>
        <v>Against</v>
      </c>
      <c r="I1893" t="str">
        <f>_xlfn.XLOOKUP(tblOrders[[#This Row],[ProductID]],tblProducts[ProductID],tblProducts[Category],"not found")</f>
        <v>Apparel</v>
      </c>
      <c r="J1893">
        <f>_xlfn.XLOOKUP(tblOrders[[#This Row],[ProductID]],tblProducts[ProductID],tblProducts[UnitPrice],"not found")</f>
        <v>149.99</v>
      </c>
      <c r="K1893" t="str">
        <f>_xlfn.XLOOKUP(tblOrders[[#This Row],[ProductID]],tblProducts[ProductID],tblProducts[Supplier],"not found")</f>
        <v>George-Morales</v>
      </c>
      <c r="L1893" s="1">
        <v>45574</v>
      </c>
      <c r="M18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45574</v>
      </c>
      <c r="N1893">
        <v>2</v>
      </c>
      <c r="O1893">
        <v>299.98</v>
      </c>
      <c r="P1893">
        <f>tblOrders[[#This Row],[Quantity]]*tblOrders[[#This Row],[Unit Price]]</f>
        <v>299.98</v>
      </c>
      <c r="Q1893">
        <f>tblOrders[[#This Row],[TotalSales]]-tblOrders[[#This Row],[Calculated Sales]]</f>
        <v>0</v>
      </c>
    </row>
    <row r="1894" spans="1:17" x14ac:dyDescent="0.25">
      <c r="A1894">
        <v>354</v>
      </c>
      <c r="B1894">
        <v>104</v>
      </c>
      <c r="C1894" t="str">
        <f>_xlfn.XLOOKUP(tblOrders[[#This Row],[CustomerID]],tblCustomers[CustomerID],tblCustomers[CustomerName],"not found")</f>
        <v>Amy Roach</v>
      </c>
      <c r="D1894">
        <f>_xlfn.XLOOKUP(tblOrders[[#This Row],[CustomerID]],tblCustomers[CustomerID],tblCustomers[Age],"not found")</f>
        <v>32</v>
      </c>
      <c r="E1894" t="str">
        <f>_xlfn.XLOOKUP(tblOrders[[#This Row],[CustomerID]],tblCustomers[CustomerID],tblCustomers[Gender],"not found")</f>
        <v>Male</v>
      </c>
      <c r="F1894" t="str">
        <f>_xlfn.XLOOKUP(tblOrders[[#This Row],[CustomerID]],tblCustomers[CustomerID],tblCustomers[Region],"not found")</f>
        <v>South</v>
      </c>
      <c r="G1894">
        <v>1058</v>
      </c>
      <c r="H1894" t="str">
        <f>_xlfn.XLOOKUP(tblOrders[[#This Row],[ProductID]],tblProducts[ProductID],tblProducts[ProductName],"not found")</f>
        <v>Against</v>
      </c>
      <c r="I1894" t="str">
        <f>_xlfn.XLOOKUP(tblOrders[[#This Row],[ProductID]],tblProducts[ProductID],tblProducts[Category],"not found")</f>
        <v>Apparel</v>
      </c>
      <c r="J1894">
        <f>_xlfn.XLOOKUP(tblOrders[[#This Row],[ProductID]],tblProducts[ProductID],tblProducts[UnitPrice],"not found")</f>
        <v>149.99</v>
      </c>
      <c r="K1894" t="str">
        <f>_xlfn.XLOOKUP(tblOrders[[#This Row],[ProductID]],tblProducts[ProductID],tblProducts[Supplier],"not found")</f>
        <v>George-Morales</v>
      </c>
      <c r="L1894" s="1" t="s">
        <v>2181</v>
      </c>
      <c r="M18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45399</v>
      </c>
      <c r="N1894">
        <v>7</v>
      </c>
      <c r="O1894">
        <v>1049.93</v>
      </c>
      <c r="P1894">
        <f>tblOrders[[#This Row],[Quantity]]*tblOrders[[#This Row],[Unit Price]]</f>
        <v>1049.93</v>
      </c>
      <c r="Q1894">
        <f>tblOrders[[#This Row],[TotalSales]]-tblOrders[[#This Row],[Calculated Sales]]</f>
        <v>0</v>
      </c>
    </row>
    <row r="1895" spans="1:17" x14ac:dyDescent="0.25">
      <c r="A1895">
        <v>363</v>
      </c>
      <c r="B1895">
        <v>738</v>
      </c>
      <c r="C1895" t="str">
        <f>_xlfn.XLOOKUP(tblOrders[[#This Row],[CustomerID]],tblCustomers[CustomerID],tblCustomers[CustomerName],"not found")</f>
        <v>Kathy Garcia</v>
      </c>
      <c r="D1895">
        <f>_xlfn.XLOOKUP(tblOrders[[#This Row],[CustomerID]],tblCustomers[CustomerID],tblCustomers[Age],"not found")</f>
        <v>49</v>
      </c>
      <c r="E1895" t="str">
        <f>_xlfn.XLOOKUP(tblOrders[[#This Row],[CustomerID]],tblCustomers[CustomerID],tblCustomers[Gender],"not found")</f>
        <v>Female</v>
      </c>
      <c r="F1895" t="str">
        <f>_xlfn.XLOOKUP(tblOrders[[#This Row],[CustomerID]],tblCustomers[CustomerID],tblCustomers[Region],"not found")</f>
        <v>Central</v>
      </c>
      <c r="G1895">
        <v>1058</v>
      </c>
      <c r="H1895" t="str">
        <f>_xlfn.XLOOKUP(tblOrders[[#This Row],[ProductID]],tblProducts[ProductID],tblProducts[ProductName],"not found")</f>
        <v>Against</v>
      </c>
      <c r="I1895" t="str">
        <f>_xlfn.XLOOKUP(tblOrders[[#This Row],[ProductID]],tblProducts[ProductID],tblProducts[Category],"not found")</f>
        <v>Apparel</v>
      </c>
      <c r="J1895">
        <f>_xlfn.XLOOKUP(tblOrders[[#This Row],[ProductID]],tblProducts[ProductID],tblProducts[UnitPrice],"not found")</f>
        <v>149.99</v>
      </c>
      <c r="K1895" t="str">
        <f>_xlfn.XLOOKUP(tblOrders[[#This Row],[ProductID]],tblProducts[ProductID],tblProducts[Supplier],"not found")</f>
        <v>George-Morales</v>
      </c>
      <c r="L1895" s="1">
        <v>45478</v>
      </c>
      <c r="M18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45478</v>
      </c>
      <c r="N1895">
        <v>6</v>
      </c>
      <c r="O1895">
        <v>899.94</v>
      </c>
      <c r="P1895">
        <f>tblOrders[[#This Row],[Quantity]]*tblOrders[[#This Row],[Unit Price]]</f>
        <v>899.94</v>
      </c>
      <c r="Q1895">
        <f>tblOrders[[#This Row],[TotalSales]]-tblOrders[[#This Row],[Calculated Sales]]</f>
        <v>0</v>
      </c>
    </row>
    <row r="1896" spans="1:17" x14ac:dyDescent="0.25">
      <c r="A1896">
        <v>430</v>
      </c>
      <c r="B1896">
        <v>59</v>
      </c>
      <c r="C1896" t="str">
        <f>_xlfn.XLOOKUP(tblOrders[[#This Row],[CustomerID]],tblCustomers[CustomerID],tblCustomers[CustomerName],"not found")</f>
        <v>Rodney Rodriguez</v>
      </c>
      <c r="D1896">
        <f>_xlfn.XLOOKUP(tblOrders[[#This Row],[CustomerID]],tblCustomers[CustomerID],tblCustomers[Age],"not found")</f>
        <v>50</v>
      </c>
      <c r="E1896" t="str">
        <f>_xlfn.XLOOKUP(tblOrders[[#This Row],[CustomerID]],tblCustomers[CustomerID],tblCustomers[Gender],"not found")</f>
        <v>Male</v>
      </c>
      <c r="F1896" t="str">
        <f>_xlfn.XLOOKUP(tblOrders[[#This Row],[CustomerID]],tblCustomers[CustomerID],tblCustomers[Region],"not found")</f>
        <v>Central</v>
      </c>
      <c r="G1896">
        <v>1058</v>
      </c>
      <c r="H1896" t="str">
        <f>_xlfn.XLOOKUP(tblOrders[[#This Row],[ProductID]],tblProducts[ProductID],tblProducts[ProductName],"not found")</f>
        <v>Against</v>
      </c>
      <c r="I1896" t="str">
        <f>_xlfn.XLOOKUP(tblOrders[[#This Row],[ProductID]],tblProducts[ProductID],tblProducts[Category],"not found")</f>
        <v>Apparel</v>
      </c>
      <c r="J1896">
        <f>_xlfn.XLOOKUP(tblOrders[[#This Row],[ProductID]],tblProducts[ProductID],tblProducts[UnitPrice],"not found")</f>
        <v>149.99</v>
      </c>
      <c r="K1896" t="str">
        <f>_xlfn.XLOOKUP(tblOrders[[#This Row],[ProductID]],tblProducts[ProductID],tblProducts[Supplier],"not found")</f>
        <v>George-Morales</v>
      </c>
      <c r="L1896" s="1" t="s">
        <v>2149</v>
      </c>
      <c r="M18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45257</v>
      </c>
      <c r="N1896">
        <v>5</v>
      </c>
      <c r="O1896">
        <v>749.95</v>
      </c>
      <c r="P1896">
        <f>tblOrders[[#This Row],[Quantity]]*tblOrders[[#This Row],[Unit Price]]</f>
        <v>749.95</v>
      </c>
      <c r="Q1896">
        <f>tblOrders[[#This Row],[TotalSales]]-tblOrders[[#This Row],[Calculated Sales]]</f>
        <v>0</v>
      </c>
    </row>
    <row r="1897" spans="1:17" x14ac:dyDescent="0.25">
      <c r="A1897">
        <v>668</v>
      </c>
      <c r="B1897">
        <v>221</v>
      </c>
      <c r="C1897" t="str">
        <f>_xlfn.XLOOKUP(tblOrders[[#This Row],[CustomerID]],tblCustomers[CustomerID],tblCustomers[CustomerName],"not found")</f>
        <v>Leslie Logan</v>
      </c>
      <c r="D1897">
        <f>_xlfn.XLOOKUP(tblOrders[[#This Row],[CustomerID]],tblCustomers[CustomerID],tblCustomers[Age],"not found")</f>
        <v>53</v>
      </c>
      <c r="E1897" t="str">
        <f>_xlfn.XLOOKUP(tblOrders[[#This Row],[CustomerID]],tblCustomers[CustomerID],tblCustomers[Gender],"not found")</f>
        <v>Male</v>
      </c>
      <c r="F1897" t="str">
        <f>_xlfn.XLOOKUP(tblOrders[[#This Row],[CustomerID]],tblCustomers[CustomerID],tblCustomers[Region],"not found")</f>
        <v>North</v>
      </c>
      <c r="G1897">
        <v>1058</v>
      </c>
      <c r="H1897" t="str">
        <f>_xlfn.XLOOKUP(tblOrders[[#This Row],[ProductID]],tblProducts[ProductID],tblProducts[ProductName],"not found")</f>
        <v>Against</v>
      </c>
      <c r="I1897" t="str">
        <f>_xlfn.XLOOKUP(tblOrders[[#This Row],[ProductID]],tblProducts[ProductID],tblProducts[Category],"not found")</f>
        <v>Apparel</v>
      </c>
      <c r="J1897">
        <f>_xlfn.XLOOKUP(tblOrders[[#This Row],[ProductID]],tblProducts[ProductID],tblProducts[UnitPrice],"not found")</f>
        <v>149.99</v>
      </c>
      <c r="K1897" t="str">
        <f>_xlfn.XLOOKUP(tblOrders[[#This Row],[ProductID]],tblProducts[ProductID],tblProducts[Supplier],"not found")</f>
        <v>George-Morales</v>
      </c>
      <c r="L1897" s="1" t="s">
        <v>2416</v>
      </c>
      <c r="M18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45127</v>
      </c>
      <c r="N1897">
        <v>8</v>
      </c>
      <c r="O1897">
        <v>1199.92</v>
      </c>
      <c r="P1897">
        <f>tblOrders[[#This Row],[Quantity]]*tblOrders[[#This Row],[Unit Price]]</f>
        <v>1199.92</v>
      </c>
      <c r="Q1897">
        <f>tblOrders[[#This Row],[TotalSales]]-tblOrders[[#This Row],[Calculated Sales]]</f>
        <v>0</v>
      </c>
    </row>
    <row r="1898" spans="1:17" x14ac:dyDescent="0.25">
      <c r="A1898">
        <v>686</v>
      </c>
      <c r="B1898">
        <v>885</v>
      </c>
      <c r="C1898" t="str">
        <f>_xlfn.XLOOKUP(tblOrders[[#This Row],[CustomerID]],tblCustomers[CustomerID],tblCustomers[CustomerName],"not found")</f>
        <v>Briana Barker</v>
      </c>
      <c r="D1898">
        <f>_xlfn.XLOOKUP(tblOrders[[#This Row],[CustomerID]],tblCustomers[CustomerID],tblCustomers[Age],"not found")</f>
        <v>54</v>
      </c>
      <c r="E1898" t="str">
        <f>_xlfn.XLOOKUP(tblOrders[[#This Row],[CustomerID]],tblCustomers[CustomerID],tblCustomers[Gender],"not found")</f>
        <v>Female</v>
      </c>
      <c r="F1898" t="str">
        <f>_xlfn.XLOOKUP(tblOrders[[#This Row],[CustomerID]],tblCustomers[CustomerID],tblCustomers[Region],"not found")</f>
        <v>East</v>
      </c>
      <c r="G1898">
        <v>1058</v>
      </c>
      <c r="H1898" t="str">
        <f>_xlfn.XLOOKUP(tblOrders[[#This Row],[ProductID]],tblProducts[ProductID],tblProducts[ProductName],"not found")</f>
        <v>Against</v>
      </c>
      <c r="I1898" t="str">
        <f>_xlfn.XLOOKUP(tblOrders[[#This Row],[ProductID]],tblProducts[ProductID],tblProducts[Category],"not found")</f>
        <v>Apparel</v>
      </c>
      <c r="J1898">
        <f>_xlfn.XLOOKUP(tblOrders[[#This Row],[ProductID]],tblProducts[ProductID],tblProducts[UnitPrice],"not found")</f>
        <v>149.99</v>
      </c>
      <c r="K1898" t="str">
        <f>_xlfn.XLOOKUP(tblOrders[[#This Row],[ProductID]],tblProducts[ProductID],tblProducts[Supplier],"not found")</f>
        <v>George-Morales</v>
      </c>
      <c r="L1898" s="1" t="s">
        <v>2062</v>
      </c>
      <c r="M18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45468</v>
      </c>
      <c r="N1898">
        <v>8</v>
      </c>
      <c r="O1898">
        <v>1199.92</v>
      </c>
      <c r="P1898">
        <f>tblOrders[[#This Row],[Quantity]]*tblOrders[[#This Row],[Unit Price]]</f>
        <v>1199.92</v>
      </c>
      <c r="Q1898">
        <f>tblOrders[[#This Row],[TotalSales]]-tblOrders[[#This Row],[Calculated Sales]]</f>
        <v>0</v>
      </c>
    </row>
    <row r="1899" spans="1:17" x14ac:dyDescent="0.25">
      <c r="A1899">
        <v>1075</v>
      </c>
      <c r="B1899">
        <v>986</v>
      </c>
      <c r="C1899" t="str">
        <f>_xlfn.XLOOKUP(tblOrders[[#This Row],[CustomerID]],tblCustomers[CustomerID],tblCustomers[CustomerName],"not found")</f>
        <v>Jonathan Miller</v>
      </c>
      <c r="D1899">
        <f>_xlfn.XLOOKUP(tblOrders[[#This Row],[CustomerID]],tblCustomers[CustomerID],tblCustomers[Age],"not found")</f>
        <v>38</v>
      </c>
      <c r="E1899" t="str">
        <f>_xlfn.XLOOKUP(tblOrders[[#This Row],[CustomerID]],tblCustomers[CustomerID],tblCustomers[Gender],"not found")</f>
        <v>Male</v>
      </c>
      <c r="F1899" t="str">
        <f>_xlfn.XLOOKUP(tblOrders[[#This Row],[CustomerID]],tblCustomers[CustomerID],tblCustomers[Region],"not found")</f>
        <v>Central</v>
      </c>
      <c r="G1899">
        <v>1058</v>
      </c>
      <c r="H1899" t="str">
        <f>_xlfn.XLOOKUP(tblOrders[[#This Row],[ProductID]],tblProducts[ProductID],tblProducts[ProductName],"not found")</f>
        <v>Against</v>
      </c>
      <c r="I1899" t="str">
        <f>_xlfn.XLOOKUP(tblOrders[[#This Row],[ProductID]],tblProducts[ProductID],tblProducts[Category],"not found")</f>
        <v>Apparel</v>
      </c>
      <c r="J1899">
        <f>_xlfn.XLOOKUP(tblOrders[[#This Row],[ProductID]],tblProducts[ProductID],tblProducts[UnitPrice],"not found")</f>
        <v>149.99</v>
      </c>
      <c r="K1899" t="str">
        <f>_xlfn.XLOOKUP(tblOrders[[#This Row],[ProductID]],tblProducts[ProductID],tblProducts[Supplier],"not found")</f>
        <v>George-Morales</v>
      </c>
      <c r="L1899" s="1" t="s">
        <v>2379</v>
      </c>
      <c r="M18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45134</v>
      </c>
      <c r="N1899">
        <v>9</v>
      </c>
      <c r="O1899">
        <v>1349.91</v>
      </c>
      <c r="P1899">
        <f>tblOrders[[#This Row],[Quantity]]*tblOrders[[#This Row],[Unit Price]]</f>
        <v>1349.91</v>
      </c>
      <c r="Q1899">
        <f>tblOrders[[#This Row],[TotalSales]]-tblOrders[[#This Row],[Calculated Sales]]</f>
        <v>0</v>
      </c>
    </row>
    <row r="1900" spans="1:17" x14ac:dyDescent="0.25">
      <c r="A1900">
        <v>1173</v>
      </c>
      <c r="B1900">
        <v>533</v>
      </c>
      <c r="C1900" t="str">
        <f>_xlfn.XLOOKUP(tblOrders[[#This Row],[CustomerID]],tblCustomers[CustomerID],tblCustomers[CustomerName],"not found")</f>
        <v>Daniel May</v>
      </c>
      <c r="D1900">
        <f>_xlfn.XLOOKUP(tblOrders[[#This Row],[CustomerID]],tblCustomers[CustomerID],tblCustomers[Age],"not found")</f>
        <v>43</v>
      </c>
      <c r="E1900" t="str">
        <f>_xlfn.XLOOKUP(tblOrders[[#This Row],[CustomerID]],tblCustomers[CustomerID],tblCustomers[Gender],"not found")</f>
        <v>Female</v>
      </c>
      <c r="F1900" t="str">
        <f>_xlfn.XLOOKUP(tblOrders[[#This Row],[CustomerID]],tblCustomers[CustomerID],tblCustomers[Region],"not found")</f>
        <v>Central</v>
      </c>
      <c r="G1900">
        <v>1058</v>
      </c>
      <c r="H1900" t="str">
        <f>_xlfn.XLOOKUP(tblOrders[[#This Row],[ProductID]],tblProducts[ProductID],tblProducts[ProductName],"not found")</f>
        <v>Against</v>
      </c>
      <c r="I1900" t="str">
        <f>_xlfn.XLOOKUP(tblOrders[[#This Row],[ProductID]],tblProducts[ProductID],tblProducts[Category],"not found")</f>
        <v>Apparel</v>
      </c>
      <c r="J1900">
        <f>_xlfn.XLOOKUP(tblOrders[[#This Row],[ProductID]],tblProducts[ProductID],tblProducts[UnitPrice],"not found")</f>
        <v>149.99</v>
      </c>
      <c r="K1900" t="str">
        <f>_xlfn.XLOOKUP(tblOrders[[#This Row],[ProductID]],tblProducts[ProductID],tblProducts[Supplier],"not found")</f>
        <v>George-Morales</v>
      </c>
      <c r="L1900" s="1" t="s">
        <v>2267</v>
      </c>
      <c r="M19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45285</v>
      </c>
      <c r="N1900">
        <v>7</v>
      </c>
      <c r="O1900">
        <v>1049.93</v>
      </c>
      <c r="P1900">
        <f>tblOrders[[#This Row],[Quantity]]*tblOrders[[#This Row],[Unit Price]]</f>
        <v>1049.93</v>
      </c>
      <c r="Q1900">
        <f>tblOrders[[#This Row],[TotalSales]]-tblOrders[[#This Row],[Calculated Sales]]</f>
        <v>0</v>
      </c>
    </row>
    <row r="1901" spans="1:17" x14ac:dyDescent="0.25">
      <c r="A1901">
        <v>1309</v>
      </c>
      <c r="B1901">
        <v>455</v>
      </c>
      <c r="C1901" t="str">
        <f>_xlfn.XLOOKUP(tblOrders[[#This Row],[CustomerID]],tblCustomers[CustomerID],tblCustomers[CustomerName],"not found")</f>
        <v>Melvin Glover</v>
      </c>
      <c r="D1901">
        <f>_xlfn.XLOOKUP(tblOrders[[#This Row],[CustomerID]],tblCustomers[CustomerID],tblCustomers[Age],"not found")</f>
        <v>31</v>
      </c>
      <c r="E1901" t="str">
        <f>_xlfn.XLOOKUP(tblOrders[[#This Row],[CustomerID]],tblCustomers[CustomerID],tblCustomers[Gender],"not found")</f>
        <v>Male</v>
      </c>
      <c r="F1901" t="str">
        <f>_xlfn.XLOOKUP(tblOrders[[#This Row],[CustomerID]],tblCustomers[CustomerID],tblCustomers[Region],"not found")</f>
        <v>Central</v>
      </c>
      <c r="G1901">
        <v>1058</v>
      </c>
      <c r="H1901" t="str">
        <f>_xlfn.XLOOKUP(tblOrders[[#This Row],[ProductID]],tblProducts[ProductID],tblProducts[ProductName],"not found")</f>
        <v>Against</v>
      </c>
      <c r="I1901" t="str">
        <f>_xlfn.XLOOKUP(tblOrders[[#This Row],[ProductID]],tblProducts[ProductID],tblProducts[Category],"not found")</f>
        <v>Apparel</v>
      </c>
      <c r="J1901">
        <f>_xlfn.XLOOKUP(tblOrders[[#This Row],[ProductID]],tblProducts[ProductID],tblProducts[UnitPrice],"not found")</f>
        <v>149.99</v>
      </c>
      <c r="K1901" t="str">
        <f>_xlfn.XLOOKUP(tblOrders[[#This Row],[ProductID]],tblProducts[ProductID],tblProducts[Supplier],"not found")</f>
        <v>George-Morales</v>
      </c>
      <c r="L1901" s="1" t="s">
        <v>2298</v>
      </c>
      <c r="M19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45550</v>
      </c>
      <c r="N1901">
        <v>7</v>
      </c>
      <c r="O1901">
        <v>1049.93</v>
      </c>
      <c r="P1901">
        <f>tblOrders[[#This Row],[Quantity]]*tblOrders[[#This Row],[Unit Price]]</f>
        <v>1049.93</v>
      </c>
      <c r="Q1901">
        <f>tblOrders[[#This Row],[TotalSales]]-tblOrders[[#This Row],[Calculated Sales]]</f>
        <v>0</v>
      </c>
    </row>
    <row r="1902" spans="1:17" x14ac:dyDescent="0.25">
      <c r="A1902">
        <v>1492</v>
      </c>
      <c r="B1902">
        <v>216</v>
      </c>
      <c r="C1902" t="str">
        <f>_xlfn.XLOOKUP(tblOrders[[#This Row],[CustomerID]],tblCustomers[CustomerID],tblCustomers[CustomerName],"not found")</f>
        <v>Kayla Cox</v>
      </c>
      <c r="D1902">
        <f>_xlfn.XLOOKUP(tblOrders[[#This Row],[CustomerID]],tblCustomers[CustomerID],tblCustomers[Age],"not found")</f>
        <v>48</v>
      </c>
      <c r="E1902" t="str">
        <f>_xlfn.XLOOKUP(tblOrders[[#This Row],[CustomerID]],tblCustomers[CustomerID],tblCustomers[Gender],"not found")</f>
        <v>Female</v>
      </c>
      <c r="F1902" t="str">
        <f>_xlfn.XLOOKUP(tblOrders[[#This Row],[CustomerID]],tblCustomers[CustomerID],tblCustomers[Region],"not found")</f>
        <v>Central</v>
      </c>
      <c r="G1902">
        <v>1058</v>
      </c>
      <c r="H1902" t="str">
        <f>_xlfn.XLOOKUP(tblOrders[[#This Row],[ProductID]],tblProducts[ProductID],tblProducts[ProductName],"not found")</f>
        <v>Against</v>
      </c>
      <c r="I1902" t="str">
        <f>_xlfn.XLOOKUP(tblOrders[[#This Row],[ProductID]],tblProducts[ProductID],tblProducts[Category],"not found")</f>
        <v>Apparel</v>
      </c>
      <c r="J1902">
        <f>_xlfn.XLOOKUP(tblOrders[[#This Row],[ProductID]],tblProducts[ProductID],tblProducts[UnitPrice],"not found")</f>
        <v>149.99</v>
      </c>
      <c r="K1902" t="str">
        <f>_xlfn.XLOOKUP(tblOrders[[#This Row],[ProductID]],tblProducts[ProductID],tblProducts[Supplier],"not found")</f>
        <v>George-Morales</v>
      </c>
      <c r="L1902" s="1" t="s">
        <v>2337</v>
      </c>
      <c r="M190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44880</v>
      </c>
      <c r="N1902">
        <v>4</v>
      </c>
      <c r="O1902">
        <v>599.96</v>
      </c>
      <c r="P1902">
        <f>tblOrders[[#This Row],[Quantity]]*tblOrders[[#This Row],[Unit Price]]</f>
        <v>599.96</v>
      </c>
      <c r="Q1902">
        <f>tblOrders[[#This Row],[TotalSales]]-tblOrders[[#This Row],[Calculated Sales]]</f>
        <v>0</v>
      </c>
    </row>
    <row r="1903" spans="1:17" x14ac:dyDescent="0.25">
      <c r="A1903">
        <v>1531</v>
      </c>
      <c r="B1903">
        <v>572</v>
      </c>
      <c r="C1903" t="str">
        <f>_xlfn.XLOOKUP(tblOrders[[#This Row],[CustomerID]],tblCustomers[CustomerID],tblCustomers[CustomerName],"not found")</f>
        <v>Christopher Rogers</v>
      </c>
      <c r="D1903">
        <f>_xlfn.XLOOKUP(tblOrders[[#This Row],[CustomerID]],tblCustomers[CustomerID],tblCustomers[Age],"not found")</f>
        <v>53</v>
      </c>
      <c r="E1903" t="str">
        <f>_xlfn.XLOOKUP(tblOrders[[#This Row],[CustomerID]],tblCustomers[CustomerID],tblCustomers[Gender],"not found")</f>
        <v>Female</v>
      </c>
      <c r="F1903" t="str">
        <f>_xlfn.XLOOKUP(tblOrders[[#This Row],[CustomerID]],tblCustomers[CustomerID],tblCustomers[Region],"not found")</f>
        <v>East</v>
      </c>
      <c r="G1903">
        <v>1058</v>
      </c>
      <c r="H1903" t="str">
        <f>_xlfn.XLOOKUP(tblOrders[[#This Row],[ProductID]],tblProducts[ProductID],tblProducts[ProductName],"not found")</f>
        <v>Against</v>
      </c>
      <c r="I1903" t="str">
        <f>_xlfn.XLOOKUP(tblOrders[[#This Row],[ProductID]],tblProducts[ProductID],tblProducts[Category],"not found")</f>
        <v>Apparel</v>
      </c>
      <c r="J1903">
        <f>_xlfn.XLOOKUP(tblOrders[[#This Row],[ProductID]],tblProducts[ProductID],tblProducts[UnitPrice],"not found")</f>
        <v>149.99</v>
      </c>
      <c r="K1903" t="str">
        <f>_xlfn.XLOOKUP(tblOrders[[#This Row],[ProductID]],tblProducts[ProductID],tblProducts[Supplier],"not found")</f>
        <v>George-Morales</v>
      </c>
      <c r="L1903" s="1" t="s">
        <v>2364</v>
      </c>
      <c r="M190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45038</v>
      </c>
      <c r="N1903">
        <v>1</v>
      </c>
      <c r="O1903">
        <v>149.99</v>
      </c>
      <c r="P1903">
        <f>tblOrders[[#This Row],[Quantity]]*tblOrders[[#This Row],[Unit Price]]</f>
        <v>149.99</v>
      </c>
      <c r="Q1903">
        <f>tblOrders[[#This Row],[TotalSales]]-tblOrders[[#This Row],[Calculated Sales]]</f>
        <v>0</v>
      </c>
    </row>
    <row r="1904" spans="1:17" x14ac:dyDescent="0.25">
      <c r="A1904">
        <v>1537</v>
      </c>
      <c r="B1904">
        <v>606</v>
      </c>
      <c r="C1904" t="str">
        <f>_xlfn.XLOOKUP(tblOrders[[#This Row],[CustomerID]],tblCustomers[CustomerID],tblCustomers[CustomerName],"not found")</f>
        <v>Allen Lee</v>
      </c>
      <c r="D1904">
        <f>_xlfn.XLOOKUP(tblOrders[[#This Row],[CustomerID]],tblCustomers[CustomerID],tblCustomers[Age],"not found")</f>
        <v>53</v>
      </c>
      <c r="E1904" t="str">
        <f>_xlfn.XLOOKUP(tblOrders[[#This Row],[CustomerID]],tblCustomers[CustomerID],tblCustomers[Gender],"not found")</f>
        <v>Male</v>
      </c>
      <c r="F1904" t="str">
        <f>_xlfn.XLOOKUP(tblOrders[[#This Row],[CustomerID]],tblCustomers[CustomerID],tblCustomers[Region],"not found")</f>
        <v>West</v>
      </c>
      <c r="G1904">
        <v>1058</v>
      </c>
      <c r="H1904" t="str">
        <f>_xlfn.XLOOKUP(tblOrders[[#This Row],[ProductID]],tblProducts[ProductID],tblProducts[ProductName],"not found")</f>
        <v>Against</v>
      </c>
      <c r="I1904" t="str">
        <f>_xlfn.XLOOKUP(tblOrders[[#This Row],[ProductID]],tblProducts[ProductID],tblProducts[Category],"not found")</f>
        <v>Apparel</v>
      </c>
      <c r="J1904">
        <f>_xlfn.XLOOKUP(tblOrders[[#This Row],[ProductID]],tblProducts[ProductID],tblProducts[UnitPrice],"not found")</f>
        <v>149.99</v>
      </c>
      <c r="K1904" t="str">
        <f>_xlfn.XLOOKUP(tblOrders[[#This Row],[ProductID]],tblProducts[ProductID],tblProducts[Supplier],"not found")</f>
        <v>George-Morales</v>
      </c>
      <c r="L1904" s="1" t="s">
        <v>2085</v>
      </c>
      <c r="M190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45530</v>
      </c>
      <c r="N1904">
        <v>6</v>
      </c>
      <c r="O1904">
        <v>899.94</v>
      </c>
      <c r="P1904">
        <f>tblOrders[[#This Row],[Quantity]]*tblOrders[[#This Row],[Unit Price]]</f>
        <v>899.94</v>
      </c>
      <c r="Q1904">
        <f>tblOrders[[#This Row],[TotalSales]]-tblOrders[[#This Row],[Calculated Sales]]</f>
        <v>0</v>
      </c>
    </row>
    <row r="1905" spans="1:17" x14ac:dyDescent="0.25">
      <c r="A1905">
        <v>1666</v>
      </c>
      <c r="B1905">
        <v>798</v>
      </c>
      <c r="C1905" t="str">
        <f>_xlfn.XLOOKUP(tblOrders[[#This Row],[CustomerID]],tblCustomers[CustomerID],tblCustomers[CustomerName],"not found")</f>
        <v>Joshua Stanton</v>
      </c>
      <c r="D1905">
        <f>_xlfn.XLOOKUP(tblOrders[[#This Row],[CustomerID]],tblCustomers[CustomerID],tblCustomers[Age],"not found")</f>
        <v>21</v>
      </c>
      <c r="E1905" t="str">
        <f>_xlfn.XLOOKUP(tblOrders[[#This Row],[CustomerID]],tblCustomers[CustomerID],tblCustomers[Gender],"not found")</f>
        <v>Female</v>
      </c>
      <c r="F1905" t="str">
        <f>_xlfn.XLOOKUP(tblOrders[[#This Row],[CustomerID]],tblCustomers[CustomerID],tblCustomers[Region],"not found")</f>
        <v>South</v>
      </c>
      <c r="G1905">
        <v>1058</v>
      </c>
      <c r="H1905" t="str">
        <f>_xlfn.XLOOKUP(tblOrders[[#This Row],[ProductID]],tblProducts[ProductID],tblProducts[ProductName],"not found")</f>
        <v>Against</v>
      </c>
      <c r="I1905" t="str">
        <f>_xlfn.XLOOKUP(tblOrders[[#This Row],[ProductID]],tblProducts[ProductID],tblProducts[Category],"not found")</f>
        <v>Apparel</v>
      </c>
      <c r="J1905">
        <f>_xlfn.XLOOKUP(tblOrders[[#This Row],[ProductID]],tblProducts[ProductID],tblProducts[UnitPrice],"not found")</f>
        <v>149.99</v>
      </c>
      <c r="K1905" t="str">
        <f>_xlfn.XLOOKUP(tblOrders[[#This Row],[ProductID]],tblProducts[ProductID],tblProducts[Supplier],"not found")</f>
        <v>George-Morales</v>
      </c>
      <c r="L1905" s="1">
        <v>44753</v>
      </c>
      <c r="M190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44753</v>
      </c>
      <c r="N1905">
        <v>2</v>
      </c>
      <c r="O1905">
        <v>299.98</v>
      </c>
      <c r="P1905">
        <f>tblOrders[[#This Row],[Quantity]]*tblOrders[[#This Row],[Unit Price]]</f>
        <v>299.98</v>
      </c>
      <c r="Q1905">
        <f>tblOrders[[#This Row],[TotalSales]]-tblOrders[[#This Row],[Calculated Sales]]</f>
        <v>0</v>
      </c>
    </row>
    <row r="1906" spans="1:17" x14ac:dyDescent="0.25">
      <c r="A1906">
        <v>1911</v>
      </c>
      <c r="B1906">
        <v>64</v>
      </c>
      <c r="C1906" t="str">
        <f>_xlfn.XLOOKUP(tblOrders[[#This Row],[CustomerID]],tblCustomers[CustomerID],tblCustomers[CustomerName],"not found")</f>
        <v>Edward Hill</v>
      </c>
      <c r="D1906">
        <f>_xlfn.XLOOKUP(tblOrders[[#This Row],[CustomerID]],tblCustomers[CustomerID],tblCustomers[Age],"not found")</f>
        <v>49</v>
      </c>
      <c r="E1906" t="str">
        <f>_xlfn.XLOOKUP(tblOrders[[#This Row],[CustomerID]],tblCustomers[CustomerID],tblCustomers[Gender],"not found")</f>
        <v>Male</v>
      </c>
      <c r="F1906" t="str">
        <f>_xlfn.XLOOKUP(tblOrders[[#This Row],[CustomerID]],tblCustomers[CustomerID],tblCustomers[Region],"not found")</f>
        <v>West</v>
      </c>
      <c r="G1906">
        <v>1058</v>
      </c>
      <c r="H1906" t="str">
        <f>_xlfn.XLOOKUP(tblOrders[[#This Row],[ProductID]],tblProducts[ProductID],tblProducts[ProductName],"not found")</f>
        <v>Against</v>
      </c>
      <c r="I1906" t="str">
        <f>_xlfn.XLOOKUP(tblOrders[[#This Row],[ProductID]],tblProducts[ProductID],tblProducts[Category],"not found")</f>
        <v>Apparel</v>
      </c>
      <c r="J1906">
        <f>_xlfn.XLOOKUP(tblOrders[[#This Row],[ProductID]],tblProducts[ProductID],tblProducts[UnitPrice],"not found")</f>
        <v>149.99</v>
      </c>
      <c r="K1906" t="str">
        <f>_xlfn.XLOOKUP(tblOrders[[#This Row],[ProductID]],tblProducts[ProductID],tblProducts[Supplier],"not found")</f>
        <v>George-Morales</v>
      </c>
      <c r="L1906" s="1" t="s">
        <v>2172</v>
      </c>
      <c r="M190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45378</v>
      </c>
      <c r="N1906">
        <v>5</v>
      </c>
      <c r="O1906">
        <v>749.95</v>
      </c>
      <c r="P1906">
        <f>tblOrders[[#This Row],[Quantity]]*tblOrders[[#This Row],[Unit Price]]</f>
        <v>749.95</v>
      </c>
      <c r="Q1906">
        <f>tblOrders[[#This Row],[TotalSales]]-tblOrders[[#This Row],[Calculated Sales]]</f>
        <v>0</v>
      </c>
    </row>
    <row r="1907" spans="1:17" x14ac:dyDescent="0.25">
      <c r="A1907">
        <v>1937</v>
      </c>
      <c r="B1907">
        <v>409</v>
      </c>
      <c r="C1907" t="str">
        <f>_xlfn.XLOOKUP(tblOrders[[#This Row],[CustomerID]],tblCustomers[CustomerID],tblCustomers[CustomerName],"not found")</f>
        <v>Brian Higgins</v>
      </c>
      <c r="D1907">
        <f>_xlfn.XLOOKUP(tblOrders[[#This Row],[CustomerID]],tblCustomers[CustomerID],tblCustomers[Age],"not found")</f>
        <v>48</v>
      </c>
      <c r="E1907" t="str">
        <f>_xlfn.XLOOKUP(tblOrders[[#This Row],[CustomerID]],tblCustomers[CustomerID],tblCustomers[Gender],"not found")</f>
        <v>Male</v>
      </c>
      <c r="F1907" t="str">
        <f>_xlfn.XLOOKUP(tblOrders[[#This Row],[CustomerID]],tblCustomers[CustomerID],tblCustomers[Region],"not found")</f>
        <v>South</v>
      </c>
      <c r="G1907">
        <v>1058</v>
      </c>
      <c r="H1907" t="str">
        <f>_xlfn.XLOOKUP(tblOrders[[#This Row],[ProductID]],tblProducts[ProductID],tblProducts[ProductName],"not found")</f>
        <v>Against</v>
      </c>
      <c r="I1907" t="str">
        <f>_xlfn.XLOOKUP(tblOrders[[#This Row],[ProductID]],tblProducts[ProductID],tblProducts[Category],"not found")</f>
        <v>Apparel</v>
      </c>
      <c r="J1907">
        <f>_xlfn.XLOOKUP(tblOrders[[#This Row],[ProductID]],tblProducts[ProductID],tblProducts[UnitPrice],"not found")</f>
        <v>149.99</v>
      </c>
      <c r="K1907" t="str">
        <f>_xlfn.XLOOKUP(tblOrders[[#This Row],[ProductID]],tblProducts[ProductID],tblProducts[Supplier],"not found")</f>
        <v>George-Morales</v>
      </c>
      <c r="L1907" s="1">
        <v>45149</v>
      </c>
      <c r="M190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45149</v>
      </c>
      <c r="N1907">
        <v>8</v>
      </c>
      <c r="O1907">
        <v>1199.92</v>
      </c>
      <c r="P1907">
        <f>tblOrders[[#This Row],[Quantity]]*tblOrders[[#This Row],[Unit Price]]</f>
        <v>1199.92</v>
      </c>
      <c r="Q1907">
        <f>tblOrders[[#This Row],[TotalSales]]-tblOrders[[#This Row],[Calculated Sales]]</f>
        <v>0</v>
      </c>
    </row>
    <row r="1908" spans="1:17" x14ac:dyDescent="0.25">
      <c r="A1908">
        <v>335</v>
      </c>
      <c r="B1908">
        <v>935</v>
      </c>
      <c r="C1908" t="str">
        <f>_xlfn.XLOOKUP(tblOrders[[#This Row],[CustomerID]],tblCustomers[CustomerID],tblCustomers[CustomerName],"not found")</f>
        <v>Pamela Snyder</v>
      </c>
      <c r="D1908">
        <f>_xlfn.XLOOKUP(tblOrders[[#This Row],[CustomerID]],tblCustomers[CustomerID],tblCustomers[Age],"not found")</f>
        <v>39</v>
      </c>
      <c r="E1908" t="str">
        <f>_xlfn.XLOOKUP(tblOrders[[#This Row],[CustomerID]],tblCustomers[CustomerID],tblCustomers[Gender],"not found")</f>
        <v>Male</v>
      </c>
      <c r="F1908" t="str">
        <f>_xlfn.XLOOKUP(tblOrders[[#This Row],[CustomerID]],tblCustomers[CustomerID],tblCustomers[Region],"not found")</f>
        <v>Central</v>
      </c>
      <c r="G1908">
        <v>1076</v>
      </c>
      <c r="H1908" t="str">
        <f>_xlfn.XLOOKUP(tblOrders[[#This Row],[ProductID]],tblProducts[ProductID],tblProducts[ProductName],"not found")</f>
        <v>Boy</v>
      </c>
      <c r="I1908" t="str">
        <f>_xlfn.XLOOKUP(tblOrders[[#This Row],[ProductID]],tblProducts[ProductID],tblProducts[Category],"not found")</f>
        <v>Furniture</v>
      </c>
      <c r="J1908">
        <f>_xlfn.XLOOKUP(tblOrders[[#This Row],[ProductID]],tblProducts[ProductID],tblProducts[UnitPrice],"not found")</f>
        <v>290.18</v>
      </c>
      <c r="K1908" t="str">
        <f>_xlfn.XLOOKUP(tblOrders[[#This Row],[ProductID]],tblProducts[ProductID],tblProducts[Supplier],"not found")</f>
        <v>Guerra Ltd</v>
      </c>
      <c r="L1908" s="1" t="s">
        <v>2086</v>
      </c>
      <c r="M190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45486</v>
      </c>
      <c r="N1908">
        <v>7</v>
      </c>
      <c r="O1908">
        <v>2031.26</v>
      </c>
      <c r="P1908">
        <f>tblOrders[[#This Row],[Quantity]]*tblOrders[[#This Row],[Unit Price]]</f>
        <v>2031.26</v>
      </c>
      <c r="Q1908">
        <f>tblOrders[[#This Row],[TotalSales]]-tblOrders[[#This Row],[Calculated Sales]]</f>
        <v>0</v>
      </c>
    </row>
    <row r="1909" spans="1:17" x14ac:dyDescent="0.25">
      <c r="A1909">
        <v>372</v>
      </c>
      <c r="B1909">
        <v>957</v>
      </c>
      <c r="C1909" t="str">
        <f>_xlfn.XLOOKUP(tblOrders[[#This Row],[CustomerID]],tblCustomers[CustomerID],tblCustomers[CustomerName],"not found")</f>
        <v>Martha Miller</v>
      </c>
      <c r="D1909">
        <f>_xlfn.XLOOKUP(tblOrders[[#This Row],[CustomerID]],tblCustomers[CustomerID],tblCustomers[Age],"not found")</f>
        <v>59</v>
      </c>
      <c r="E1909" t="str">
        <f>_xlfn.XLOOKUP(tblOrders[[#This Row],[CustomerID]],tblCustomers[CustomerID],tblCustomers[Gender],"not found")</f>
        <v>Male</v>
      </c>
      <c r="F1909" t="str">
        <f>_xlfn.XLOOKUP(tblOrders[[#This Row],[CustomerID]],tblCustomers[CustomerID],tblCustomers[Region],"not found")</f>
        <v>North</v>
      </c>
      <c r="G1909">
        <v>1076</v>
      </c>
      <c r="H1909" t="str">
        <f>_xlfn.XLOOKUP(tblOrders[[#This Row],[ProductID]],tblProducts[ProductID],tblProducts[ProductName],"not found")</f>
        <v>Boy</v>
      </c>
      <c r="I1909" t="str">
        <f>_xlfn.XLOOKUP(tblOrders[[#This Row],[ProductID]],tblProducts[ProductID],tblProducts[Category],"not found")</f>
        <v>Furniture</v>
      </c>
      <c r="J1909">
        <f>_xlfn.XLOOKUP(tblOrders[[#This Row],[ProductID]],tblProducts[ProductID],tblProducts[UnitPrice],"not found")</f>
        <v>290.18</v>
      </c>
      <c r="K1909" t="str">
        <f>_xlfn.XLOOKUP(tblOrders[[#This Row],[ProductID]],tblProducts[ProductID],tblProducts[Supplier],"not found")</f>
        <v>Guerra Ltd</v>
      </c>
      <c r="L1909" s="1" t="s">
        <v>2358</v>
      </c>
      <c r="M190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44943</v>
      </c>
      <c r="N1909">
        <v>9</v>
      </c>
      <c r="O1909">
        <v>2611.62</v>
      </c>
      <c r="P1909">
        <f>tblOrders[[#This Row],[Quantity]]*tblOrders[[#This Row],[Unit Price]]</f>
        <v>2611.62</v>
      </c>
      <c r="Q1909">
        <f>tblOrders[[#This Row],[TotalSales]]-tblOrders[[#This Row],[Calculated Sales]]</f>
        <v>0</v>
      </c>
    </row>
    <row r="1910" spans="1:17" x14ac:dyDescent="0.25">
      <c r="A1910">
        <v>488</v>
      </c>
      <c r="B1910">
        <v>820</v>
      </c>
      <c r="C1910" t="str">
        <f>_xlfn.XLOOKUP(tblOrders[[#This Row],[CustomerID]],tblCustomers[CustomerID],tblCustomers[CustomerName],"not found")</f>
        <v>Roberta Jones</v>
      </c>
      <c r="D1910">
        <f>_xlfn.XLOOKUP(tblOrders[[#This Row],[CustomerID]],tblCustomers[CustomerID],tblCustomers[Age],"not found")</f>
        <v>38</v>
      </c>
      <c r="E1910" t="str">
        <f>_xlfn.XLOOKUP(tblOrders[[#This Row],[CustomerID]],tblCustomers[CustomerID],tblCustomers[Gender],"not found")</f>
        <v>Male</v>
      </c>
      <c r="F1910" t="str">
        <f>_xlfn.XLOOKUP(tblOrders[[#This Row],[CustomerID]],tblCustomers[CustomerID],tblCustomers[Region],"not found")</f>
        <v>Central</v>
      </c>
      <c r="G1910">
        <v>1076</v>
      </c>
      <c r="H1910" t="str">
        <f>_xlfn.XLOOKUP(tblOrders[[#This Row],[ProductID]],tblProducts[ProductID],tblProducts[ProductName],"not found")</f>
        <v>Boy</v>
      </c>
      <c r="I1910" t="str">
        <f>_xlfn.XLOOKUP(tblOrders[[#This Row],[ProductID]],tblProducts[ProductID],tblProducts[Category],"not found")</f>
        <v>Furniture</v>
      </c>
      <c r="J1910">
        <f>_xlfn.XLOOKUP(tblOrders[[#This Row],[ProductID]],tblProducts[ProductID],tblProducts[UnitPrice],"not found")</f>
        <v>290.18</v>
      </c>
      <c r="K1910" t="str">
        <f>_xlfn.XLOOKUP(tblOrders[[#This Row],[ProductID]],tblProducts[ProductID],tblProducts[Supplier],"not found")</f>
        <v>Guerra Ltd</v>
      </c>
      <c r="L1910" s="1">
        <v>45539</v>
      </c>
      <c r="M191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45539</v>
      </c>
      <c r="N1910">
        <v>4</v>
      </c>
      <c r="O1910">
        <v>1160.72</v>
      </c>
      <c r="P1910">
        <f>tblOrders[[#This Row],[Quantity]]*tblOrders[[#This Row],[Unit Price]]</f>
        <v>1160.72</v>
      </c>
      <c r="Q1910">
        <f>tblOrders[[#This Row],[TotalSales]]-tblOrders[[#This Row],[Calculated Sales]]</f>
        <v>0</v>
      </c>
    </row>
    <row r="1911" spans="1:17" x14ac:dyDescent="0.25">
      <c r="A1911">
        <v>793</v>
      </c>
      <c r="B1911">
        <v>582</v>
      </c>
      <c r="C1911" t="str">
        <f>_xlfn.XLOOKUP(tblOrders[[#This Row],[CustomerID]],tblCustomers[CustomerID],tblCustomers[CustomerName],"not found")</f>
        <v>Holly Brandt</v>
      </c>
      <c r="D1911">
        <f>_xlfn.XLOOKUP(tblOrders[[#This Row],[CustomerID]],tblCustomers[CustomerID],tblCustomers[Age],"not found")</f>
        <v>51</v>
      </c>
      <c r="E1911" t="str">
        <f>_xlfn.XLOOKUP(tblOrders[[#This Row],[CustomerID]],tblCustomers[CustomerID],tblCustomers[Gender],"not found")</f>
        <v>Male</v>
      </c>
      <c r="F1911" t="str">
        <f>_xlfn.XLOOKUP(tblOrders[[#This Row],[CustomerID]],tblCustomers[CustomerID],tblCustomers[Region],"not found")</f>
        <v>East</v>
      </c>
      <c r="G1911">
        <v>1076</v>
      </c>
      <c r="H1911" t="str">
        <f>_xlfn.XLOOKUP(tblOrders[[#This Row],[ProductID]],tblProducts[ProductID],tblProducts[ProductName],"not found")</f>
        <v>Boy</v>
      </c>
      <c r="I1911" t="str">
        <f>_xlfn.XLOOKUP(tblOrders[[#This Row],[ProductID]],tblProducts[ProductID],tblProducts[Category],"not found")</f>
        <v>Furniture</v>
      </c>
      <c r="J1911">
        <f>_xlfn.XLOOKUP(tblOrders[[#This Row],[ProductID]],tblProducts[ProductID],tblProducts[UnitPrice],"not found")</f>
        <v>290.18</v>
      </c>
      <c r="K1911" t="str">
        <f>_xlfn.XLOOKUP(tblOrders[[#This Row],[ProductID]],tblProducts[ProductID],tblProducts[Supplier],"not found")</f>
        <v>Guerra Ltd</v>
      </c>
      <c r="L1911" s="1">
        <v>44990</v>
      </c>
      <c r="M191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44990</v>
      </c>
      <c r="N1911">
        <v>7</v>
      </c>
      <c r="O1911">
        <v>2031.26</v>
      </c>
      <c r="P1911">
        <f>tblOrders[[#This Row],[Quantity]]*tblOrders[[#This Row],[Unit Price]]</f>
        <v>2031.26</v>
      </c>
      <c r="Q1911">
        <f>tblOrders[[#This Row],[TotalSales]]-tblOrders[[#This Row],[Calculated Sales]]</f>
        <v>0</v>
      </c>
    </row>
    <row r="1912" spans="1:17" x14ac:dyDescent="0.25">
      <c r="A1912">
        <v>924</v>
      </c>
      <c r="B1912">
        <v>660</v>
      </c>
      <c r="C1912" t="str">
        <f>_xlfn.XLOOKUP(tblOrders[[#This Row],[CustomerID]],tblCustomers[CustomerID],tblCustomers[CustomerName],"not found")</f>
        <v>David Salinas</v>
      </c>
      <c r="D1912">
        <f>_xlfn.XLOOKUP(tblOrders[[#This Row],[CustomerID]],tblCustomers[CustomerID],tblCustomers[Age],"not found")</f>
        <v>68</v>
      </c>
      <c r="E1912" t="str">
        <f>_xlfn.XLOOKUP(tblOrders[[#This Row],[CustomerID]],tblCustomers[CustomerID],tblCustomers[Gender],"not found")</f>
        <v>Female</v>
      </c>
      <c r="F1912" t="str">
        <f>_xlfn.XLOOKUP(tblOrders[[#This Row],[CustomerID]],tblCustomers[CustomerID],tblCustomers[Region],"not found")</f>
        <v>North</v>
      </c>
      <c r="G1912">
        <v>1076</v>
      </c>
      <c r="H1912" t="str">
        <f>_xlfn.XLOOKUP(tblOrders[[#This Row],[ProductID]],tblProducts[ProductID],tblProducts[ProductName],"not found")</f>
        <v>Boy</v>
      </c>
      <c r="I1912" t="str">
        <f>_xlfn.XLOOKUP(tblOrders[[#This Row],[ProductID]],tblProducts[ProductID],tblProducts[Category],"not found")</f>
        <v>Furniture</v>
      </c>
      <c r="J1912">
        <f>_xlfn.XLOOKUP(tblOrders[[#This Row],[ProductID]],tblProducts[ProductID],tblProducts[UnitPrice],"not found")</f>
        <v>290.18</v>
      </c>
      <c r="K1912" t="str">
        <f>_xlfn.XLOOKUP(tblOrders[[#This Row],[ProductID]],tblProducts[ProductID],tblProducts[Supplier],"not found")</f>
        <v>Guerra Ltd</v>
      </c>
      <c r="L1912" s="1">
        <v>45201</v>
      </c>
      <c r="M191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45201</v>
      </c>
      <c r="N1912">
        <v>2</v>
      </c>
      <c r="O1912">
        <v>580.36</v>
      </c>
      <c r="P1912">
        <f>tblOrders[[#This Row],[Quantity]]*tblOrders[[#This Row],[Unit Price]]</f>
        <v>580.36</v>
      </c>
      <c r="Q1912">
        <f>tblOrders[[#This Row],[TotalSales]]-tblOrders[[#This Row],[Calculated Sales]]</f>
        <v>0</v>
      </c>
    </row>
    <row r="1913" spans="1:17" x14ac:dyDescent="0.25">
      <c r="A1913">
        <v>935</v>
      </c>
      <c r="B1913">
        <v>745</v>
      </c>
      <c r="C1913" t="str">
        <f>_xlfn.XLOOKUP(tblOrders[[#This Row],[CustomerID]],tblCustomers[CustomerID],tblCustomers[CustomerName],"not found")</f>
        <v>Nathaniel Willis</v>
      </c>
      <c r="D1913">
        <f>_xlfn.XLOOKUP(tblOrders[[#This Row],[CustomerID]],tblCustomers[CustomerID],tblCustomers[Age],"not found")</f>
        <v>51</v>
      </c>
      <c r="E1913" t="str">
        <f>_xlfn.XLOOKUP(tblOrders[[#This Row],[CustomerID]],tblCustomers[CustomerID],tblCustomers[Gender],"not found")</f>
        <v>Male</v>
      </c>
      <c r="F1913" t="str">
        <f>_xlfn.XLOOKUP(tblOrders[[#This Row],[CustomerID]],tblCustomers[CustomerID],tblCustomers[Region],"not found")</f>
        <v>North</v>
      </c>
      <c r="G1913">
        <v>1076</v>
      </c>
      <c r="H1913" t="str">
        <f>_xlfn.XLOOKUP(tblOrders[[#This Row],[ProductID]],tblProducts[ProductID],tblProducts[ProductName],"not found")</f>
        <v>Boy</v>
      </c>
      <c r="I1913" t="str">
        <f>_xlfn.XLOOKUP(tblOrders[[#This Row],[ProductID]],tblProducts[ProductID],tblProducts[Category],"not found")</f>
        <v>Furniture</v>
      </c>
      <c r="J1913">
        <f>_xlfn.XLOOKUP(tblOrders[[#This Row],[ProductID]],tblProducts[ProductID],tblProducts[UnitPrice],"not found")</f>
        <v>290.18</v>
      </c>
      <c r="K1913" t="str">
        <f>_xlfn.XLOOKUP(tblOrders[[#This Row],[ProductID]],tblProducts[ProductID],tblProducts[Supplier],"not found")</f>
        <v>Guerra Ltd</v>
      </c>
      <c r="L1913" s="1">
        <v>45629</v>
      </c>
      <c r="M191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45629</v>
      </c>
      <c r="N1913">
        <v>3</v>
      </c>
      <c r="O1913">
        <v>870.54</v>
      </c>
      <c r="P1913">
        <f>tblOrders[[#This Row],[Quantity]]*tblOrders[[#This Row],[Unit Price]]</f>
        <v>870.54</v>
      </c>
      <c r="Q1913">
        <f>tblOrders[[#This Row],[TotalSales]]-tblOrders[[#This Row],[Calculated Sales]]</f>
        <v>0</v>
      </c>
    </row>
    <row r="1914" spans="1:17" x14ac:dyDescent="0.25">
      <c r="A1914">
        <v>986</v>
      </c>
      <c r="B1914">
        <v>752</v>
      </c>
      <c r="C1914" t="str">
        <f>_xlfn.XLOOKUP(tblOrders[[#This Row],[CustomerID]],tblCustomers[CustomerID],tblCustomers[CustomerName],"not found")</f>
        <v>Nicole Wiggins</v>
      </c>
      <c r="D1914">
        <f>_xlfn.XLOOKUP(tblOrders[[#This Row],[CustomerID]],tblCustomers[CustomerID],tblCustomers[Age],"not found")</f>
        <v>45</v>
      </c>
      <c r="E1914" t="str">
        <f>_xlfn.XLOOKUP(tblOrders[[#This Row],[CustomerID]],tblCustomers[CustomerID],tblCustomers[Gender],"not found")</f>
        <v>Female</v>
      </c>
      <c r="F1914" t="str">
        <f>_xlfn.XLOOKUP(tblOrders[[#This Row],[CustomerID]],tblCustomers[CustomerID],tblCustomers[Region],"not found")</f>
        <v>Central</v>
      </c>
      <c r="G1914">
        <v>1076</v>
      </c>
      <c r="H1914" t="str">
        <f>_xlfn.XLOOKUP(tblOrders[[#This Row],[ProductID]],tblProducts[ProductID],tblProducts[ProductName],"not found")</f>
        <v>Boy</v>
      </c>
      <c r="I1914" t="str">
        <f>_xlfn.XLOOKUP(tblOrders[[#This Row],[ProductID]],tblProducts[ProductID],tblProducts[Category],"not found")</f>
        <v>Furniture</v>
      </c>
      <c r="J1914">
        <f>_xlfn.XLOOKUP(tblOrders[[#This Row],[ProductID]],tblProducts[ProductID],tblProducts[UnitPrice],"not found")</f>
        <v>290.18</v>
      </c>
      <c r="K1914" t="str">
        <f>_xlfn.XLOOKUP(tblOrders[[#This Row],[ProductID]],tblProducts[ProductID],tblProducts[Supplier],"not found")</f>
        <v>Guerra Ltd</v>
      </c>
      <c r="L1914" s="1" t="s">
        <v>2094</v>
      </c>
      <c r="M191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45214</v>
      </c>
      <c r="N1914">
        <v>9</v>
      </c>
      <c r="O1914">
        <v>2611.62</v>
      </c>
      <c r="P1914">
        <f>tblOrders[[#This Row],[Quantity]]*tblOrders[[#This Row],[Unit Price]]</f>
        <v>2611.62</v>
      </c>
      <c r="Q1914">
        <f>tblOrders[[#This Row],[TotalSales]]-tblOrders[[#This Row],[Calculated Sales]]</f>
        <v>0</v>
      </c>
    </row>
    <row r="1915" spans="1:17" x14ac:dyDescent="0.25">
      <c r="A1915">
        <v>1037</v>
      </c>
      <c r="B1915">
        <v>710</v>
      </c>
      <c r="C1915" t="str">
        <f>_xlfn.XLOOKUP(tblOrders[[#This Row],[CustomerID]],tblCustomers[CustomerID],tblCustomers[CustomerName],"not found")</f>
        <v>Clinton Smith</v>
      </c>
      <c r="D1915">
        <f>_xlfn.XLOOKUP(tblOrders[[#This Row],[CustomerID]],tblCustomers[CustomerID],tblCustomers[Age],"not found")</f>
        <v>40</v>
      </c>
      <c r="E1915" t="str">
        <f>_xlfn.XLOOKUP(tblOrders[[#This Row],[CustomerID]],tblCustomers[CustomerID],tblCustomers[Gender],"not found")</f>
        <v>Female</v>
      </c>
      <c r="F1915" t="str">
        <f>_xlfn.XLOOKUP(tblOrders[[#This Row],[CustomerID]],tblCustomers[CustomerID],tblCustomers[Region],"not found")</f>
        <v>North</v>
      </c>
      <c r="G1915">
        <v>1076</v>
      </c>
      <c r="H1915" t="str">
        <f>_xlfn.XLOOKUP(tblOrders[[#This Row],[ProductID]],tblProducts[ProductID],tblProducts[ProductName],"not found")</f>
        <v>Boy</v>
      </c>
      <c r="I1915" t="str">
        <f>_xlfn.XLOOKUP(tblOrders[[#This Row],[ProductID]],tblProducts[ProductID],tblProducts[Category],"not found")</f>
        <v>Furniture</v>
      </c>
      <c r="J1915">
        <f>_xlfn.XLOOKUP(tblOrders[[#This Row],[ProductID]],tblProducts[ProductID],tblProducts[UnitPrice],"not found")</f>
        <v>290.18</v>
      </c>
      <c r="K1915" t="str">
        <f>_xlfn.XLOOKUP(tblOrders[[#This Row],[ProductID]],tblProducts[ProductID],tblProducts[Supplier],"not found")</f>
        <v>Guerra Ltd</v>
      </c>
      <c r="L1915" s="1" t="s">
        <v>2188</v>
      </c>
      <c r="M191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45243</v>
      </c>
      <c r="N1915">
        <v>2</v>
      </c>
      <c r="O1915">
        <v>580.36</v>
      </c>
      <c r="P1915">
        <f>tblOrders[[#This Row],[Quantity]]*tblOrders[[#This Row],[Unit Price]]</f>
        <v>580.36</v>
      </c>
      <c r="Q1915">
        <f>tblOrders[[#This Row],[TotalSales]]-tblOrders[[#This Row],[Calculated Sales]]</f>
        <v>0</v>
      </c>
    </row>
    <row r="1916" spans="1:17" x14ac:dyDescent="0.25">
      <c r="A1916">
        <v>1126</v>
      </c>
      <c r="B1916">
        <v>232</v>
      </c>
      <c r="C1916" t="str">
        <f>_xlfn.XLOOKUP(tblOrders[[#This Row],[CustomerID]],tblCustomers[CustomerID],tblCustomers[CustomerName],"not found")</f>
        <v>Benjamin Snyder</v>
      </c>
      <c r="D1916">
        <f>_xlfn.XLOOKUP(tblOrders[[#This Row],[CustomerID]],tblCustomers[CustomerID],tblCustomers[Age],"not found")</f>
        <v>67</v>
      </c>
      <c r="E1916" t="str">
        <f>_xlfn.XLOOKUP(tblOrders[[#This Row],[CustomerID]],tblCustomers[CustomerID],tblCustomers[Gender],"not found")</f>
        <v>Female</v>
      </c>
      <c r="F1916" t="str">
        <f>_xlfn.XLOOKUP(tblOrders[[#This Row],[CustomerID]],tblCustomers[CustomerID],tblCustomers[Region],"not found")</f>
        <v>East</v>
      </c>
      <c r="G1916">
        <v>1076</v>
      </c>
      <c r="H1916" t="str">
        <f>_xlfn.XLOOKUP(tblOrders[[#This Row],[ProductID]],tblProducts[ProductID],tblProducts[ProductName],"not found")</f>
        <v>Boy</v>
      </c>
      <c r="I1916" t="str">
        <f>_xlfn.XLOOKUP(tblOrders[[#This Row],[ProductID]],tblProducts[ProductID],tblProducts[Category],"not found")</f>
        <v>Furniture</v>
      </c>
      <c r="J1916">
        <f>_xlfn.XLOOKUP(tblOrders[[#This Row],[ProductID]],tblProducts[ProductID],tblProducts[UnitPrice],"not found")</f>
        <v>290.18</v>
      </c>
      <c r="K1916" t="str">
        <f>_xlfn.XLOOKUP(tblOrders[[#This Row],[ProductID]],tblProducts[ProductID],tblProducts[Supplier],"not found")</f>
        <v>Guerra Ltd</v>
      </c>
      <c r="L1916" s="1" t="s">
        <v>2106</v>
      </c>
      <c r="M191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45186</v>
      </c>
      <c r="N1916">
        <v>9</v>
      </c>
      <c r="O1916">
        <v>2611.62</v>
      </c>
      <c r="P1916">
        <f>tblOrders[[#This Row],[Quantity]]*tblOrders[[#This Row],[Unit Price]]</f>
        <v>2611.62</v>
      </c>
      <c r="Q1916">
        <f>tblOrders[[#This Row],[TotalSales]]-tblOrders[[#This Row],[Calculated Sales]]</f>
        <v>0</v>
      </c>
    </row>
    <row r="1917" spans="1:17" x14ac:dyDescent="0.25">
      <c r="A1917">
        <v>1242</v>
      </c>
      <c r="B1917">
        <v>131</v>
      </c>
      <c r="C1917" t="str">
        <f>_xlfn.XLOOKUP(tblOrders[[#This Row],[CustomerID]],tblCustomers[CustomerID],tblCustomers[CustomerName],"not found")</f>
        <v>David Newton</v>
      </c>
      <c r="D1917">
        <f>_xlfn.XLOOKUP(tblOrders[[#This Row],[CustomerID]],tblCustomers[CustomerID],tblCustomers[Age],"not found")</f>
        <v>58</v>
      </c>
      <c r="E1917" t="str">
        <f>_xlfn.XLOOKUP(tblOrders[[#This Row],[CustomerID]],tblCustomers[CustomerID],tblCustomers[Gender],"not found")</f>
        <v>Female</v>
      </c>
      <c r="F1917" t="str">
        <f>_xlfn.XLOOKUP(tblOrders[[#This Row],[CustomerID]],tblCustomers[CustomerID],tblCustomers[Region],"not found")</f>
        <v>South</v>
      </c>
      <c r="G1917">
        <v>1076</v>
      </c>
      <c r="H1917" t="str">
        <f>_xlfn.XLOOKUP(tblOrders[[#This Row],[ProductID]],tblProducts[ProductID],tblProducts[ProductName],"not found")</f>
        <v>Boy</v>
      </c>
      <c r="I1917" t="str">
        <f>_xlfn.XLOOKUP(tblOrders[[#This Row],[ProductID]],tblProducts[ProductID],tblProducts[Category],"not found")</f>
        <v>Furniture</v>
      </c>
      <c r="J1917">
        <f>_xlfn.XLOOKUP(tblOrders[[#This Row],[ProductID]],tblProducts[ProductID],tblProducts[UnitPrice],"not found")</f>
        <v>290.18</v>
      </c>
      <c r="K1917" t="str">
        <f>_xlfn.XLOOKUP(tblOrders[[#This Row],[ProductID]],tblProducts[ProductID],tblProducts[Supplier],"not found")</f>
        <v>Guerra Ltd</v>
      </c>
      <c r="L1917" s="1" t="s">
        <v>2364</v>
      </c>
      <c r="M191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45038</v>
      </c>
      <c r="N1917">
        <v>3</v>
      </c>
      <c r="O1917">
        <v>870.54</v>
      </c>
      <c r="P1917">
        <f>tblOrders[[#This Row],[Quantity]]*tblOrders[[#This Row],[Unit Price]]</f>
        <v>870.54</v>
      </c>
      <c r="Q1917">
        <f>tblOrders[[#This Row],[TotalSales]]-tblOrders[[#This Row],[Calculated Sales]]</f>
        <v>0</v>
      </c>
    </row>
    <row r="1918" spans="1:17" x14ac:dyDescent="0.25">
      <c r="A1918">
        <v>1294</v>
      </c>
      <c r="B1918">
        <v>500</v>
      </c>
      <c r="C1918" t="str">
        <f>_xlfn.XLOOKUP(tblOrders[[#This Row],[CustomerID]],tblCustomers[CustomerID],tblCustomers[CustomerName],"not found")</f>
        <v>Lisa Wiggins</v>
      </c>
      <c r="D1918">
        <f>_xlfn.XLOOKUP(tblOrders[[#This Row],[CustomerID]],tblCustomers[CustomerID],tblCustomers[Age],"not found")</f>
        <v>39</v>
      </c>
      <c r="E1918" t="str">
        <f>_xlfn.XLOOKUP(tblOrders[[#This Row],[CustomerID]],tblCustomers[CustomerID],tblCustomers[Gender],"not found")</f>
        <v>Female</v>
      </c>
      <c r="F1918" t="str">
        <f>_xlfn.XLOOKUP(tblOrders[[#This Row],[CustomerID]],tblCustomers[CustomerID],tblCustomers[Region],"not found")</f>
        <v>South</v>
      </c>
      <c r="G1918">
        <v>1076</v>
      </c>
      <c r="H1918" t="str">
        <f>_xlfn.XLOOKUP(tblOrders[[#This Row],[ProductID]],tblProducts[ProductID],tblProducts[ProductName],"not found")</f>
        <v>Boy</v>
      </c>
      <c r="I1918" t="str">
        <f>_xlfn.XLOOKUP(tblOrders[[#This Row],[ProductID]],tblProducts[ProductID],tblProducts[Category],"not found")</f>
        <v>Furniture</v>
      </c>
      <c r="J1918">
        <f>_xlfn.XLOOKUP(tblOrders[[#This Row],[ProductID]],tblProducts[ProductID],tblProducts[UnitPrice],"not found")</f>
        <v>290.18</v>
      </c>
      <c r="K1918" t="str">
        <f>_xlfn.XLOOKUP(tblOrders[[#This Row],[ProductID]],tblProducts[ProductID],tblProducts[Supplier],"not found")</f>
        <v>Guerra Ltd</v>
      </c>
      <c r="L1918" s="1">
        <v>44876</v>
      </c>
      <c r="M191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44876</v>
      </c>
      <c r="N1918">
        <v>9</v>
      </c>
      <c r="O1918">
        <v>2611.62</v>
      </c>
      <c r="P1918">
        <f>tblOrders[[#This Row],[Quantity]]*tblOrders[[#This Row],[Unit Price]]</f>
        <v>2611.62</v>
      </c>
      <c r="Q1918">
        <f>tblOrders[[#This Row],[TotalSales]]-tblOrders[[#This Row],[Calculated Sales]]</f>
        <v>0</v>
      </c>
    </row>
    <row r="1919" spans="1:17" x14ac:dyDescent="0.25">
      <c r="A1919">
        <v>1325</v>
      </c>
      <c r="B1919">
        <v>98</v>
      </c>
      <c r="C1919" t="str">
        <f>_xlfn.XLOOKUP(tblOrders[[#This Row],[CustomerID]],tblCustomers[CustomerID],tblCustomers[CustomerName],"not found")</f>
        <v>Jason Brown</v>
      </c>
      <c r="D1919">
        <f>_xlfn.XLOOKUP(tblOrders[[#This Row],[CustomerID]],tblCustomers[CustomerID],tblCustomers[Age],"not found")</f>
        <v>46</v>
      </c>
      <c r="E1919" t="str">
        <f>_xlfn.XLOOKUP(tblOrders[[#This Row],[CustomerID]],tblCustomers[CustomerID],tblCustomers[Gender],"not found")</f>
        <v>Male</v>
      </c>
      <c r="F1919" t="str">
        <f>_xlfn.XLOOKUP(tblOrders[[#This Row],[CustomerID]],tblCustomers[CustomerID],tblCustomers[Region],"not found")</f>
        <v>Central</v>
      </c>
      <c r="G1919">
        <v>1076</v>
      </c>
      <c r="H1919" t="str">
        <f>_xlfn.XLOOKUP(tblOrders[[#This Row],[ProductID]],tblProducts[ProductID],tblProducts[ProductName],"not found")</f>
        <v>Boy</v>
      </c>
      <c r="I1919" t="str">
        <f>_xlfn.XLOOKUP(tblOrders[[#This Row],[ProductID]],tblProducts[ProductID],tblProducts[Category],"not found")</f>
        <v>Furniture</v>
      </c>
      <c r="J1919">
        <f>_xlfn.XLOOKUP(tblOrders[[#This Row],[ProductID]],tblProducts[ProductID],tblProducts[UnitPrice],"not found")</f>
        <v>290.18</v>
      </c>
      <c r="K1919" t="str">
        <f>_xlfn.XLOOKUP(tblOrders[[#This Row],[ProductID]],tblProducts[ProductID],tblProducts[Supplier],"not found")</f>
        <v>Guerra Ltd</v>
      </c>
      <c r="L1919" s="1" t="s">
        <v>2019</v>
      </c>
      <c r="M191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45559</v>
      </c>
      <c r="N1919">
        <v>6</v>
      </c>
      <c r="O1919">
        <v>1741.08</v>
      </c>
      <c r="P1919">
        <f>tblOrders[[#This Row],[Quantity]]*tblOrders[[#This Row],[Unit Price]]</f>
        <v>1741.08</v>
      </c>
      <c r="Q1919">
        <f>tblOrders[[#This Row],[TotalSales]]-tblOrders[[#This Row],[Calculated Sales]]</f>
        <v>0</v>
      </c>
    </row>
    <row r="1920" spans="1:17" x14ac:dyDescent="0.25">
      <c r="A1920">
        <v>1404</v>
      </c>
      <c r="B1920">
        <v>165</v>
      </c>
      <c r="C1920" t="str">
        <f>_xlfn.XLOOKUP(tblOrders[[#This Row],[CustomerID]],tblCustomers[CustomerID],tblCustomers[CustomerName],"not found")</f>
        <v>Nicole Hurley</v>
      </c>
      <c r="D1920">
        <f>_xlfn.XLOOKUP(tblOrders[[#This Row],[CustomerID]],tblCustomers[CustomerID],tblCustomers[Age],"not found")</f>
        <v>32</v>
      </c>
      <c r="E1920" t="str">
        <f>_xlfn.XLOOKUP(tblOrders[[#This Row],[CustomerID]],tblCustomers[CustomerID],tblCustomers[Gender],"not found")</f>
        <v>Female</v>
      </c>
      <c r="F1920" t="str">
        <f>_xlfn.XLOOKUP(tblOrders[[#This Row],[CustomerID]],tblCustomers[CustomerID],tblCustomers[Region],"not found")</f>
        <v>South</v>
      </c>
      <c r="G1920">
        <v>1076</v>
      </c>
      <c r="H1920" t="str">
        <f>_xlfn.XLOOKUP(tblOrders[[#This Row],[ProductID]],tblProducts[ProductID],tblProducts[ProductName],"not found")</f>
        <v>Boy</v>
      </c>
      <c r="I1920" t="str">
        <f>_xlfn.XLOOKUP(tblOrders[[#This Row],[ProductID]],tblProducts[ProductID],tblProducts[Category],"not found")</f>
        <v>Furniture</v>
      </c>
      <c r="J1920">
        <f>_xlfn.XLOOKUP(tblOrders[[#This Row],[ProductID]],tblProducts[ProductID],tblProducts[UnitPrice],"not found")</f>
        <v>290.18</v>
      </c>
      <c r="K1920" t="str">
        <f>_xlfn.XLOOKUP(tblOrders[[#This Row],[ProductID]],tblProducts[ProductID],tblProducts[Supplier],"not found")</f>
        <v>Guerra Ltd</v>
      </c>
      <c r="L1920" s="1" t="s">
        <v>2254</v>
      </c>
      <c r="M192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45579</v>
      </c>
      <c r="N1920">
        <v>9</v>
      </c>
      <c r="O1920">
        <v>2611.62</v>
      </c>
      <c r="P1920">
        <f>tblOrders[[#This Row],[Quantity]]*tblOrders[[#This Row],[Unit Price]]</f>
        <v>2611.62</v>
      </c>
      <c r="Q1920">
        <f>tblOrders[[#This Row],[TotalSales]]-tblOrders[[#This Row],[Calculated Sales]]</f>
        <v>0</v>
      </c>
    </row>
    <row r="1921" spans="1:17" x14ac:dyDescent="0.25">
      <c r="A1921">
        <v>1514</v>
      </c>
      <c r="B1921">
        <v>781</v>
      </c>
      <c r="C1921" t="str">
        <f>_xlfn.XLOOKUP(tblOrders[[#This Row],[CustomerID]],tblCustomers[CustomerID],tblCustomers[CustomerName],"not found")</f>
        <v>Jennifer Allen</v>
      </c>
      <c r="D1921">
        <f>_xlfn.XLOOKUP(tblOrders[[#This Row],[CustomerID]],tblCustomers[CustomerID],tblCustomers[Age],"not found")</f>
        <v>20</v>
      </c>
      <c r="E1921" t="str">
        <f>_xlfn.XLOOKUP(tblOrders[[#This Row],[CustomerID]],tblCustomers[CustomerID],tblCustomers[Gender],"not found")</f>
        <v>Female</v>
      </c>
      <c r="F1921" t="str">
        <f>_xlfn.XLOOKUP(tblOrders[[#This Row],[CustomerID]],tblCustomers[CustomerID],tblCustomers[Region],"not found")</f>
        <v>North</v>
      </c>
      <c r="G1921">
        <v>1076</v>
      </c>
      <c r="H1921" t="str">
        <f>_xlfn.XLOOKUP(tblOrders[[#This Row],[ProductID]],tblProducts[ProductID],tblProducts[ProductName],"not found")</f>
        <v>Boy</v>
      </c>
      <c r="I1921" t="str">
        <f>_xlfn.XLOOKUP(tblOrders[[#This Row],[ProductID]],tblProducts[ProductID],tblProducts[Category],"not found")</f>
        <v>Furniture</v>
      </c>
      <c r="J1921">
        <f>_xlfn.XLOOKUP(tblOrders[[#This Row],[ProductID]],tblProducts[ProductID],tblProducts[UnitPrice],"not found")</f>
        <v>290.18</v>
      </c>
      <c r="K1921" t="str">
        <f>_xlfn.XLOOKUP(tblOrders[[#This Row],[ProductID]],tblProducts[ProductID],tblProducts[Supplier],"not found")</f>
        <v>Guerra Ltd</v>
      </c>
      <c r="L1921" s="1" t="s">
        <v>2152</v>
      </c>
      <c r="M192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45314</v>
      </c>
      <c r="N1921">
        <v>7</v>
      </c>
      <c r="O1921">
        <v>2031.26</v>
      </c>
      <c r="P1921">
        <f>tblOrders[[#This Row],[Quantity]]*tblOrders[[#This Row],[Unit Price]]</f>
        <v>2031.26</v>
      </c>
      <c r="Q1921">
        <f>tblOrders[[#This Row],[TotalSales]]-tblOrders[[#This Row],[Calculated Sales]]</f>
        <v>0</v>
      </c>
    </row>
    <row r="1922" spans="1:17" x14ac:dyDescent="0.25">
      <c r="A1922">
        <v>1766</v>
      </c>
      <c r="B1922">
        <v>652</v>
      </c>
      <c r="C1922" t="str">
        <f>_xlfn.XLOOKUP(tblOrders[[#This Row],[CustomerID]],tblCustomers[CustomerID],tblCustomers[CustomerName],"not found")</f>
        <v>Chad Ward</v>
      </c>
      <c r="D1922">
        <f>_xlfn.XLOOKUP(tblOrders[[#This Row],[CustomerID]],tblCustomers[CustomerID],tblCustomers[Age],"not found")</f>
        <v>67</v>
      </c>
      <c r="E1922" t="str">
        <f>_xlfn.XLOOKUP(tblOrders[[#This Row],[CustomerID]],tblCustomers[CustomerID],tblCustomers[Gender],"not found")</f>
        <v>Female</v>
      </c>
      <c r="F1922" t="str">
        <f>_xlfn.XLOOKUP(tblOrders[[#This Row],[CustomerID]],tblCustomers[CustomerID],tblCustomers[Region],"not found")</f>
        <v>Central</v>
      </c>
      <c r="G1922">
        <v>1076</v>
      </c>
      <c r="H1922" t="str">
        <f>_xlfn.XLOOKUP(tblOrders[[#This Row],[ProductID]],tblProducts[ProductID],tblProducts[ProductName],"not found")</f>
        <v>Boy</v>
      </c>
      <c r="I1922" t="str">
        <f>_xlfn.XLOOKUP(tblOrders[[#This Row],[ProductID]],tblProducts[ProductID],tblProducts[Category],"not found")</f>
        <v>Furniture</v>
      </c>
      <c r="J1922">
        <f>_xlfn.XLOOKUP(tblOrders[[#This Row],[ProductID]],tblProducts[ProductID],tblProducts[UnitPrice],"not found")</f>
        <v>290.18</v>
      </c>
      <c r="K1922" t="str">
        <f>_xlfn.XLOOKUP(tblOrders[[#This Row],[ProductID]],tblProducts[ProductID],tblProducts[Supplier],"not found")</f>
        <v>Guerra Ltd</v>
      </c>
      <c r="L1922" s="1" t="s">
        <v>2056</v>
      </c>
      <c r="M192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45345</v>
      </c>
      <c r="N1922">
        <v>2</v>
      </c>
      <c r="O1922">
        <v>580.36</v>
      </c>
      <c r="P1922">
        <f>tblOrders[[#This Row],[Quantity]]*tblOrders[[#This Row],[Unit Price]]</f>
        <v>580.36</v>
      </c>
      <c r="Q1922">
        <f>tblOrders[[#This Row],[TotalSales]]-tblOrders[[#This Row],[Calculated Sales]]</f>
        <v>0</v>
      </c>
    </row>
    <row r="1923" spans="1:17" x14ac:dyDescent="0.25">
      <c r="A1923">
        <v>1881</v>
      </c>
      <c r="B1923">
        <v>137</v>
      </c>
      <c r="C1923" t="str">
        <f>_xlfn.XLOOKUP(tblOrders[[#This Row],[CustomerID]],tblCustomers[CustomerID],tblCustomers[CustomerName],"not found")</f>
        <v>Joseph Patel</v>
      </c>
      <c r="D1923">
        <f>_xlfn.XLOOKUP(tblOrders[[#This Row],[CustomerID]],tblCustomers[CustomerID],tblCustomers[Age],"not found")</f>
        <v>48</v>
      </c>
      <c r="E1923" t="str">
        <f>_xlfn.XLOOKUP(tblOrders[[#This Row],[CustomerID]],tblCustomers[CustomerID],tblCustomers[Gender],"not found")</f>
        <v>Female</v>
      </c>
      <c r="F1923" t="str">
        <f>_xlfn.XLOOKUP(tblOrders[[#This Row],[CustomerID]],tblCustomers[CustomerID],tblCustomers[Region],"not found")</f>
        <v>North</v>
      </c>
      <c r="G1923">
        <v>1076</v>
      </c>
      <c r="H1923" t="str">
        <f>_xlfn.XLOOKUP(tblOrders[[#This Row],[ProductID]],tblProducts[ProductID],tblProducts[ProductName],"not found")</f>
        <v>Boy</v>
      </c>
      <c r="I1923" t="str">
        <f>_xlfn.XLOOKUP(tblOrders[[#This Row],[ProductID]],tblProducts[ProductID],tblProducts[Category],"not found")</f>
        <v>Furniture</v>
      </c>
      <c r="J1923">
        <f>_xlfn.XLOOKUP(tblOrders[[#This Row],[ProductID]],tblProducts[ProductID],tblProducts[UnitPrice],"not found")</f>
        <v>290.18</v>
      </c>
      <c r="K1923" t="str">
        <f>_xlfn.XLOOKUP(tblOrders[[#This Row],[ProductID]],tblProducts[ProductID],tblProducts[Supplier],"not found")</f>
        <v>Guerra Ltd</v>
      </c>
      <c r="L1923" s="1" t="s">
        <v>2395</v>
      </c>
      <c r="M192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45525</v>
      </c>
      <c r="N1923">
        <v>4</v>
      </c>
      <c r="O1923">
        <v>1160.72</v>
      </c>
      <c r="P1923">
        <f>tblOrders[[#This Row],[Quantity]]*tblOrders[[#This Row],[Unit Price]]</f>
        <v>1160.72</v>
      </c>
      <c r="Q1923">
        <f>tblOrders[[#This Row],[TotalSales]]-tblOrders[[#This Row],[Calculated Sales]]</f>
        <v>0</v>
      </c>
    </row>
    <row r="1924" spans="1:17" x14ac:dyDescent="0.25">
      <c r="A1924">
        <v>1950</v>
      </c>
      <c r="B1924">
        <v>71</v>
      </c>
      <c r="C1924" t="str">
        <f>_xlfn.XLOOKUP(tblOrders[[#This Row],[CustomerID]],tblCustomers[CustomerID],tblCustomers[CustomerName],"not found")</f>
        <v>Karen Acevedo</v>
      </c>
      <c r="D1924">
        <f>_xlfn.XLOOKUP(tblOrders[[#This Row],[CustomerID]],tblCustomers[CustomerID],tblCustomers[Age],"not found")</f>
        <v>25</v>
      </c>
      <c r="E1924" t="str">
        <f>_xlfn.XLOOKUP(tblOrders[[#This Row],[CustomerID]],tblCustomers[CustomerID],tblCustomers[Gender],"not found")</f>
        <v>Female</v>
      </c>
      <c r="F1924" t="str">
        <f>_xlfn.XLOOKUP(tblOrders[[#This Row],[CustomerID]],tblCustomers[CustomerID],tblCustomers[Region],"not found")</f>
        <v>West</v>
      </c>
      <c r="G1924">
        <v>1076</v>
      </c>
      <c r="H1924" t="str">
        <f>_xlfn.XLOOKUP(tblOrders[[#This Row],[ProductID]],tblProducts[ProductID],tblProducts[ProductName],"not found")</f>
        <v>Boy</v>
      </c>
      <c r="I1924" t="str">
        <f>_xlfn.XLOOKUP(tblOrders[[#This Row],[ProductID]],tblProducts[ProductID],tblProducts[Category],"not found")</f>
        <v>Furniture</v>
      </c>
      <c r="J1924">
        <f>_xlfn.XLOOKUP(tblOrders[[#This Row],[ProductID]],tblProducts[ProductID],tblProducts[UnitPrice],"not found")</f>
        <v>290.18</v>
      </c>
      <c r="K1924" t="str">
        <f>_xlfn.XLOOKUP(tblOrders[[#This Row],[ProductID]],tblProducts[ProductID],tblProducts[Supplier],"not found")</f>
        <v>Guerra Ltd</v>
      </c>
      <c r="L1924" s="1">
        <v>45050</v>
      </c>
      <c r="M192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45050</v>
      </c>
      <c r="N1924">
        <v>9</v>
      </c>
      <c r="O1924">
        <v>2611.62</v>
      </c>
      <c r="P1924">
        <f>tblOrders[[#This Row],[Quantity]]*tblOrders[[#This Row],[Unit Price]]</f>
        <v>2611.62</v>
      </c>
      <c r="Q1924">
        <f>tblOrders[[#This Row],[TotalSales]]-tblOrders[[#This Row],[Calculated Sales]]</f>
        <v>0</v>
      </c>
    </row>
    <row r="1925" spans="1:17" x14ac:dyDescent="0.25">
      <c r="A1925">
        <v>348</v>
      </c>
      <c r="B1925">
        <v>174</v>
      </c>
      <c r="C1925" t="str">
        <f>_xlfn.XLOOKUP(tblOrders[[#This Row],[CustomerID]],tblCustomers[CustomerID],tblCustomers[CustomerName],"not found")</f>
        <v>Mary Ross</v>
      </c>
      <c r="D1925">
        <f>_xlfn.XLOOKUP(tblOrders[[#This Row],[CustomerID]],tblCustomers[CustomerID],tblCustomers[Age],"not found")</f>
        <v>35</v>
      </c>
      <c r="E1925" t="str">
        <f>_xlfn.XLOOKUP(tblOrders[[#This Row],[CustomerID]],tblCustomers[CustomerID],tblCustomers[Gender],"not found")</f>
        <v>Female</v>
      </c>
      <c r="F1925" t="str">
        <f>_xlfn.XLOOKUP(tblOrders[[#This Row],[CustomerID]],tblCustomers[CustomerID],tblCustomers[Region],"not found")</f>
        <v>West</v>
      </c>
      <c r="G1925">
        <v>1069</v>
      </c>
      <c r="H1925" t="str">
        <f>_xlfn.XLOOKUP(tblOrders[[#This Row],[ProductID]],tblProducts[ProductID],tblProducts[ProductName],"not found")</f>
        <v>Trade</v>
      </c>
      <c r="I1925" t="str">
        <f>_xlfn.XLOOKUP(tblOrders[[#This Row],[ProductID]],tblProducts[ProductID],tblProducts[Category],"not found")</f>
        <v>Electronics</v>
      </c>
      <c r="J1925">
        <f>_xlfn.XLOOKUP(tblOrders[[#This Row],[ProductID]],tblProducts[ProductID],tblProducts[UnitPrice],"not found")</f>
        <v>448.29</v>
      </c>
      <c r="K1925" t="str">
        <f>_xlfn.XLOOKUP(tblOrders[[#This Row],[ProductID]],tblProducts[ProductID],tblProducts[Supplier],"not found")</f>
        <v>Anderson, Williams and Reese</v>
      </c>
      <c r="L1925" s="1">
        <v>45207</v>
      </c>
      <c r="M192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45207</v>
      </c>
      <c r="N1925">
        <v>6</v>
      </c>
      <c r="O1925">
        <v>2689.74</v>
      </c>
      <c r="P1925">
        <f>tblOrders[[#This Row],[Quantity]]*tblOrders[[#This Row],[Unit Price]]</f>
        <v>2689.7400000000002</v>
      </c>
      <c r="Q1925">
        <f>tblOrders[[#This Row],[TotalSales]]-tblOrders[[#This Row],[Calculated Sales]]</f>
        <v>0</v>
      </c>
    </row>
    <row r="1926" spans="1:17" x14ac:dyDescent="0.25">
      <c r="A1926">
        <v>360</v>
      </c>
      <c r="B1926">
        <v>860</v>
      </c>
      <c r="C1926" t="str">
        <f>_xlfn.XLOOKUP(tblOrders[[#This Row],[CustomerID]],tblCustomers[CustomerID],tblCustomers[CustomerName],"not found")</f>
        <v>Michael Evans</v>
      </c>
      <c r="D1926">
        <f>_xlfn.XLOOKUP(tblOrders[[#This Row],[CustomerID]],tblCustomers[CustomerID],tblCustomers[Age],"not found")</f>
        <v>40</v>
      </c>
      <c r="E1926" t="str">
        <f>_xlfn.XLOOKUP(tblOrders[[#This Row],[CustomerID]],tblCustomers[CustomerID],tblCustomers[Gender],"not found")</f>
        <v>Male</v>
      </c>
      <c r="F1926" t="str">
        <f>_xlfn.XLOOKUP(tblOrders[[#This Row],[CustomerID]],tblCustomers[CustomerID],tblCustomers[Region],"not found")</f>
        <v>West</v>
      </c>
      <c r="G1926">
        <v>1069</v>
      </c>
      <c r="H1926" t="str">
        <f>_xlfn.XLOOKUP(tblOrders[[#This Row],[ProductID]],tblProducts[ProductID],tblProducts[ProductName],"not found")</f>
        <v>Trade</v>
      </c>
      <c r="I1926" t="str">
        <f>_xlfn.XLOOKUP(tblOrders[[#This Row],[ProductID]],tblProducts[ProductID],tblProducts[Category],"not found")</f>
        <v>Electronics</v>
      </c>
      <c r="J1926">
        <f>_xlfn.XLOOKUP(tblOrders[[#This Row],[ProductID]],tblProducts[ProductID],tblProducts[UnitPrice],"not found")</f>
        <v>448.29</v>
      </c>
      <c r="K1926" t="str">
        <f>_xlfn.XLOOKUP(tblOrders[[#This Row],[ProductID]],tblProducts[ProductID],tblProducts[Supplier],"not found")</f>
        <v>Anderson, Williams and Reese</v>
      </c>
      <c r="L1926" s="1">
        <v>45416</v>
      </c>
      <c r="M192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45416</v>
      </c>
      <c r="N1926">
        <v>3</v>
      </c>
      <c r="O1926">
        <v>1344.87</v>
      </c>
      <c r="P1926">
        <f>tblOrders[[#This Row],[Quantity]]*tblOrders[[#This Row],[Unit Price]]</f>
        <v>1344.8700000000001</v>
      </c>
      <c r="Q1926">
        <f>tblOrders[[#This Row],[TotalSales]]-tblOrders[[#This Row],[Calculated Sales]]</f>
        <v>0</v>
      </c>
    </row>
    <row r="1927" spans="1:17" x14ac:dyDescent="0.25">
      <c r="A1927">
        <v>370</v>
      </c>
      <c r="B1927">
        <v>627</v>
      </c>
      <c r="C1927" t="str">
        <f>_xlfn.XLOOKUP(tblOrders[[#This Row],[CustomerID]],tblCustomers[CustomerID],tblCustomers[CustomerName],"not found")</f>
        <v>Kimberly Roberson</v>
      </c>
      <c r="D1927">
        <f>_xlfn.XLOOKUP(tblOrders[[#This Row],[CustomerID]],tblCustomers[CustomerID],tblCustomers[Age],"not found")</f>
        <v>44</v>
      </c>
      <c r="E1927" t="str">
        <f>_xlfn.XLOOKUP(tblOrders[[#This Row],[CustomerID]],tblCustomers[CustomerID],tblCustomers[Gender],"not found")</f>
        <v>Male</v>
      </c>
      <c r="F1927" t="str">
        <f>_xlfn.XLOOKUP(tblOrders[[#This Row],[CustomerID]],tblCustomers[CustomerID],tblCustomers[Region],"not found")</f>
        <v>West</v>
      </c>
      <c r="G1927">
        <v>1069</v>
      </c>
      <c r="H1927" t="str">
        <f>_xlfn.XLOOKUP(tblOrders[[#This Row],[ProductID]],tblProducts[ProductID],tblProducts[ProductName],"not found")</f>
        <v>Trade</v>
      </c>
      <c r="I1927" t="str">
        <f>_xlfn.XLOOKUP(tblOrders[[#This Row],[ProductID]],tblProducts[ProductID],tblProducts[Category],"not found")</f>
        <v>Electronics</v>
      </c>
      <c r="J1927">
        <f>_xlfn.XLOOKUP(tblOrders[[#This Row],[ProductID]],tblProducts[ProductID],tblProducts[UnitPrice],"not found")</f>
        <v>448.29</v>
      </c>
      <c r="K1927" t="str">
        <f>_xlfn.XLOOKUP(tblOrders[[#This Row],[ProductID]],tblProducts[ProductID],tblProducts[Supplier],"not found")</f>
        <v>Anderson, Williams and Reese</v>
      </c>
      <c r="L1927" s="1" t="s">
        <v>2261</v>
      </c>
      <c r="M192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45126</v>
      </c>
      <c r="N1927">
        <v>7</v>
      </c>
      <c r="O1927">
        <v>3138.03</v>
      </c>
      <c r="P1927">
        <f>tblOrders[[#This Row],[Quantity]]*tblOrders[[#This Row],[Unit Price]]</f>
        <v>3138.03</v>
      </c>
      <c r="Q1927">
        <f>tblOrders[[#This Row],[TotalSales]]-tblOrders[[#This Row],[Calculated Sales]]</f>
        <v>0</v>
      </c>
    </row>
    <row r="1928" spans="1:17" x14ac:dyDescent="0.25">
      <c r="A1928">
        <v>497</v>
      </c>
      <c r="B1928">
        <v>266</v>
      </c>
      <c r="C1928" t="str">
        <f>_xlfn.XLOOKUP(tblOrders[[#This Row],[CustomerID]],tblCustomers[CustomerID],tblCustomers[CustomerName],"not found")</f>
        <v>Debra Marshall</v>
      </c>
      <c r="D1928">
        <f>_xlfn.XLOOKUP(tblOrders[[#This Row],[CustomerID]],tblCustomers[CustomerID],tblCustomers[Age],"not found")</f>
        <v>62</v>
      </c>
      <c r="E1928" t="str">
        <f>_xlfn.XLOOKUP(tblOrders[[#This Row],[CustomerID]],tblCustomers[CustomerID],tblCustomers[Gender],"not found")</f>
        <v>Male</v>
      </c>
      <c r="F1928" t="str">
        <f>_xlfn.XLOOKUP(tblOrders[[#This Row],[CustomerID]],tblCustomers[CustomerID],tblCustomers[Region],"not found")</f>
        <v>East</v>
      </c>
      <c r="G1928">
        <v>1069</v>
      </c>
      <c r="H1928" t="str">
        <f>_xlfn.XLOOKUP(tblOrders[[#This Row],[ProductID]],tblProducts[ProductID],tblProducts[ProductName],"not found")</f>
        <v>Trade</v>
      </c>
      <c r="I1928" t="str">
        <f>_xlfn.XLOOKUP(tblOrders[[#This Row],[ProductID]],tblProducts[ProductID],tblProducts[Category],"not found")</f>
        <v>Electronics</v>
      </c>
      <c r="J1928">
        <f>_xlfn.XLOOKUP(tblOrders[[#This Row],[ProductID]],tblProducts[ProductID],tblProducts[UnitPrice],"not found")</f>
        <v>448.29</v>
      </c>
      <c r="K1928" t="str">
        <f>_xlfn.XLOOKUP(tblOrders[[#This Row],[ProductID]],tblProducts[ProductID],tblProducts[Supplier],"not found")</f>
        <v>Anderson, Williams and Reese</v>
      </c>
      <c r="L1928" s="1">
        <v>45448</v>
      </c>
      <c r="M192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45448</v>
      </c>
      <c r="N1928">
        <v>7</v>
      </c>
      <c r="O1928">
        <v>3138.03</v>
      </c>
      <c r="P1928">
        <f>tblOrders[[#This Row],[Quantity]]*tblOrders[[#This Row],[Unit Price]]</f>
        <v>3138.03</v>
      </c>
      <c r="Q1928">
        <f>tblOrders[[#This Row],[TotalSales]]-tblOrders[[#This Row],[Calculated Sales]]</f>
        <v>0</v>
      </c>
    </row>
    <row r="1929" spans="1:17" x14ac:dyDescent="0.25">
      <c r="A1929">
        <v>555</v>
      </c>
      <c r="B1929">
        <v>905</v>
      </c>
      <c r="C1929" t="str">
        <f>_xlfn.XLOOKUP(tblOrders[[#This Row],[CustomerID]],tblCustomers[CustomerID],tblCustomers[CustomerName],"not found")</f>
        <v>Antonio Brown</v>
      </c>
      <c r="D1929">
        <f>_xlfn.XLOOKUP(tblOrders[[#This Row],[CustomerID]],tblCustomers[CustomerID],tblCustomers[Age],"not found")</f>
        <v>18</v>
      </c>
      <c r="E1929" t="str">
        <f>_xlfn.XLOOKUP(tblOrders[[#This Row],[CustomerID]],tblCustomers[CustomerID],tblCustomers[Gender],"not found")</f>
        <v>Male</v>
      </c>
      <c r="F1929" t="str">
        <f>_xlfn.XLOOKUP(tblOrders[[#This Row],[CustomerID]],tblCustomers[CustomerID],tblCustomers[Region],"not found")</f>
        <v>North</v>
      </c>
      <c r="G1929">
        <v>1069</v>
      </c>
      <c r="H1929" t="str">
        <f>_xlfn.XLOOKUP(tblOrders[[#This Row],[ProductID]],tblProducts[ProductID],tblProducts[ProductName],"not found")</f>
        <v>Trade</v>
      </c>
      <c r="I1929" t="str">
        <f>_xlfn.XLOOKUP(tblOrders[[#This Row],[ProductID]],tblProducts[ProductID],tblProducts[Category],"not found")</f>
        <v>Electronics</v>
      </c>
      <c r="J1929">
        <f>_xlfn.XLOOKUP(tblOrders[[#This Row],[ProductID]],tblProducts[ProductID],tblProducts[UnitPrice],"not found")</f>
        <v>448.29</v>
      </c>
      <c r="K1929" t="str">
        <f>_xlfn.XLOOKUP(tblOrders[[#This Row],[ProductID]],tblProducts[ProductID],tblProducts[Supplier],"not found")</f>
        <v>Anderson, Williams and Reese</v>
      </c>
      <c r="L1929" s="1" t="s">
        <v>2147</v>
      </c>
      <c r="M192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45490</v>
      </c>
      <c r="N1929">
        <v>5</v>
      </c>
      <c r="O1929">
        <v>2241.4499999999998</v>
      </c>
      <c r="P1929">
        <f>tblOrders[[#This Row],[Quantity]]*tblOrders[[#This Row],[Unit Price]]</f>
        <v>2241.4500000000003</v>
      </c>
      <c r="Q1929">
        <f>tblOrders[[#This Row],[TotalSales]]-tblOrders[[#This Row],[Calculated Sales]]</f>
        <v>0</v>
      </c>
    </row>
    <row r="1930" spans="1:17" x14ac:dyDescent="0.25">
      <c r="A1930">
        <v>603</v>
      </c>
      <c r="B1930">
        <v>96</v>
      </c>
      <c r="C1930" t="str">
        <f>_xlfn.XLOOKUP(tblOrders[[#This Row],[CustomerID]],tblCustomers[CustomerID],tblCustomers[CustomerName],"not found")</f>
        <v>Seth Santiago</v>
      </c>
      <c r="D1930">
        <f>_xlfn.XLOOKUP(tblOrders[[#This Row],[CustomerID]],tblCustomers[CustomerID],tblCustomers[Age],"not found")</f>
        <v>28</v>
      </c>
      <c r="E1930" t="str">
        <f>_xlfn.XLOOKUP(tblOrders[[#This Row],[CustomerID]],tblCustomers[CustomerID],tblCustomers[Gender],"not found")</f>
        <v>Female</v>
      </c>
      <c r="F1930" t="str">
        <f>_xlfn.XLOOKUP(tblOrders[[#This Row],[CustomerID]],tblCustomers[CustomerID],tblCustomers[Region],"not found")</f>
        <v>West</v>
      </c>
      <c r="G1930">
        <v>1069</v>
      </c>
      <c r="H1930" t="str">
        <f>_xlfn.XLOOKUP(tblOrders[[#This Row],[ProductID]],tblProducts[ProductID],tblProducts[ProductName],"not found")</f>
        <v>Trade</v>
      </c>
      <c r="I1930" t="str">
        <f>_xlfn.XLOOKUP(tblOrders[[#This Row],[ProductID]],tblProducts[ProductID],tblProducts[Category],"not found")</f>
        <v>Electronics</v>
      </c>
      <c r="J1930">
        <f>_xlfn.XLOOKUP(tblOrders[[#This Row],[ProductID]],tblProducts[ProductID],tblProducts[UnitPrice],"not found")</f>
        <v>448.29</v>
      </c>
      <c r="K1930" t="str">
        <f>_xlfn.XLOOKUP(tblOrders[[#This Row],[ProductID]],tblProducts[ProductID],tblProducts[Supplier],"not found")</f>
        <v>Anderson, Williams and Reese</v>
      </c>
      <c r="L1930" s="1">
        <v>44988</v>
      </c>
      <c r="M193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44988</v>
      </c>
      <c r="N1930">
        <v>5</v>
      </c>
      <c r="O1930">
        <v>2241.4499999999998</v>
      </c>
      <c r="P1930">
        <f>tblOrders[[#This Row],[Quantity]]*tblOrders[[#This Row],[Unit Price]]</f>
        <v>2241.4500000000003</v>
      </c>
      <c r="Q1930">
        <f>tblOrders[[#This Row],[TotalSales]]-tblOrders[[#This Row],[Calculated Sales]]</f>
        <v>0</v>
      </c>
    </row>
    <row r="1931" spans="1:17" x14ac:dyDescent="0.25">
      <c r="A1931">
        <v>680</v>
      </c>
      <c r="B1931">
        <v>658</v>
      </c>
      <c r="C1931" t="str">
        <f>_xlfn.XLOOKUP(tblOrders[[#This Row],[CustomerID]],tblCustomers[CustomerID],tblCustomers[CustomerName],"not found")</f>
        <v>Anne Nolan</v>
      </c>
      <c r="D1931">
        <f>_xlfn.XLOOKUP(tblOrders[[#This Row],[CustomerID]],tblCustomers[CustomerID],tblCustomers[Age],"not found")</f>
        <v>66</v>
      </c>
      <c r="E1931" t="str">
        <f>_xlfn.XLOOKUP(tblOrders[[#This Row],[CustomerID]],tblCustomers[CustomerID],tblCustomers[Gender],"not found")</f>
        <v>Female</v>
      </c>
      <c r="F1931" t="str">
        <f>_xlfn.XLOOKUP(tblOrders[[#This Row],[CustomerID]],tblCustomers[CustomerID],tblCustomers[Region],"not found")</f>
        <v>Central</v>
      </c>
      <c r="G1931">
        <v>1069</v>
      </c>
      <c r="H1931" t="str">
        <f>_xlfn.XLOOKUP(tblOrders[[#This Row],[ProductID]],tblProducts[ProductID],tblProducts[ProductName],"not found")</f>
        <v>Trade</v>
      </c>
      <c r="I1931" t="str">
        <f>_xlfn.XLOOKUP(tblOrders[[#This Row],[ProductID]],tblProducts[ProductID],tblProducts[Category],"not found")</f>
        <v>Electronics</v>
      </c>
      <c r="J1931">
        <f>_xlfn.XLOOKUP(tblOrders[[#This Row],[ProductID]],tblProducts[ProductID],tblProducts[UnitPrice],"not found")</f>
        <v>448.29</v>
      </c>
      <c r="K1931" t="str">
        <f>_xlfn.XLOOKUP(tblOrders[[#This Row],[ProductID]],tblProducts[ProductID],tblProducts[Supplier],"not found")</f>
        <v>Anderson, Williams and Reese</v>
      </c>
      <c r="L1931" s="1" t="s">
        <v>2134</v>
      </c>
      <c r="M193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45131</v>
      </c>
      <c r="N1931">
        <v>2</v>
      </c>
      <c r="O1931">
        <v>896.58</v>
      </c>
      <c r="P1931">
        <f>tblOrders[[#This Row],[Quantity]]*tblOrders[[#This Row],[Unit Price]]</f>
        <v>896.58</v>
      </c>
      <c r="Q1931">
        <f>tblOrders[[#This Row],[TotalSales]]-tblOrders[[#This Row],[Calculated Sales]]</f>
        <v>0</v>
      </c>
    </row>
    <row r="1932" spans="1:17" x14ac:dyDescent="0.25">
      <c r="A1932">
        <v>699</v>
      </c>
      <c r="B1932">
        <v>963</v>
      </c>
      <c r="C1932" t="str">
        <f>_xlfn.XLOOKUP(tblOrders[[#This Row],[CustomerID]],tblCustomers[CustomerID],tblCustomers[CustomerName],"not found")</f>
        <v>Mrs. Lisa Torres</v>
      </c>
      <c r="D1932">
        <f>_xlfn.XLOOKUP(tblOrders[[#This Row],[CustomerID]],tblCustomers[CustomerID],tblCustomers[Age],"not found")</f>
        <v>41</v>
      </c>
      <c r="E1932" t="str">
        <f>_xlfn.XLOOKUP(tblOrders[[#This Row],[CustomerID]],tblCustomers[CustomerID],tblCustomers[Gender],"not found")</f>
        <v>Female</v>
      </c>
      <c r="F1932" t="str">
        <f>_xlfn.XLOOKUP(tblOrders[[#This Row],[CustomerID]],tblCustomers[CustomerID],tblCustomers[Region],"not found")</f>
        <v>South</v>
      </c>
      <c r="G1932">
        <v>1069</v>
      </c>
      <c r="H1932" t="str">
        <f>_xlfn.XLOOKUP(tblOrders[[#This Row],[ProductID]],tblProducts[ProductID],tblProducts[ProductName],"not found")</f>
        <v>Trade</v>
      </c>
      <c r="I1932" t="str">
        <f>_xlfn.XLOOKUP(tblOrders[[#This Row],[ProductID]],tblProducts[ProductID],tblProducts[Category],"not found")</f>
        <v>Electronics</v>
      </c>
      <c r="J1932">
        <f>_xlfn.XLOOKUP(tblOrders[[#This Row],[ProductID]],tblProducts[ProductID],tblProducts[UnitPrice],"not found")</f>
        <v>448.29</v>
      </c>
      <c r="K1932" t="str">
        <f>_xlfn.XLOOKUP(tblOrders[[#This Row],[ProductID]],tblProducts[ProductID],tblProducts[Supplier],"not found")</f>
        <v>Anderson, Williams and Reese</v>
      </c>
      <c r="L1932" s="1">
        <v>45572</v>
      </c>
      <c r="M193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45572</v>
      </c>
      <c r="N1932">
        <v>7</v>
      </c>
      <c r="O1932">
        <v>3138.03</v>
      </c>
      <c r="P1932">
        <f>tblOrders[[#This Row],[Quantity]]*tblOrders[[#This Row],[Unit Price]]</f>
        <v>3138.03</v>
      </c>
      <c r="Q1932">
        <f>tblOrders[[#This Row],[TotalSales]]-tblOrders[[#This Row],[Calculated Sales]]</f>
        <v>0</v>
      </c>
    </row>
    <row r="1933" spans="1:17" x14ac:dyDescent="0.25">
      <c r="A1933">
        <v>853</v>
      </c>
      <c r="B1933">
        <v>180</v>
      </c>
      <c r="C1933" t="str">
        <f>_xlfn.XLOOKUP(tblOrders[[#This Row],[CustomerID]],tblCustomers[CustomerID],tblCustomers[CustomerName],"not found")</f>
        <v>Dr. Mary Larson</v>
      </c>
      <c r="D1933">
        <f>_xlfn.XLOOKUP(tblOrders[[#This Row],[CustomerID]],tblCustomers[CustomerID],tblCustomers[Age],"not found")</f>
        <v>42</v>
      </c>
      <c r="E1933" t="str">
        <f>_xlfn.XLOOKUP(tblOrders[[#This Row],[CustomerID]],tblCustomers[CustomerID],tblCustomers[Gender],"not found")</f>
        <v>Male</v>
      </c>
      <c r="F1933" t="str">
        <f>_xlfn.XLOOKUP(tblOrders[[#This Row],[CustomerID]],tblCustomers[CustomerID],tblCustomers[Region],"not found")</f>
        <v>Central</v>
      </c>
      <c r="G1933">
        <v>1069</v>
      </c>
      <c r="H1933" t="str">
        <f>_xlfn.XLOOKUP(tblOrders[[#This Row],[ProductID]],tblProducts[ProductID],tblProducts[ProductName],"not found")</f>
        <v>Trade</v>
      </c>
      <c r="I1933" t="str">
        <f>_xlfn.XLOOKUP(tblOrders[[#This Row],[ProductID]],tblProducts[ProductID],tblProducts[Category],"not found")</f>
        <v>Electronics</v>
      </c>
      <c r="J1933">
        <f>_xlfn.XLOOKUP(tblOrders[[#This Row],[ProductID]],tblProducts[ProductID],tblProducts[UnitPrice],"not found")</f>
        <v>448.29</v>
      </c>
      <c r="K1933" t="str">
        <f>_xlfn.XLOOKUP(tblOrders[[#This Row],[ProductID]],tblProducts[ProductID],tblProducts[Supplier],"not found")</f>
        <v>Anderson, Williams and Reese</v>
      </c>
      <c r="L1933" s="1" t="s">
        <v>2338</v>
      </c>
      <c r="M193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45093</v>
      </c>
      <c r="N1933">
        <v>9</v>
      </c>
      <c r="O1933">
        <v>4034.61</v>
      </c>
      <c r="P1933">
        <f>tblOrders[[#This Row],[Quantity]]*tblOrders[[#This Row],[Unit Price]]</f>
        <v>4034.61</v>
      </c>
      <c r="Q1933">
        <f>tblOrders[[#This Row],[TotalSales]]-tblOrders[[#This Row],[Calculated Sales]]</f>
        <v>0</v>
      </c>
    </row>
    <row r="1934" spans="1:17" x14ac:dyDescent="0.25">
      <c r="A1934">
        <v>1048</v>
      </c>
      <c r="B1934">
        <v>886</v>
      </c>
      <c r="C1934" t="str">
        <f>_xlfn.XLOOKUP(tblOrders[[#This Row],[CustomerID]],tblCustomers[CustomerID],tblCustomers[CustomerName],"not found")</f>
        <v>Todd Dickerson</v>
      </c>
      <c r="D1934">
        <f>_xlfn.XLOOKUP(tblOrders[[#This Row],[CustomerID]],tblCustomers[CustomerID],tblCustomers[Age],"not found")</f>
        <v>20</v>
      </c>
      <c r="E1934" t="str">
        <f>_xlfn.XLOOKUP(tblOrders[[#This Row],[CustomerID]],tblCustomers[CustomerID],tblCustomers[Gender],"not found")</f>
        <v>Male</v>
      </c>
      <c r="F1934" t="str">
        <f>_xlfn.XLOOKUP(tblOrders[[#This Row],[CustomerID]],tblCustomers[CustomerID],tblCustomers[Region],"not found")</f>
        <v>North</v>
      </c>
      <c r="G1934">
        <v>1069</v>
      </c>
      <c r="H1934" t="str">
        <f>_xlfn.XLOOKUP(tblOrders[[#This Row],[ProductID]],tblProducts[ProductID],tblProducts[ProductName],"not found")</f>
        <v>Trade</v>
      </c>
      <c r="I1934" t="str">
        <f>_xlfn.XLOOKUP(tblOrders[[#This Row],[ProductID]],tblProducts[ProductID],tblProducts[Category],"not found")</f>
        <v>Electronics</v>
      </c>
      <c r="J1934">
        <f>_xlfn.XLOOKUP(tblOrders[[#This Row],[ProductID]],tblProducts[ProductID],tblProducts[UnitPrice],"not found")</f>
        <v>448.29</v>
      </c>
      <c r="K1934" t="str">
        <f>_xlfn.XLOOKUP(tblOrders[[#This Row],[ProductID]],tblProducts[ProductID],tblProducts[Supplier],"not found")</f>
        <v>Anderson, Williams and Reese</v>
      </c>
      <c r="L1934" s="1">
        <v>45421</v>
      </c>
      <c r="M193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45421</v>
      </c>
      <c r="N1934">
        <v>6</v>
      </c>
      <c r="O1934">
        <v>2689.74</v>
      </c>
      <c r="P1934">
        <f>tblOrders[[#This Row],[Quantity]]*tblOrders[[#This Row],[Unit Price]]</f>
        <v>2689.7400000000002</v>
      </c>
      <c r="Q1934">
        <f>tblOrders[[#This Row],[TotalSales]]-tblOrders[[#This Row],[Calculated Sales]]</f>
        <v>0</v>
      </c>
    </row>
    <row r="1935" spans="1:17" x14ac:dyDescent="0.25">
      <c r="A1935">
        <v>1053</v>
      </c>
      <c r="B1935">
        <v>679</v>
      </c>
      <c r="C1935" t="str">
        <f>_xlfn.XLOOKUP(tblOrders[[#This Row],[CustomerID]],tblCustomers[CustomerID],tblCustomers[CustomerName],"not found")</f>
        <v>Pamela Pugh</v>
      </c>
      <c r="D1935">
        <f>_xlfn.XLOOKUP(tblOrders[[#This Row],[CustomerID]],tblCustomers[CustomerID],tblCustomers[Age],"not found")</f>
        <v>51</v>
      </c>
      <c r="E1935" t="str">
        <f>_xlfn.XLOOKUP(tblOrders[[#This Row],[CustomerID]],tblCustomers[CustomerID],tblCustomers[Gender],"not found")</f>
        <v>Female</v>
      </c>
      <c r="F1935" t="str">
        <f>_xlfn.XLOOKUP(tblOrders[[#This Row],[CustomerID]],tblCustomers[CustomerID],tblCustomers[Region],"not found")</f>
        <v>Central</v>
      </c>
      <c r="G1935">
        <v>1069</v>
      </c>
      <c r="H1935" t="str">
        <f>_xlfn.XLOOKUP(tblOrders[[#This Row],[ProductID]],tblProducts[ProductID],tblProducts[ProductName],"not found")</f>
        <v>Trade</v>
      </c>
      <c r="I1935" t="str">
        <f>_xlfn.XLOOKUP(tblOrders[[#This Row],[ProductID]],tblProducts[ProductID],tblProducts[Category],"not found")</f>
        <v>Electronics</v>
      </c>
      <c r="J1935">
        <f>_xlfn.XLOOKUP(tblOrders[[#This Row],[ProductID]],tblProducts[ProductID],tblProducts[UnitPrice],"not found")</f>
        <v>448.29</v>
      </c>
      <c r="K1935" t="str">
        <f>_xlfn.XLOOKUP(tblOrders[[#This Row],[ProductID]],tblProducts[ProductID],tblProducts[Supplier],"not found")</f>
        <v>Anderson, Williams and Reese</v>
      </c>
      <c r="L1935" s="1">
        <v>44723</v>
      </c>
      <c r="M193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44723</v>
      </c>
      <c r="N1935">
        <v>8</v>
      </c>
      <c r="O1935">
        <v>3586.32</v>
      </c>
      <c r="P1935">
        <f>tblOrders[[#This Row],[Quantity]]*tblOrders[[#This Row],[Unit Price]]</f>
        <v>3586.32</v>
      </c>
      <c r="Q1935">
        <f>tblOrders[[#This Row],[TotalSales]]-tblOrders[[#This Row],[Calculated Sales]]</f>
        <v>0</v>
      </c>
    </row>
    <row r="1936" spans="1:17" x14ac:dyDescent="0.25">
      <c r="A1936">
        <v>1119</v>
      </c>
      <c r="B1936">
        <v>407</v>
      </c>
      <c r="C1936" t="str">
        <f>_xlfn.XLOOKUP(tblOrders[[#This Row],[CustomerID]],tblCustomers[CustomerID],tblCustomers[CustomerName],"not found")</f>
        <v>James Collins</v>
      </c>
      <c r="D1936">
        <f>_xlfn.XLOOKUP(tblOrders[[#This Row],[CustomerID]],tblCustomers[CustomerID],tblCustomers[Age],"not found")</f>
        <v>32</v>
      </c>
      <c r="E1936" t="str">
        <f>_xlfn.XLOOKUP(tblOrders[[#This Row],[CustomerID]],tblCustomers[CustomerID],tblCustomers[Gender],"not found")</f>
        <v>Male</v>
      </c>
      <c r="F1936" t="str">
        <f>_xlfn.XLOOKUP(tblOrders[[#This Row],[CustomerID]],tblCustomers[CustomerID],tblCustomers[Region],"not found")</f>
        <v>East</v>
      </c>
      <c r="G1936">
        <v>1069</v>
      </c>
      <c r="H1936" t="str">
        <f>_xlfn.XLOOKUP(tblOrders[[#This Row],[ProductID]],tblProducts[ProductID],tblProducts[ProductName],"not found")</f>
        <v>Trade</v>
      </c>
      <c r="I1936" t="str">
        <f>_xlfn.XLOOKUP(tblOrders[[#This Row],[ProductID]],tblProducts[ProductID],tblProducts[Category],"not found")</f>
        <v>Electronics</v>
      </c>
      <c r="J1936">
        <f>_xlfn.XLOOKUP(tblOrders[[#This Row],[ProductID]],tblProducts[ProductID],tblProducts[UnitPrice],"not found")</f>
        <v>448.29</v>
      </c>
      <c r="K1936" t="str">
        <f>_xlfn.XLOOKUP(tblOrders[[#This Row],[ProductID]],tblProducts[ProductID],tblProducts[Supplier],"not found")</f>
        <v>Anderson, Williams and Reese</v>
      </c>
      <c r="L1936" s="1">
        <v>45018</v>
      </c>
      <c r="M193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45018</v>
      </c>
      <c r="N1936">
        <v>9</v>
      </c>
      <c r="O1936">
        <v>4034.61</v>
      </c>
      <c r="P1936">
        <f>tblOrders[[#This Row],[Quantity]]*tblOrders[[#This Row],[Unit Price]]</f>
        <v>4034.61</v>
      </c>
      <c r="Q1936">
        <f>tblOrders[[#This Row],[TotalSales]]-tblOrders[[#This Row],[Calculated Sales]]</f>
        <v>0</v>
      </c>
    </row>
    <row r="1937" spans="1:17" x14ac:dyDescent="0.25">
      <c r="A1937">
        <v>1152</v>
      </c>
      <c r="B1937">
        <v>752</v>
      </c>
      <c r="C1937" t="str">
        <f>_xlfn.XLOOKUP(tblOrders[[#This Row],[CustomerID]],tblCustomers[CustomerID],tblCustomers[CustomerName],"not found")</f>
        <v>Nicole Wiggins</v>
      </c>
      <c r="D1937">
        <f>_xlfn.XLOOKUP(tblOrders[[#This Row],[CustomerID]],tblCustomers[CustomerID],tblCustomers[Age],"not found")</f>
        <v>45</v>
      </c>
      <c r="E1937" t="str">
        <f>_xlfn.XLOOKUP(tblOrders[[#This Row],[CustomerID]],tblCustomers[CustomerID],tblCustomers[Gender],"not found")</f>
        <v>Female</v>
      </c>
      <c r="F1937" t="str">
        <f>_xlfn.XLOOKUP(tblOrders[[#This Row],[CustomerID]],tblCustomers[CustomerID],tblCustomers[Region],"not found")</f>
        <v>Central</v>
      </c>
      <c r="G1937">
        <v>1069</v>
      </c>
      <c r="H1937" t="str">
        <f>_xlfn.XLOOKUP(tblOrders[[#This Row],[ProductID]],tblProducts[ProductID],tblProducts[ProductName],"not found")</f>
        <v>Trade</v>
      </c>
      <c r="I1937" t="str">
        <f>_xlfn.XLOOKUP(tblOrders[[#This Row],[ProductID]],tblProducts[ProductID],tblProducts[Category],"not found")</f>
        <v>Electronics</v>
      </c>
      <c r="J1937">
        <f>_xlfn.XLOOKUP(tblOrders[[#This Row],[ProductID]],tblProducts[ProductID],tblProducts[UnitPrice],"not found")</f>
        <v>448.29</v>
      </c>
      <c r="K1937" t="str">
        <f>_xlfn.XLOOKUP(tblOrders[[#This Row],[ProductID]],tblProducts[ProductID],tblProducts[Supplier],"not found")</f>
        <v>Anderson, Williams and Reese</v>
      </c>
      <c r="L1937" s="1" t="s">
        <v>2391</v>
      </c>
      <c r="M193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45041</v>
      </c>
      <c r="N1937">
        <v>1</v>
      </c>
      <c r="O1937">
        <v>448.29</v>
      </c>
      <c r="P1937">
        <f>tblOrders[[#This Row],[Quantity]]*tblOrders[[#This Row],[Unit Price]]</f>
        <v>448.29</v>
      </c>
      <c r="Q1937">
        <f>tblOrders[[#This Row],[TotalSales]]-tblOrders[[#This Row],[Calculated Sales]]</f>
        <v>0</v>
      </c>
    </row>
    <row r="1938" spans="1:17" x14ac:dyDescent="0.25">
      <c r="A1938">
        <v>1175</v>
      </c>
      <c r="B1938">
        <v>808</v>
      </c>
      <c r="C1938" t="str">
        <f>_xlfn.XLOOKUP(tblOrders[[#This Row],[CustomerID]],tblCustomers[CustomerID],tblCustomers[CustomerName],"not found")</f>
        <v>Chad Francis</v>
      </c>
      <c r="D1938">
        <f>_xlfn.XLOOKUP(tblOrders[[#This Row],[CustomerID]],tblCustomers[CustomerID],tblCustomers[Age],"not found")</f>
        <v>27</v>
      </c>
      <c r="E1938" t="str">
        <f>_xlfn.XLOOKUP(tblOrders[[#This Row],[CustomerID]],tblCustomers[CustomerID],tblCustomers[Gender],"not found")</f>
        <v>Male</v>
      </c>
      <c r="F1938" t="str">
        <f>_xlfn.XLOOKUP(tblOrders[[#This Row],[CustomerID]],tblCustomers[CustomerID],tblCustomers[Region],"not found")</f>
        <v>East</v>
      </c>
      <c r="G1938">
        <v>1069</v>
      </c>
      <c r="H1938" t="str">
        <f>_xlfn.XLOOKUP(tblOrders[[#This Row],[ProductID]],tblProducts[ProductID],tblProducts[ProductName],"not found")</f>
        <v>Trade</v>
      </c>
      <c r="I1938" t="str">
        <f>_xlfn.XLOOKUP(tblOrders[[#This Row],[ProductID]],tblProducts[ProductID],tblProducts[Category],"not found")</f>
        <v>Electronics</v>
      </c>
      <c r="J1938">
        <f>_xlfn.XLOOKUP(tblOrders[[#This Row],[ProductID]],tblProducts[ProductID],tblProducts[UnitPrice],"not found")</f>
        <v>448.29</v>
      </c>
      <c r="K1938" t="str">
        <f>_xlfn.XLOOKUP(tblOrders[[#This Row],[ProductID]],tblProducts[ProductID],tblProducts[Supplier],"not found")</f>
        <v>Anderson, Williams and Reese</v>
      </c>
      <c r="L1938" s="1">
        <v>45636</v>
      </c>
      <c r="M193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45636</v>
      </c>
      <c r="N1938">
        <v>1</v>
      </c>
      <c r="O1938">
        <v>448.29</v>
      </c>
      <c r="P1938">
        <f>tblOrders[[#This Row],[Quantity]]*tblOrders[[#This Row],[Unit Price]]</f>
        <v>448.29</v>
      </c>
      <c r="Q1938">
        <f>tblOrders[[#This Row],[TotalSales]]-tblOrders[[#This Row],[Calculated Sales]]</f>
        <v>0</v>
      </c>
    </row>
    <row r="1939" spans="1:17" x14ac:dyDescent="0.25">
      <c r="A1939">
        <v>1186</v>
      </c>
      <c r="B1939">
        <v>266</v>
      </c>
      <c r="C1939" t="str">
        <f>_xlfn.XLOOKUP(tblOrders[[#This Row],[CustomerID]],tblCustomers[CustomerID],tblCustomers[CustomerName],"not found")</f>
        <v>Debra Marshall</v>
      </c>
      <c r="D1939">
        <f>_xlfn.XLOOKUP(tblOrders[[#This Row],[CustomerID]],tblCustomers[CustomerID],tblCustomers[Age],"not found")</f>
        <v>62</v>
      </c>
      <c r="E1939" t="str">
        <f>_xlfn.XLOOKUP(tblOrders[[#This Row],[CustomerID]],tblCustomers[CustomerID],tblCustomers[Gender],"not found")</f>
        <v>Male</v>
      </c>
      <c r="F1939" t="str">
        <f>_xlfn.XLOOKUP(tblOrders[[#This Row],[CustomerID]],tblCustomers[CustomerID],tblCustomers[Region],"not found")</f>
        <v>East</v>
      </c>
      <c r="G1939">
        <v>1069</v>
      </c>
      <c r="H1939" t="str">
        <f>_xlfn.XLOOKUP(tblOrders[[#This Row],[ProductID]],tblProducts[ProductID],tblProducts[ProductName],"not found")</f>
        <v>Trade</v>
      </c>
      <c r="I1939" t="str">
        <f>_xlfn.XLOOKUP(tblOrders[[#This Row],[ProductID]],tblProducts[ProductID],tblProducts[Category],"not found")</f>
        <v>Electronics</v>
      </c>
      <c r="J1939">
        <f>_xlfn.XLOOKUP(tblOrders[[#This Row],[ProductID]],tblProducts[ProductID],tblProducts[UnitPrice],"not found")</f>
        <v>448.29</v>
      </c>
      <c r="K1939" t="str">
        <f>_xlfn.XLOOKUP(tblOrders[[#This Row],[ProductID]],tblProducts[ProductID],tblProducts[Supplier],"not found")</f>
        <v>Anderson, Williams and Reese</v>
      </c>
      <c r="L1939" s="1">
        <v>45112</v>
      </c>
      <c r="M193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45112</v>
      </c>
      <c r="N1939">
        <v>9</v>
      </c>
      <c r="O1939">
        <v>4034.61</v>
      </c>
      <c r="P1939">
        <f>tblOrders[[#This Row],[Quantity]]*tblOrders[[#This Row],[Unit Price]]</f>
        <v>4034.61</v>
      </c>
      <c r="Q1939">
        <f>tblOrders[[#This Row],[TotalSales]]-tblOrders[[#This Row],[Calculated Sales]]</f>
        <v>0</v>
      </c>
    </row>
    <row r="1940" spans="1:17" x14ac:dyDescent="0.25">
      <c r="A1940">
        <v>1200</v>
      </c>
      <c r="B1940">
        <v>792</v>
      </c>
      <c r="C1940" t="str">
        <f>_xlfn.XLOOKUP(tblOrders[[#This Row],[CustomerID]],tblCustomers[CustomerID],tblCustomers[CustomerName],"not found")</f>
        <v>Stephanie Garcia</v>
      </c>
      <c r="D1940">
        <f>_xlfn.XLOOKUP(tblOrders[[#This Row],[CustomerID]],tblCustomers[CustomerID],tblCustomers[Age],"not found")</f>
        <v>29</v>
      </c>
      <c r="E1940" t="str">
        <f>_xlfn.XLOOKUP(tblOrders[[#This Row],[CustomerID]],tblCustomers[CustomerID],tblCustomers[Gender],"not found")</f>
        <v>Male</v>
      </c>
      <c r="F1940" t="str">
        <f>_xlfn.XLOOKUP(tblOrders[[#This Row],[CustomerID]],tblCustomers[CustomerID],tblCustomers[Region],"not found")</f>
        <v>East</v>
      </c>
      <c r="G1940">
        <v>1069</v>
      </c>
      <c r="H1940" t="str">
        <f>_xlfn.XLOOKUP(tblOrders[[#This Row],[ProductID]],tblProducts[ProductID],tblProducts[ProductName],"not found")</f>
        <v>Trade</v>
      </c>
      <c r="I1940" t="str">
        <f>_xlfn.XLOOKUP(tblOrders[[#This Row],[ProductID]],tblProducts[ProductID],tblProducts[Category],"not found")</f>
        <v>Electronics</v>
      </c>
      <c r="J1940">
        <f>_xlfn.XLOOKUP(tblOrders[[#This Row],[ProductID]],tblProducts[ProductID],tblProducts[UnitPrice],"not found")</f>
        <v>448.29</v>
      </c>
      <c r="K1940" t="str">
        <f>_xlfn.XLOOKUP(tblOrders[[#This Row],[ProductID]],tblProducts[ProductID],tblProducts[Supplier],"not found")</f>
        <v>Anderson, Williams and Reese</v>
      </c>
      <c r="L1940" s="1" t="s">
        <v>2098</v>
      </c>
      <c r="M194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44919</v>
      </c>
      <c r="N1940">
        <v>8</v>
      </c>
      <c r="O1940">
        <v>3586.32</v>
      </c>
      <c r="P1940">
        <f>tblOrders[[#This Row],[Quantity]]*tblOrders[[#This Row],[Unit Price]]</f>
        <v>3586.32</v>
      </c>
      <c r="Q1940">
        <f>tblOrders[[#This Row],[TotalSales]]-tblOrders[[#This Row],[Calculated Sales]]</f>
        <v>0</v>
      </c>
    </row>
    <row r="1941" spans="1:17" x14ac:dyDescent="0.25">
      <c r="A1941">
        <v>1266</v>
      </c>
      <c r="B1941">
        <v>222</v>
      </c>
      <c r="C1941" t="str">
        <f>_xlfn.XLOOKUP(tblOrders[[#This Row],[CustomerID]],tblCustomers[CustomerID],tblCustomers[CustomerName],"not found")</f>
        <v>Sarah Romero</v>
      </c>
      <c r="D1941">
        <f>_xlfn.XLOOKUP(tblOrders[[#This Row],[CustomerID]],tblCustomers[CustomerID],tblCustomers[Age],"not found")</f>
        <v>68</v>
      </c>
      <c r="E1941" t="str">
        <f>_xlfn.XLOOKUP(tblOrders[[#This Row],[CustomerID]],tblCustomers[CustomerID],tblCustomers[Gender],"not found")</f>
        <v>Male</v>
      </c>
      <c r="F1941" t="str">
        <f>_xlfn.XLOOKUP(tblOrders[[#This Row],[CustomerID]],tblCustomers[CustomerID],tblCustomers[Region],"not found")</f>
        <v>South</v>
      </c>
      <c r="G1941">
        <v>1069</v>
      </c>
      <c r="H1941" t="str">
        <f>_xlfn.XLOOKUP(tblOrders[[#This Row],[ProductID]],tblProducts[ProductID],tblProducts[ProductName],"not found")</f>
        <v>Trade</v>
      </c>
      <c r="I1941" t="str">
        <f>_xlfn.XLOOKUP(tblOrders[[#This Row],[ProductID]],tblProducts[ProductID],tblProducts[Category],"not found")</f>
        <v>Electronics</v>
      </c>
      <c r="J1941">
        <f>_xlfn.XLOOKUP(tblOrders[[#This Row],[ProductID]],tblProducts[ProductID],tblProducts[UnitPrice],"not found")</f>
        <v>448.29</v>
      </c>
      <c r="K1941" t="str">
        <f>_xlfn.XLOOKUP(tblOrders[[#This Row],[ProductID]],tblProducts[ProductID],tblProducts[Supplier],"not found")</f>
        <v>Anderson, Williams and Reese</v>
      </c>
      <c r="L1941" s="1" t="s">
        <v>2413</v>
      </c>
      <c r="M194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44917</v>
      </c>
      <c r="N1941">
        <v>5</v>
      </c>
      <c r="O1941">
        <v>2241.4499999999998</v>
      </c>
      <c r="P1941">
        <f>tblOrders[[#This Row],[Quantity]]*tblOrders[[#This Row],[Unit Price]]</f>
        <v>2241.4500000000003</v>
      </c>
      <c r="Q1941">
        <f>tblOrders[[#This Row],[TotalSales]]-tblOrders[[#This Row],[Calculated Sales]]</f>
        <v>0</v>
      </c>
    </row>
    <row r="1942" spans="1:17" x14ac:dyDescent="0.25">
      <c r="A1942">
        <v>1317</v>
      </c>
      <c r="B1942">
        <v>931</v>
      </c>
      <c r="C1942" t="str">
        <f>_xlfn.XLOOKUP(tblOrders[[#This Row],[CustomerID]],tblCustomers[CustomerID],tblCustomers[CustomerName],"not found")</f>
        <v>Karen Wallace</v>
      </c>
      <c r="D1942">
        <f>_xlfn.XLOOKUP(tblOrders[[#This Row],[CustomerID]],tblCustomers[CustomerID],tblCustomers[Age],"not found")</f>
        <v>58</v>
      </c>
      <c r="E1942" t="str">
        <f>_xlfn.XLOOKUP(tblOrders[[#This Row],[CustomerID]],tblCustomers[CustomerID],tblCustomers[Gender],"not found")</f>
        <v>Male</v>
      </c>
      <c r="F1942" t="str">
        <f>_xlfn.XLOOKUP(tblOrders[[#This Row],[CustomerID]],tblCustomers[CustomerID],tblCustomers[Region],"not found")</f>
        <v>East</v>
      </c>
      <c r="G1942">
        <v>1069</v>
      </c>
      <c r="H1942" t="str">
        <f>_xlfn.XLOOKUP(tblOrders[[#This Row],[ProductID]],tblProducts[ProductID],tblProducts[ProductName],"not found")</f>
        <v>Trade</v>
      </c>
      <c r="I1942" t="str">
        <f>_xlfn.XLOOKUP(tblOrders[[#This Row],[ProductID]],tblProducts[ProductID],tblProducts[Category],"not found")</f>
        <v>Electronics</v>
      </c>
      <c r="J1942">
        <f>_xlfn.XLOOKUP(tblOrders[[#This Row],[ProductID]],tblProducts[ProductID],tblProducts[UnitPrice],"not found")</f>
        <v>448.29</v>
      </c>
      <c r="K1942" t="str">
        <f>_xlfn.XLOOKUP(tblOrders[[#This Row],[ProductID]],tblProducts[ProductID],tblProducts[Supplier],"not found")</f>
        <v>Anderson, Williams and Reese</v>
      </c>
      <c r="L1942" s="1" t="s">
        <v>2068</v>
      </c>
      <c r="M194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44888</v>
      </c>
      <c r="N1942">
        <v>2</v>
      </c>
      <c r="O1942">
        <v>896.58</v>
      </c>
      <c r="P1942">
        <f>tblOrders[[#This Row],[Quantity]]*tblOrders[[#This Row],[Unit Price]]</f>
        <v>896.58</v>
      </c>
      <c r="Q1942">
        <f>tblOrders[[#This Row],[TotalSales]]-tblOrders[[#This Row],[Calculated Sales]]</f>
        <v>0</v>
      </c>
    </row>
    <row r="1943" spans="1:17" x14ac:dyDescent="0.25">
      <c r="A1943">
        <v>1407</v>
      </c>
      <c r="B1943">
        <v>40</v>
      </c>
      <c r="C1943" t="str">
        <f>_xlfn.XLOOKUP(tblOrders[[#This Row],[CustomerID]],tblCustomers[CustomerID],tblCustomers[CustomerName],"not found")</f>
        <v>Yvonne Simon</v>
      </c>
      <c r="D1943">
        <f>_xlfn.XLOOKUP(tblOrders[[#This Row],[CustomerID]],tblCustomers[CustomerID],tblCustomers[Age],"not found")</f>
        <v>39</v>
      </c>
      <c r="E1943" t="str">
        <f>_xlfn.XLOOKUP(tblOrders[[#This Row],[CustomerID]],tblCustomers[CustomerID],tblCustomers[Gender],"not found")</f>
        <v>Female</v>
      </c>
      <c r="F1943" t="str">
        <f>_xlfn.XLOOKUP(tblOrders[[#This Row],[CustomerID]],tblCustomers[CustomerID],tblCustomers[Region],"not found")</f>
        <v>South</v>
      </c>
      <c r="G1943">
        <v>1069</v>
      </c>
      <c r="H1943" t="str">
        <f>_xlfn.XLOOKUP(tblOrders[[#This Row],[ProductID]],tblProducts[ProductID],tblProducts[ProductName],"not found")</f>
        <v>Trade</v>
      </c>
      <c r="I1943" t="str">
        <f>_xlfn.XLOOKUP(tblOrders[[#This Row],[ProductID]],tblProducts[ProductID],tblProducts[Category],"not found")</f>
        <v>Electronics</v>
      </c>
      <c r="J1943">
        <f>_xlfn.XLOOKUP(tblOrders[[#This Row],[ProductID]],tblProducts[ProductID],tblProducts[UnitPrice],"not found")</f>
        <v>448.29</v>
      </c>
      <c r="K1943" t="str">
        <f>_xlfn.XLOOKUP(tblOrders[[#This Row],[ProductID]],tblProducts[ProductID],tblProducts[Supplier],"not found")</f>
        <v>Anderson, Williams and Reese</v>
      </c>
      <c r="L1943" s="1" t="s">
        <v>2197</v>
      </c>
      <c r="M194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45277</v>
      </c>
      <c r="N1943">
        <v>8</v>
      </c>
      <c r="O1943">
        <v>3586.32</v>
      </c>
      <c r="P1943">
        <f>tblOrders[[#This Row],[Quantity]]*tblOrders[[#This Row],[Unit Price]]</f>
        <v>3586.32</v>
      </c>
      <c r="Q1943">
        <f>tblOrders[[#This Row],[TotalSales]]-tblOrders[[#This Row],[Calculated Sales]]</f>
        <v>0</v>
      </c>
    </row>
    <row r="1944" spans="1:17" x14ac:dyDescent="0.25">
      <c r="A1944">
        <v>1626</v>
      </c>
      <c r="B1944">
        <v>750</v>
      </c>
      <c r="C1944" t="str">
        <f>_xlfn.XLOOKUP(tblOrders[[#This Row],[CustomerID]],tblCustomers[CustomerID],tblCustomers[CustomerName],"not found")</f>
        <v>James Hughes</v>
      </c>
      <c r="D1944">
        <f>_xlfn.XLOOKUP(tblOrders[[#This Row],[CustomerID]],tblCustomers[CustomerID],tblCustomers[Age],"not found")</f>
        <v>60</v>
      </c>
      <c r="E1944" t="str">
        <f>_xlfn.XLOOKUP(tblOrders[[#This Row],[CustomerID]],tblCustomers[CustomerID],tblCustomers[Gender],"not found")</f>
        <v>Female</v>
      </c>
      <c r="F1944" t="str">
        <f>_xlfn.XLOOKUP(tblOrders[[#This Row],[CustomerID]],tblCustomers[CustomerID],tblCustomers[Region],"not found")</f>
        <v>West</v>
      </c>
      <c r="G1944">
        <v>1069</v>
      </c>
      <c r="H1944" t="str">
        <f>_xlfn.XLOOKUP(tblOrders[[#This Row],[ProductID]],tblProducts[ProductID],tblProducts[ProductName],"not found")</f>
        <v>Trade</v>
      </c>
      <c r="I1944" t="str">
        <f>_xlfn.XLOOKUP(tblOrders[[#This Row],[ProductID]],tblProducts[ProductID],tblProducts[Category],"not found")</f>
        <v>Electronics</v>
      </c>
      <c r="J1944">
        <f>_xlfn.XLOOKUP(tblOrders[[#This Row],[ProductID]],tblProducts[ProductID],tblProducts[UnitPrice],"not found")</f>
        <v>448.29</v>
      </c>
      <c r="K1944" t="str">
        <f>_xlfn.XLOOKUP(tblOrders[[#This Row],[ProductID]],tblProducts[ProductID],tblProducts[Supplier],"not found")</f>
        <v>Anderson, Williams and Reese</v>
      </c>
      <c r="L1944" s="1">
        <v>44573</v>
      </c>
      <c r="M194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44573</v>
      </c>
      <c r="N1944">
        <v>1</v>
      </c>
      <c r="O1944">
        <v>448.29</v>
      </c>
      <c r="P1944">
        <f>tblOrders[[#This Row],[Quantity]]*tblOrders[[#This Row],[Unit Price]]</f>
        <v>448.29</v>
      </c>
      <c r="Q1944">
        <f>tblOrders[[#This Row],[TotalSales]]-tblOrders[[#This Row],[Calculated Sales]]</f>
        <v>0</v>
      </c>
    </row>
    <row r="1945" spans="1:17" x14ac:dyDescent="0.25">
      <c r="A1945">
        <v>381</v>
      </c>
      <c r="B1945">
        <v>384</v>
      </c>
      <c r="C1945" t="str">
        <f>_xlfn.XLOOKUP(tblOrders[[#This Row],[CustomerID]],tblCustomers[CustomerID],tblCustomers[CustomerName],"not found")</f>
        <v>Veronica Moreno</v>
      </c>
      <c r="D1945">
        <f>_xlfn.XLOOKUP(tblOrders[[#This Row],[CustomerID]],tblCustomers[CustomerID],tblCustomers[Age],"not found")</f>
        <v>39</v>
      </c>
      <c r="E1945" t="str">
        <f>_xlfn.XLOOKUP(tblOrders[[#This Row],[CustomerID]],tblCustomers[CustomerID],tblCustomers[Gender],"not found")</f>
        <v>Male</v>
      </c>
      <c r="F1945" t="str">
        <f>_xlfn.XLOOKUP(tblOrders[[#This Row],[CustomerID]],tblCustomers[CustomerID],tblCustomers[Region],"not found")</f>
        <v>West</v>
      </c>
      <c r="G1945">
        <v>1046</v>
      </c>
      <c r="H1945" t="str">
        <f>_xlfn.XLOOKUP(tblOrders[[#This Row],[ProductID]],tblProducts[ProductID],tblProducts[ProductName],"not found")</f>
        <v>Edge</v>
      </c>
      <c r="I1945" t="str">
        <f>_xlfn.XLOOKUP(tblOrders[[#This Row],[ProductID]],tblProducts[ProductID],tblProducts[Category],"not found")</f>
        <v>Beauty</v>
      </c>
      <c r="J1945">
        <f>_xlfn.XLOOKUP(tblOrders[[#This Row],[ProductID]],tblProducts[ProductID],tblProducts[UnitPrice],"not found")</f>
        <v>259.04000000000002</v>
      </c>
      <c r="K1945" t="str">
        <f>_xlfn.XLOOKUP(tblOrders[[#This Row],[ProductID]],tblProducts[ProductID],tblProducts[Supplier],"not found")</f>
        <v>Reid Inc</v>
      </c>
      <c r="L1945" s="1" t="s">
        <v>2421</v>
      </c>
      <c r="M194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45102</v>
      </c>
      <c r="N1945">
        <v>1</v>
      </c>
      <c r="O1945">
        <v>259.04000000000002</v>
      </c>
      <c r="P1945">
        <f>tblOrders[[#This Row],[Quantity]]*tblOrders[[#This Row],[Unit Price]]</f>
        <v>259.04000000000002</v>
      </c>
      <c r="Q1945">
        <f>tblOrders[[#This Row],[TotalSales]]-tblOrders[[#This Row],[Calculated Sales]]</f>
        <v>0</v>
      </c>
    </row>
    <row r="1946" spans="1:17" x14ac:dyDescent="0.25">
      <c r="A1946">
        <v>442</v>
      </c>
      <c r="B1946">
        <v>126</v>
      </c>
      <c r="C1946" t="str">
        <f>_xlfn.XLOOKUP(tblOrders[[#This Row],[CustomerID]],tblCustomers[CustomerID],tblCustomers[CustomerName],"not found")</f>
        <v>John Flores</v>
      </c>
      <c r="D1946">
        <f>_xlfn.XLOOKUP(tblOrders[[#This Row],[CustomerID]],tblCustomers[CustomerID],tblCustomers[Age],"not found")</f>
        <v>44</v>
      </c>
      <c r="E1946" t="str">
        <f>_xlfn.XLOOKUP(tblOrders[[#This Row],[CustomerID]],tblCustomers[CustomerID],tblCustomers[Gender],"not found")</f>
        <v>Male</v>
      </c>
      <c r="F1946" t="str">
        <f>_xlfn.XLOOKUP(tblOrders[[#This Row],[CustomerID]],tblCustomers[CustomerID],tblCustomers[Region],"not found")</f>
        <v>North</v>
      </c>
      <c r="G1946">
        <v>1046</v>
      </c>
      <c r="H1946" t="str">
        <f>_xlfn.XLOOKUP(tblOrders[[#This Row],[ProductID]],tblProducts[ProductID],tblProducts[ProductName],"not found")</f>
        <v>Edge</v>
      </c>
      <c r="I1946" t="str">
        <f>_xlfn.XLOOKUP(tblOrders[[#This Row],[ProductID]],tblProducts[ProductID],tblProducts[Category],"not found")</f>
        <v>Beauty</v>
      </c>
      <c r="J1946">
        <f>_xlfn.XLOOKUP(tblOrders[[#This Row],[ProductID]],tblProducts[ProductID],tblProducts[UnitPrice],"not found")</f>
        <v>259.04000000000002</v>
      </c>
      <c r="K1946" t="str">
        <f>_xlfn.XLOOKUP(tblOrders[[#This Row],[ProductID]],tblProducts[ProductID],tblProducts[Supplier],"not found")</f>
        <v>Reid Inc</v>
      </c>
      <c r="L1946" s="1" t="s">
        <v>2146</v>
      </c>
      <c r="M194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45032</v>
      </c>
      <c r="N1946">
        <v>8</v>
      </c>
      <c r="O1946">
        <v>2072.3200000000002</v>
      </c>
      <c r="P1946">
        <f>tblOrders[[#This Row],[Quantity]]*tblOrders[[#This Row],[Unit Price]]</f>
        <v>2072.3200000000002</v>
      </c>
      <c r="Q1946">
        <f>tblOrders[[#This Row],[TotalSales]]-tblOrders[[#This Row],[Calculated Sales]]</f>
        <v>0</v>
      </c>
    </row>
    <row r="1947" spans="1:17" x14ac:dyDescent="0.25">
      <c r="A1947">
        <v>477</v>
      </c>
      <c r="B1947">
        <v>829</v>
      </c>
      <c r="C1947" t="str">
        <f>_xlfn.XLOOKUP(tblOrders[[#This Row],[CustomerID]],tblCustomers[CustomerID],tblCustomers[CustomerName],"not found")</f>
        <v>Jessica Anderson</v>
      </c>
      <c r="D1947">
        <f>_xlfn.XLOOKUP(tblOrders[[#This Row],[CustomerID]],tblCustomers[CustomerID],tblCustomers[Age],"not found")</f>
        <v>43</v>
      </c>
      <c r="E1947" t="str">
        <f>_xlfn.XLOOKUP(tblOrders[[#This Row],[CustomerID]],tblCustomers[CustomerID],tblCustomers[Gender],"not found")</f>
        <v>Male</v>
      </c>
      <c r="F1947" t="str">
        <f>_xlfn.XLOOKUP(tblOrders[[#This Row],[CustomerID]],tblCustomers[CustomerID],tblCustomers[Region],"not found")</f>
        <v>North</v>
      </c>
      <c r="G1947">
        <v>1046</v>
      </c>
      <c r="H1947" t="str">
        <f>_xlfn.XLOOKUP(tblOrders[[#This Row],[ProductID]],tblProducts[ProductID],tblProducts[ProductName],"not found")</f>
        <v>Edge</v>
      </c>
      <c r="I1947" t="str">
        <f>_xlfn.XLOOKUP(tblOrders[[#This Row],[ProductID]],tblProducts[ProductID],tblProducts[Category],"not found")</f>
        <v>Beauty</v>
      </c>
      <c r="J1947">
        <f>_xlfn.XLOOKUP(tblOrders[[#This Row],[ProductID]],tblProducts[ProductID],tblProducts[UnitPrice],"not found")</f>
        <v>259.04000000000002</v>
      </c>
      <c r="K1947" t="str">
        <f>_xlfn.XLOOKUP(tblOrders[[#This Row],[ProductID]],tblProducts[ProductID],tblProducts[Supplier],"not found")</f>
        <v>Reid Inc</v>
      </c>
      <c r="L1947" s="1">
        <v>45362</v>
      </c>
      <c r="M194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45362</v>
      </c>
      <c r="N1947">
        <v>7</v>
      </c>
      <c r="O1947">
        <v>1813.28</v>
      </c>
      <c r="P1947">
        <f>tblOrders[[#This Row],[Quantity]]*tblOrders[[#This Row],[Unit Price]]</f>
        <v>1813.2800000000002</v>
      </c>
      <c r="Q1947">
        <f>tblOrders[[#This Row],[TotalSales]]-tblOrders[[#This Row],[Calculated Sales]]</f>
        <v>0</v>
      </c>
    </row>
    <row r="1948" spans="1:17" x14ac:dyDescent="0.25">
      <c r="A1948">
        <v>492</v>
      </c>
      <c r="B1948">
        <v>488</v>
      </c>
      <c r="C1948" t="str">
        <f>_xlfn.XLOOKUP(tblOrders[[#This Row],[CustomerID]],tblCustomers[CustomerID],tblCustomers[CustomerName],"not found")</f>
        <v>Katrina Smith</v>
      </c>
      <c r="D1948">
        <f>_xlfn.XLOOKUP(tblOrders[[#This Row],[CustomerID]],tblCustomers[CustomerID],tblCustomers[Age],"not found")</f>
        <v>55</v>
      </c>
      <c r="E1948" t="str">
        <f>_xlfn.XLOOKUP(tblOrders[[#This Row],[CustomerID]],tblCustomers[CustomerID],tblCustomers[Gender],"not found")</f>
        <v>Male</v>
      </c>
      <c r="F1948" t="str">
        <f>_xlfn.XLOOKUP(tblOrders[[#This Row],[CustomerID]],tblCustomers[CustomerID],tblCustomers[Region],"not found")</f>
        <v>North</v>
      </c>
      <c r="G1948">
        <v>1046</v>
      </c>
      <c r="H1948" t="str">
        <f>_xlfn.XLOOKUP(tblOrders[[#This Row],[ProductID]],tblProducts[ProductID],tblProducts[ProductName],"not found")</f>
        <v>Edge</v>
      </c>
      <c r="I1948" t="str">
        <f>_xlfn.XLOOKUP(tblOrders[[#This Row],[ProductID]],tblProducts[ProductID],tblProducts[Category],"not found")</f>
        <v>Beauty</v>
      </c>
      <c r="J1948">
        <f>_xlfn.XLOOKUP(tblOrders[[#This Row],[ProductID]],tblProducts[ProductID],tblProducts[UnitPrice],"not found")</f>
        <v>259.04000000000002</v>
      </c>
      <c r="K1948" t="str">
        <f>_xlfn.XLOOKUP(tblOrders[[#This Row],[ProductID]],tblProducts[ProductID],tblProducts[Supplier],"not found")</f>
        <v>Reid Inc</v>
      </c>
      <c r="L1948" s="1">
        <v>45483</v>
      </c>
      <c r="M194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45483</v>
      </c>
      <c r="N1948">
        <v>2</v>
      </c>
      <c r="O1948">
        <v>518.08000000000004</v>
      </c>
      <c r="P1948">
        <f>tblOrders[[#This Row],[Quantity]]*tblOrders[[#This Row],[Unit Price]]</f>
        <v>518.08000000000004</v>
      </c>
      <c r="Q1948">
        <f>tblOrders[[#This Row],[TotalSales]]-tblOrders[[#This Row],[Calculated Sales]]</f>
        <v>0</v>
      </c>
    </row>
    <row r="1949" spans="1:17" x14ac:dyDescent="0.25">
      <c r="A1949">
        <v>621</v>
      </c>
      <c r="B1949">
        <v>905</v>
      </c>
      <c r="C1949" t="str">
        <f>_xlfn.XLOOKUP(tblOrders[[#This Row],[CustomerID]],tblCustomers[CustomerID],tblCustomers[CustomerName],"not found")</f>
        <v>Antonio Brown</v>
      </c>
      <c r="D1949">
        <f>_xlfn.XLOOKUP(tblOrders[[#This Row],[CustomerID]],tblCustomers[CustomerID],tblCustomers[Age],"not found")</f>
        <v>18</v>
      </c>
      <c r="E1949" t="str">
        <f>_xlfn.XLOOKUP(tblOrders[[#This Row],[CustomerID]],tblCustomers[CustomerID],tblCustomers[Gender],"not found")</f>
        <v>Male</v>
      </c>
      <c r="F1949" t="str">
        <f>_xlfn.XLOOKUP(tblOrders[[#This Row],[CustomerID]],tblCustomers[CustomerID],tblCustomers[Region],"not found")</f>
        <v>North</v>
      </c>
      <c r="G1949">
        <v>1046</v>
      </c>
      <c r="H1949" t="str">
        <f>_xlfn.XLOOKUP(tblOrders[[#This Row],[ProductID]],tblProducts[ProductID],tblProducts[ProductName],"not found")</f>
        <v>Edge</v>
      </c>
      <c r="I1949" t="str">
        <f>_xlfn.XLOOKUP(tblOrders[[#This Row],[ProductID]],tblProducts[ProductID],tblProducts[Category],"not found")</f>
        <v>Beauty</v>
      </c>
      <c r="J1949">
        <f>_xlfn.XLOOKUP(tblOrders[[#This Row],[ProductID]],tblProducts[ProductID],tblProducts[UnitPrice],"not found")</f>
        <v>259.04000000000002</v>
      </c>
      <c r="K1949" t="str">
        <f>_xlfn.XLOOKUP(tblOrders[[#This Row],[ProductID]],tblProducts[ProductID],tblProducts[Supplier],"not found")</f>
        <v>Reid Inc</v>
      </c>
      <c r="L1949" s="1">
        <v>45449</v>
      </c>
      <c r="M194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45449</v>
      </c>
      <c r="N1949">
        <v>5</v>
      </c>
      <c r="O1949">
        <v>1295.2</v>
      </c>
      <c r="P1949">
        <f>tblOrders[[#This Row],[Quantity]]*tblOrders[[#This Row],[Unit Price]]</f>
        <v>1295.2</v>
      </c>
      <c r="Q1949">
        <f>tblOrders[[#This Row],[TotalSales]]-tblOrders[[#This Row],[Calculated Sales]]</f>
        <v>0</v>
      </c>
    </row>
    <row r="1950" spans="1:17" x14ac:dyDescent="0.25">
      <c r="A1950">
        <v>636</v>
      </c>
      <c r="B1950">
        <v>811</v>
      </c>
      <c r="C1950" t="str">
        <f>_xlfn.XLOOKUP(tblOrders[[#This Row],[CustomerID]],tblCustomers[CustomerID],tblCustomers[CustomerName],"not found")</f>
        <v>Samantha Miller</v>
      </c>
      <c r="D1950">
        <f>_xlfn.XLOOKUP(tblOrders[[#This Row],[CustomerID]],tblCustomers[CustomerID],tblCustomers[Age],"not found")</f>
        <v>37</v>
      </c>
      <c r="E1950" t="str">
        <f>_xlfn.XLOOKUP(tblOrders[[#This Row],[CustomerID]],tblCustomers[CustomerID],tblCustomers[Gender],"not found")</f>
        <v>Female</v>
      </c>
      <c r="F1950" t="str">
        <f>_xlfn.XLOOKUP(tblOrders[[#This Row],[CustomerID]],tblCustomers[CustomerID],tblCustomers[Region],"not found")</f>
        <v>Central</v>
      </c>
      <c r="G1950">
        <v>1046</v>
      </c>
      <c r="H1950" t="str">
        <f>_xlfn.XLOOKUP(tblOrders[[#This Row],[ProductID]],tblProducts[ProductID],tblProducts[ProductName],"not found")</f>
        <v>Edge</v>
      </c>
      <c r="I1950" t="str">
        <f>_xlfn.XLOOKUP(tblOrders[[#This Row],[ProductID]],tblProducts[ProductID],tblProducts[Category],"not found")</f>
        <v>Beauty</v>
      </c>
      <c r="J1950">
        <f>_xlfn.XLOOKUP(tblOrders[[#This Row],[ProductID]],tblProducts[ProductID],tblProducts[UnitPrice],"not found")</f>
        <v>259.04000000000002</v>
      </c>
      <c r="K1950" t="str">
        <f>_xlfn.XLOOKUP(tblOrders[[#This Row],[ProductID]],tblProducts[ProductID],tblProducts[Supplier],"not found")</f>
        <v>Reid Inc</v>
      </c>
      <c r="L1950" s="1" t="s">
        <v>2391</v>
      </c>
      <c r="M195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45041</v>
      </c>
      <c r="N1950">
        <v>5</v>
      </c>
      <c r="O1950">
        <v>1295.2</v>
      </c>
      <c r="P1950">
        <f>tblOrders[[#This Row],[Quantity]]*tblOrders[[#This Row],[Unit Price]]</f>
        <v>1295.2</v>
      </c>
      <c r="Q1950">
        <f>tblOrders[[#This Row],[TotalSales]]-tblOrders[[#This Row],[Calculated Sales]]</f>
        <v>0</v>
      </c>
    </row>
    <row r="1951" spans="1:17" x14ac:dyDescent="0.25">
      <c r="A1951">
        <v>679</v>
      </c>
      <c r="B1951">
        <v>867</v>
      </c>
      <c r="C1951" t="str">
        <f>_xlfn.XLOOKUP(tblOrders[[#This Row],[CustomerID]],tblCustomers[CustomerID],tblCustomers[CustomerName],"not found")</f>
        <v>Clarence King MD</v>
      </c>
      <c r="D1951">
        <f>_xlfn.XLOOKUP(tblOrders[[#This Row],[CustomerID]],tblCustomers[CustomerID],tblCustomers[Age],"not found")</f>
        <v>34</v>
      </c>
      <c r="E1951" t="str">
        <f>_xlfn.XLOOKUP(tblOrders[[#This Row],[CustomerID]],tblCustomers[CustomerID],tblCustomers[Gender],"not found")</f>
        <v>Male</v>
      </c>
      <c r="F1951" t="str">
        <f>_xlfn.XLOOKUP(tblOrders[[#This Row],[CustomerID]],tblCustomers[CustomerID],tblCustomers[Region],"not found")</f>
        <v>North</v>
      </c>
      <c r="G1951">
        <v>1046</v>
      </c>
      <c r="H1951" t="str">
        <f>_xlfn.XLOOKUP(tblOrders[[#This Row],[ProductID]],tblProducts[ProductID],tblProducts[ProductName],"not found")</f>
        <v>Edge</v>
      </c>
      <c r="I1951" t="str">
        <f>_xlfn.XLOOKUP(tblOrders[[#This Row],[ProductID]],tblProducts[ProductID],tblProducts[Category],"not found")</f>
        <v>Beauty</v>
      </c>
      <c r="J1951">
        <f>_xlfn.XLOOKUP(tblOrders[[#This Row],[ProductID]],tblProducts[ProductID],tblProducts[UnitPrice],"not found")</f>
        <v>259.04000000000002</v>
      </c>
      <c r="K1951" t="str">
        <f>_xlfn.XLOOKUP(tblOrders[[#This Row],[ProductID]],tblProducts[ProductID],tblProducts[Supplier],"not found")</f>
        <v>Reid Inc</v>
      </c>
      <c r="L1951" s="1">
        <v>44815</v>
      </c>
      <c r="M195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44815</v>
      </c>
      <c r="N1951">
        <v>5</v>
      </c>
      <c r="O1951">
        <v>1295.2</v>
      </c>
      <c r="P1951">
        <f>tblOrders[[#This Row],[Quantity]]*tblOrders[[#This Row],[Unit Price]]</f>
        <v>1295.2</v>
      </c>
      <c r="Q1951">
        <f>tblOrders[[#This Row],[TotalSales]]-tblOrders[[#This Row],[Calculated Sales]]</f>
        <v>0</v>
      </c>
    </row>
    <row r="1952" spans="1:17" x14ac:dyDescent="0.25">
      <c r="A1952">
        <v>719</v>
      </c>
      <c r="B1952">
        <v>655</v>
      </c>
      <c r="C1952" t="str">
        <f>_xlfn.XLOOKUP(tblOrders[[#This Row],[CustomerID]],tblCustomers[CustomerID],tblCustomers[CustomerName],"not found")</f>
        <v>Abigail Walsh</v>
      </c>
      <c r="D1952">
        <f>_xlfn.XLOOKUP(tblOrders[[#This Row],[CustomerID]],tblCustomers[CustomerID],tblCustomers[Age],"not found")</f>
        <v>42</v>
      </c>
      <c r="E1952" t="str">
        <f>_xlfn.XLOOKUP(tblOrders[[#This Row],[CustomerID]],tblCustomers[CustomerID],tblCustomers[Gender],"not found")</f>
        <v>Male</v>
      </c>
      <c r="F1952" t="str">
        <f>_xlfn.XLOOKUP(tblOrders[[#This Row],[CustomerID]],tblCustomers[CustomerID],tblCustomers[Region],"not found")</f>
        <v>East</v>
      </c>
      <c r="G1952">
        <v>1046</v>
      </c>
      <c r="H1952" t="str">
        <f>_xlfn.XLOOKUP(tblOrders[[#This Row],[ProductID]],tblProducts[ProductID],tblProducts[ProductName],"not found")</f>
        <v>Edge</v>
      </c>
      <c r="I1952" t="str">
        <f>_xlfn.XLOOKUP(tblOrders[[#This Row],[ProductID]],tblProducts[ProductID],tblProducts[Category],"not found")</f>
        <v>Beauty</v>
      </c>
      <c r="J1952">
        <f>_xlfn.XLOOKUP(tblOrders[[#This Row],[ProductID]],tblProducts[ProductID],tblProducts[UnitPrice],"not found")</f>
        <v>259.04000000000002</v>
      </c>
      <c r="K1952" t="str">
        <f>_xlfn.XLOOKUP(tblOrders[[#This Row],[ProductID]],tblProducts[ProductID],tblProducts[Supplier],"not found")</f>
        <v>Reid Inc</v>
      </c>
      <c r="L1952" s="1" t="s">
        <v>2422</v>
      </c>
      <c r="M195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44947</v>
      </c>
      <c r="N1952">
        <v>3</v>
      </c>
      <c r="O1952">
        <v>777.12</v>
      </c>
      <c r="P1952">
        <f>tblOrders[[#This Row],[Quantity]]*tblOrders[[#This Row],[Unit Price]]</f>
        <v>777.12000000000012</v>
      </c>
      <c r="Q1952">
        <f>tblOrders[[#This Row],[TotalSales]]-tblOrders[[#This Row],[Calculated Sales]]</f>
        <v>0</v>
      </c>
    </row>
    <row r="1953" spans="1:17" x14ac:dyDescent="0.25">
      <c r="A1953">
        <v>819</v>
      </c>
      <c r="B1953">
        <v>558</v>
      </c>
      <c r="C1953" t="str">
        <f>_xlfn.XLOOKUP(tblOrders[[#This Row],[CustomerID]],tblCustomers[CustomerID],tblCustomers[CustomerName],"not found")</f>
        <v>Ryan Gray</v>
      </c>
      <c r="D1953">
        <f>_xlfn.XLOOKUP(tblOrders[[#This Row],[CustomerID]],tblCustomers[CustomerID],tblCustomers[Age],"not found")</f>
        <v>52</v>
      </c>
      <c r="E1953" t="str">
        <f>_xlfn.XLOOKUP(tblOrders[[#This Row],[CustomerID]],tblCustomers[CustomerID],tblCustomers[Gender],"not found")</f>
        <v>Male</v>
      </c>
      <c r="F1953" t="str">
        <f>_xlfn.XLOOKUP(tblOrders[[#This Row],[CustomerID]],tblCustomers[CustomerID],tblCustomers[Region],"not found")</f>
        <v>North</v>
      </c>
      <c r="G1953">
        <v>1046</v>
      </c>
      <c r="H1953" t="str">
        <f>_xlfn.XLOOKUP(tblOrders[[#This Row],[ProductID]],tblProducts[ProductID],tblProducts[ProductName],"not found")</f>
        <v>Edge</v>
      </c>
      <c r="I1953" t="str">
        <f>_xlfn.XLOOKUP(tblOrders[[#This Row],[ProductID]],tblProducts[ProductID],tblProducts[Category],"not found")</f>
        <v>Beauty</v>
      </c>
      <c r="J1953">
        <f>_xlfn.XLOOKUP(tblOrders[[#This Row],[ProductID]],tblProducts[ProductID],tblProducts[UnitPrice],"not found")</f>
        <v>259.04000000000002</v>
      </c>
      <c r="K1953" t="str">
        <f>_xlfn.XLOOKUP(tblOrders[[#This Row],[ProductID]],tblProducts[ProductID],tblProducts[Supplier],"not found")</f>
        <v>Reid Inc</v>
      </c>
      <c r="L1953" s="1" t="s">
        <v>2025</v>
      </c>
      <c r="M195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45407</v>
      </c>
      <c r="N1953">
        <v>1</v>
      </c>
      <c r="O1953">
        <v>259.04000000000002</v>
      </c>
      <c r="P1953">
        <f>tblOrders[[#This Row],[Quantity]]*tblOrders[[#This Row],[Unit Price]]</f>
        <v>259.04000000000002</v>
      </c>
      <c r="Q1953">
        <f>tblOrders[[#This Row],[TotalSales]]-tblOrders[[#This Row],[Calculated Sales]]</f>
        <v>0</v>
      </c>
    </row>
    <row r="1954" spans="1:17" x14ac:dyDescent="0.25">
      <c r="A1954">
        <v>911</v>
      </c>
      <c r="B1954">
        <v>95</v>
      </c>
      <c r="C1954" t="str">
        <f>_xlfn.XLOOKUP(tblOrders[[#This Row],[CustomerID]],tblCustomers[CustomerID],tblCustomers[CustomerName],"not found")</f>
        <v>David Hill</v>
      </c>
      <c r="D1954">
        <f>_xlfn.XLOOKUP(tblOrders[[#This Row],[CustomerID]],tblCustomers[CustomerID],tblCustomers[Age],"not found")</f>
        <v>68</v>
      </c>
      <c r="E1954" t="str">
        <f>_xlfn.XLOOKUP(tblOrders[[#This Row],[CustomerID]],tblCustomers[CustomerID],tblCustomers[Gender],"not found")</f>
        <v>Female</v>
      </c>
      <c r="F1954" t="str">
        <f>_xlfn.XLOOKUP(tblOrders[[#This Row],[CustomerID]],tblCustomers[CustomerID],tblCustomers[Region],"not found")</f>
        <v>West</v>
      </c>
      <c r="G1954">
        <v>1046</v>
      </c>
      <c r="H1954" t="str">
        <f>_xlfn.XLOOKUP(tblOrders[[#This Row],[ProductID]],tblProducts[ProductID],tblProducts[ProductName],"not found")</f>
        <v>Edge</v>
      </c>
      <c r="I1954" t="str">
        <f>_xlfn.XLOOKUP(tblOrders[[#This Row],[ProductID]],tblProducts[ProductID],tblProducts[Category],"not found")</f>
        <v>Beauty</v>
      </c>
      <c r="J1954">
        <f>_xlfn.XLOOKUP(tblOrders[[#This Row],[ProductID]],tblProducts[ProductID],tblProducts[UnitPrice],"not found")</f>
        <v>259.04000000000002</v>
      </c>
      <c r="K1954" t="str">
        <f>_xlfn.XLOOKUP(tblOrders[[#This Row],[ProductID]],tblProducts[ProductID],tblProducts[Supplier],"not found")</f>
        <v>Reid Inc</v>
      </c>
      <c r="L1954" s="1" t="s">
        <v>2339</v>
      </c>
      <c r="M195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44879</v>
      </c>
      <c r="N1954">
        <v>7</v>
      </c>
      <c r="O1954">
        <v>1813.28</v>
      </c>
      <c r="P1954">
        <f>tblOrders[[#This Row],[Quantity]]*tblOrders[[#This Row],[Unit Price]]</f>
        <v>1813.2800000000002</v>
      </c>
      <c r="Q1954">
        <f>tblOrders[[#This Row],[TotalSales]]-tblOrders[[#This Row],[Calculated Sales]]</f>
        <v>0</v>
      </c>
    </row>
    <row r="1955" spans="1:17" x14ac:dyDescent="0.25">
      <c r="A1955">
        <v>948</v>
      </c>
      <c r="B1955">
        <v>85</v>
      </c>
      <c r="C1955" t="str">
        <f>_xlfn.XLOOKUP(tblOrders[[#This Row],[CustomerID]],tblCustomers[CustomerID],tblCustomers[CustomerName],"not found")</f>
        <v>Thomas Young</v>
      </c>
      <c r="D1955">
        <f>_xlfn.XLOOKUP(tblOrders[[#This Row],[CustomerID]],tblCustomers[CustomerID],tblCustomers[Age],"not found")</f>
        <v>29</v>
      </c>
      <c r="E1955" t="str">
        <f>_xlfn.XLOOKUP(tblOrders[[#This Row],[CustomerID]],tblCustomers[CustomerID],tblCustomers[Gender],"not found")</f>
        <v>Male</v>
      </c>
      <c r="F1955" t="str">
        <f>_xlfn.XLOOKUP(tblOrders[[#This Row],[CustomerID]],tblCustomers[CustomerID],tblCustomers[Region],"not found")</f>
        <v>East</v>
      </c>
      <c r="G1955">
        <v>1046</v>
      </c>
      <c r="H1955" t="str">
        <f>_xlfn.XLOOKUP(tblOrders[[#This Row],[ProductID]],tblProducts[ProductID],tblProducts[ProductName],"not found")</f>
        <v>Edge</v>
      </c>
      <c r="I1955" t="str">
        <f>_xlfn.XLOOKUP(tblOrders[[#This Row],[ProductID]],tblProducts[ProductID],tblProducts[Category],"not found")</f>
        <v>Beauty</v>
      </c>
      <c r="J1955">
        <f>_xlfn.XLOOKUP(tblOrders[[#This Row],[ProductID]],tblProducts[ProductID],tblProducts[UnitPrice],"not found")</f>
        <v>259.04000000000002</v>
      </c>
      <c r="K1955" t="str">
        <f>_xlfn.XLOOKUP(tblOrders[[#This Row],[ProductID]],tblProducts[ProductID],tblProducts[Supplier],"not found")</f>
        <v>Reid Inc</v>
      </c>
      <c r="L1955" s="1">
        <v>44967</v>
      </c>
      <c r="M195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44967</v>
      </c>
      <c r="N1955">
        <v>6</v>
      </c>
      <c r="O1955">
        <v>1554.24</v>
      </c>
      <c r="P1955">
        <f>tblOrders[[#This Row],[Quantity]]*tblOrders[[#This Row],[Unit Price]]</f>
        <v>1554.2400000000002</v>
      </c>
      <c r="Q1955">
        <f>tblOrders[[#This Row],[TotalSales]]-tblOrders[[#This Row],[Calculated Sales]]</f>
        <v>0</v>
      </c>
    </row>
    <row r="1956" spans="1:17" x14ac:dyDescent="0.25">
      <c r="A1956">
        <v>1187</v>
      </c>
      <c r="B1956">
        <v>568</v>
      </c>
      <c r="C1956" t="str">
        <f>_xlfn.XLOOKUP(tblOrders[[#This Row],[CustomerID]],tblCustomers[CustomerID],tblCustomers[CustomerName],"not found")</f>
        <v>Wayne Fernandez</v>
      </c>
      <c r="D1956">
        <f>_xlfn.XLOOKUP(tblOrders[[#This Row],[CustomerID]],tblCustomers[CustomerID],tblCustomers[Age],"not found")</f>
        <v>31</v>
      </c>
      <c r="E1956" t="str">
        <f>_xlfn.XLOOKUP(tblOrders[[#This Row],[CustomerID]],tblCustomers[CustomerID],tblCustomers[Gender],"not found")</f>
        <v>Male</v>
      </c>
      <c r="F1956" t="str">
        <f>_xlfn.XLOOKUP(tblOrders[[#This Row],[CustomerID]],tblCustomers[CustomerID],tblCustomers[Region],"not found")</f>
        <v>Central</v>
      </c>
      <c r="G1956">
        <v>1046</v>
      </c>
      <c r="H1956" t="str">
        <f>_xlfn.XLOOKUP(tblOrders[[#This Row],[ProductID]],tblProducts[ProductID],tblProducts[ProductName],"not found")</f>
        <v>Edge</v>
      </c>
      <c r="I1956" t="str">
        <f>_xlfn.XLOOKUP(tblOrders[[#This Row],[ProductID]],tblProducts[ProductID],tblProducts[Category],"not found")</f>
        <v>Beauty</v>
      </c>
      <c r="J1956">
        <f>_xlfn.XLOOKUP(tblOrders[[#This Row],[ProductID]],tblProducts[ProductID],tblProducts[UnitPrice],"not found")</f>
        <v>259.04000000000002</v>
      </c>
      <c r="K1956" t="str">
        <f>_xlfn.XLOOKUP(tblOrders[[#This Row],[ProductID]],tblProducts[ProductID],tblProducts[Supplier],"not found")</f>
        <v>Reid Inc</v>
      </c>
      <c r="L1956" s="1" t="s">
        <v>2405</v>
      </c>
      <c r="M195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45350</v>
      </c>
      <c r="N1956">
        <v>1</v>
      </c>
      <c r="O1956">
        <v>259.04000000000002</v>
      </c>
      <c r="P1956">
        <f>tblOrders[[#This Row],[Quantity]]*tblOrders[[#This Row],[Unit Price]]</f>
        <v>259.04000000000002</v>
      </c>
      <c r="Q1956">
        <f>tblOrders[[#This Row],[TotalSales]]-tblOrders[[#This Row],[Calculated Sales]]</f>
        <v>0</v>
      </c>
    </row>
    <row r="1957" spans="1:17" x14ac:dyDescent="0.25">
      <c r="A1957">
        <v>1356</v>
      </c>
      <c r="B1957">
        <v>296</v>
      </c>
      <c r="C1957" t="str">
        <f>_xlfn.XLOOKUP(tblOrders[[#This Row],[CustomerID]],tblCustomers[CustomerID],tblCustomers[CustomerName],"not found")</f>
        <v>Kelly Williams</v>
      </c>
      <c r="D1957">
        <f>_xlfn.XLOOKUP(tblOrders[[#This Row],[CustomerID]],tblCustomers[CustomerID],tblCustomers[Age],"not found")</f>
        <v>30</v>
      </c>
      <c r="E1957" t="str">
        <f>_xlfn.XLOOKUP(tblOrders[[#This Row],[CustomerID]],tblCustomers[CustomerID],tblCustomers[Gender],"not found")</f>
        <v>Male</v>
      </c>
      <c r="F1957" t="str">
        <f>_xlfn.XLOOKUP(tblOrders[[#This Row],[CustomerID]],tblCustomers[CustomerID],tblCustomers[Region],"not found")</f>
        <v>North</v>
      </c>
      <c r="G1957">
        <v>1046</v>
      </c>
      <c r="H1957" t="str">
        <f>_xlfn.XLOOKUP(tblOrders[[#This Row],[ProductID]],tblProducts[ProductID],tblProducts[ProductName],"not found")</f>
        <v>Edge</v>
      </c>
      <c r="I1957" t="str">
        <f>_xlfn.XLOOKUP(tblOrders[[#This Row],[ProductID]],tblProducts[ProductID],tblProducts[Category],"not found")</f>
        <v>Beauty</v>
      </c>
      <c r="J1957">
        <f>_xlfn.XLOOKUP(tblOrders[[#This Row],[ProductID]],tblProducts[ProductID],tblProducts[UnitPrice],"not found")</f>
        <v>259.04000000000002</v>
      </c>
      <c r="K1957" t="str">
        <f>_xlfn.XLOOKUP(tblOrders[[#This Row],[ProductID]],tblProducts[ProductID],tblProducts[Supplier],"not found")</f>
        <v>Reid Inc</v>
      </c>
      <c r="L1957" s="1">
        <v>45327</v>
      </c>
      <c r="M195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45327</v>
      </c>
      <c r="N1957">
        <v>5</v>
      </c>
      <c r="O1957">
        <v>1295.2</v>
      </c>
      <c r="P1957">
        <f>tblOrders[[#This Row],[Quantity]]*tblOrders[[#This Row],[Unit Price]]</f>
        <v>1295.2</v>
      </c>
      <c r="Q1957">
        <f>tblOrders[[#This Row],[TotalSales]]-tblOrders[[#This Row],[Calculated Sales]]</f>
        <v>0</v>
      </c>
    </row>
    <row r="1958" spans="1:17" x14ac:dyDescent="0.25">
      <c r="A1958">
        <v>1395</v>
      </c>
      <c r="B1958">
        <v>764</v>
      </c>
      <c r="C1958" t="str">
        <f>_xlfn.XLOOKUP(tblOrders[[#This Row],[CustomerID]],tblCustomers[CustomerID],tblCustomers[CustomerName],"not found")</f>
        <v>Joshua Thompson</v>
      </c>
      <c r="D1958">
        <f>_xlfn.XLOOKUP(tblOrders[[#This Row],[CustomerID]],tblCustomers[CustomerID],tblCustomers[Age],"not found")</f>
        <v>62</v>
      </c>
      <c r="E1958" t="str">
        <f>_xlfn.XLOOKUP(tblOrders[[#This Row],[CustomerID]],tblCustomers[CustomerID],tblCustomers[Gender],"not found")</f>
        <v>Female</v>
      </c>
      <c r="F1958" t="str">
        <f>_xlfn.XLOOKUP(tblOrders[[#This Row],[CustomerID]],tblCustomers[CustomerID],tblCustomers[Region],"not found")</f>
        <v>East</v>
      </c>
      <c r="G1958">
        <v>1046</v>
      </c>
      <c r="H1958" t="str">
        <f>_xlfn.XLOOKUP(tblOrders[[#This Row],[ProductID]],tblProducts[ProductID],tblProducts[ProductName],"not found")</f>
        <v>Edge</v>
      </c>
      <c r="I1958" t="str">
        <f>_xlfn.XLOOKUP(tblOrders[[#This Row],[ProductID]],tblProducts[ProductID],tblProducts[Category],"not found")</f>
        <v>Beauty</v>
      </c>
      <c r="J1958">
        <f>_xlfn.XLOOKUP(tblOrders[[#This Row],[ProductID]],tblProducts[ProductID],tblProducts[UnitPrice],"not found")</f>
        <v>259.04000000000002</v>
      </c>
      <c r="K1958" t="str">
        <f>_xlfn.XLOOKUP(tblOrders[[#This Row],[ProductID]],tblProducts[ProductID],tblProducts[Supplier],"not found")</f>
        <v>Reid Inc</v>
      </c>
      <c r="L1958" s="1" t="s">
        <v>2349</v>
      </c>
      <c r="M195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45287</v>
      </c>
      <c r="N1958">
        <v>5</v>
      </c>
      <c r="O1958">
        <v>1295.2</v>
      </c>
      <c r="P1958">
        <f>tblOrders[[#This Row],[Quantity]]*tblOrders[[#This Row],[Unit Price]]</f>
        <v>1295.2</v>
      </c>
      <c r="Q1958">
        <f>tblOrders[[#This Row],[TotalSales]]-tblOrders[[#This Row],[Calculated Sales]]</f>
        <v>0</v>
      </c>
    </row>
    <row r="1959" spans="1:17" x14ac:dyDescent="0.25">
      <c r="A1959">
        <v>1419</v>
      </c>
      <c r="B1959">
        <v>447</v>
      </c>
      <c r="C1959" t="str">
        <f>_xlfn.XLOOKUP(tblOrders[[#This Row],[CustomerID]],tblCustomers[CustomerID],tblCustomers[CustomerName],"not found")</f>
        <v>Melissa Tucker</v>
      </c>
      <c r="D1959">
        <f>_xlfn.XLOOKUP(tblOrders[[#This Row],[CustomerID]],tblCustomers[CustomerID],tblCustomers[Age],"not found")</f>
        <v>19</v>
      </c>
      <c r="E1959" t="str">
        <f>_xlfn.XLOOKUP(tblOrders[[#This Row],[CustomerID]],tblCustomers[CustomerID],tblCustomers[Gender],"not found")</f>
        <v>Female</v>
      </c>
      <c r="F1959" t="str">
        <f>_xlfn.XLOOKUP(tblOrders[[#This Row],[CustomerID]],tblCustomers[CustomerID],tblCustomers[Region],"not found")</f>
        <v>North</v>
      </c>
      <c r="G1959">
        <v>1046</v>
      </c>
      <c r="H1959" t="str">
        <f>_xlfn.XLOOKUP(tblOrders[[#This Row],[ProductID]],tblProducts[ProductID],tblProducts[ProductName],"not found")</f>
        <v>Edge</v>
      </c>
      <c r="I1959" t="str">
        <f>_xlfn.XLOOKUP(tblOrders[[#This Row],[ProductID]],tblProducts[ProductID],tblProducts[Category],"not found")</f>
        <v>Beauty</v>
      </c>
      <c r="J1959">
        <f>_xlfn.XLOOKUP(tblOrders[[#This Row],[ProductID]],tblProducts[ProductID],tblProducts[UnitPrice],"not found")</f>
        <v>259.04000000000002</v>
      </c>
      <c r="K1959" t="str">
        <f>_xlfn.XLOOKUP(tblOrders[[#This Row],[ProductID]],tblProducts[ProductID],tblProducts[Supplier],"not found")</f>
        <v>Reid Inc</v>
      </c>
      <c r="L1959" s="1" t="s">
        <v>2257</v>
      </c>
      <c r="M195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44956</v>
      </c>
      <c r="N1959">
        <v>1</v>
      </c>
      <c r="O1959">
        <v>259.04000000000002</v>
      </c>
      <c r="P1959">
        <f>tblOrders[[#This Row],[Quantity]]*tblOrders[[#This Row],[Unit Price]]</f>
        <v>259.04000000000002</v>
      </c>
      <c r="Q1959">
        <f>tblOrders[[#This Row],[TotalSales]]-tblOrders[[#This Row],[Calculated Sales]]</f>
        <v>0</v>
      </c>
    </row>
    <row r="1960" spans="1:17" x14ac:dyDescent="0.25">
      <c r="A1960">
        <v>1452</v>
      </c>
      <c r="B1960">
        <v>251</v>
      </c>
      <c r="C1960" t="str">
        <f>_xlfn.XLOOKUP(tblOrders[[#This Row],[CustomerID]],tblCustomers[CustomerID],tblCustomers[CustomerName],"not found")</f>
        <v>Jessica Hamilton</v>
      </c>
      <c r="D1960">
        <f>_xlfn.XLOOKUP(tblOrders[[#This Row],[CustomerID]],tblCustomers[CustomerID],tblCustomers[Age],"not found")</f>
        <v>47</v>
      </c>
      <c r="E1960" t="str">
        <f>_xlfn.XLOOKUP(tblOrders[[#This Row],[CustomerID]],tblCustomers[CustomerID],tblCustomers[Gender],"not found")</f>
        <v>Male</v>
      </c>
      <c r="F1960" t="str">
        <f>_xlfn.XLOOKUP(tblOrders[[#This Row],[CustomerID]],tblCustomers[CustomerID],tblCustomers[Region],"not found")</f>
        <v>West</v>
      </c>
      <c r="G1960">
        <v>1046</v>
      </c>
      <c r="H1960" t="str">
        <f>_xlfn.XLOOKUP(tblOrders[[#This Row],[ProductID]],tblProducts[ProductID],tblProducts[ProductName],"not found")</f>
        <v>Edge</v>
      </c>
      <c r="I1960" t="str">
        <f>_xlfn.XLOOKUP(tblOrders[[#This Row],[ProductID]],tblProducts[ProductID],tblProducts[Category],"not found")</f>
        <v>Beauty</v>
      </c>
      <c r="J1960">
        <f>_xlfn.XLOOKUP(tblOrders[[#This Row],[ProductID]],tblProducts[ProductID],tblProducts[UnitPrice],"not found")</f>
        <v>259.04000000000002</v>
      </c>
      <c r="K1960" t="str">
        <f>_xlfn.XLOOKUP(tblOrders[[#This Row],[ProductID]],tblProducts[ProductID],tblProducts[Supplier],"not found")</f>
        <v>Reid Inc</v>
      </c>
      <c r="L1960" s="1" t="s">
        <v>2260</v>
      </c>
      <c r="M196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44910</v>
      </c>
      <c r="N1960">
        <v>6</v>
      </c>
      <c r="O1960">
        <v>1554.24</v>
      </c>
      <c r="P1960">
        <f>tblOrders[[#This Row],[Quantity]]*tblOrders[[#This Row],[Unit Price]]</f>
        <v>1554.2400000000002</v>
      </c>
      <c r="Q1960">
        <f>tblOrders[[#This Row],[TotalSales]]-tblOrders[[#This Row],[Calculated Sales]]</f>
        <v>0</v>
      </c>
    </row>
    <row r="1961" spans="1:17" x14ac:dyDescent="0.25">
      <c r="A1961">
        <v>1454</v>
      </c>
      <c r="B1961">
        <v>918</v>
      </c>
      <c r="C1961" t="str">
        <f>_xlfn.XLOOKUP(tblOrders[[#This Row],[CustomerID]],tblCustomers[CustomerID],tblCustomers[CustomerName],"not found")</f>
        <v>Erin Robinson</v>
      </c>
      <c r="D1961">
        <f>_xlfn.XLOOKUP(tblOrders[[#This Row],[CustomerID]],tblCustomers[CustomerID],tblCustomers[Age],"not found")</f>
        <v>67</v>
      </c>
      <c r="E1961" t="str">
        <f>_xlfn.XLOOKUP(tblOrders[[#This Row],[CustomerID]],tblCustomers[CustomerID],tblCustomers[Gender],"not found")</f>
        <v>Male</v>
      </c>
      <c r="F1961" t="str">
        <f>_xlfn.XLOOKUP(tblOrders[[#This Row],[CustomerID]],tblCustomers[CustomerID],tblCustomers[Region],"not found")</f>
        <v>South</v>
      </c>
      <c r="G1961">
        <v>1046</v>
      </c>
      <c r="H1961" t="str">
        <f>_xlfn.XLOOKUP(tblOrders[[#This Row],[ProductID]],tblProducts[ProductID],tblProducts[ProductName],"not found")</f>
        <v>Edge</v>
      </c>
      <c r="I1961" t="str">
        <f>_xlfn.XLOOKUP(tblOrders[[#This Row],[ProductID]],tblProducts[ProductID],tblProducts[Category],"not found")</f>
        <v>Beauty</v>
      </c>
      <c r="J1961">
        <f>_xlfn.XLOOKUP(tblOrders[[#This Row],[ProductID]],tblProducts[ProductID],tblProducts[UnitPrice],"not found")</f>
        <v>259.04000000000002</v>
      </c>
      <c r="K1961" t="str">
        <f>_xlfn.XLOOKUP(tblOrders[[#This Row],[ProductID]],tblProducts[ProductID],tblProducts[Supplier],"not found")</f>
        <v>Reid Inc</v>
      </c>
      <c r="L1961" s="1" t="s">
        <v>2153</v>
      </c>
      <c r="M196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44985</v>
      </c>
      <c r="N1961">
        <v>3</v>
      </c>
      <c r="O1961">
        <v>777.12</v>
      </c>
      <c r="P1961">
        <f>tblOrders[[#This Row],[Quantity]]*tblOrders[[#This Row],[Unit Price]]</f>
        <v>777.12000000000012</v>
      </c>
      <c r="Q1961">
        <f>tblOrders[[#This Row],[TotalSales]]-tblOrders[[#This Row],[Calculated Sales]]</f>
        <v>0</v>
      </c>
    </row>
    <row r="1962" spans="1:17" x14ac:dyDescent="0.25">
      <c r="A1962">
        <v>1482</v>
      </c>
      <c r="B1962">
        <v>586</v>
      </c>
      <c r="C1962" t="str">
        <f>_xlfn.XLOOKUP(tblOrders[[#This Row],[CustomerID]],tblCustomers[CustomerID],tblCustomers[CustomerName],"not found")</f>
        <v>Lauren King</v>
      </c>
      <c r="D1962">
        <f>_xlfn.XLOOKUP(tblOrders[[#This Row],[CustomerID]],tblCustomers[CustomerID],tblCustomers[Age],"not found")</f>
        <v>60</v>
      </c>
      <c r="E1962" t="str">
        <f>_xlfn.XLOOKUP(tblOrders[[#This Row],[CustomerID]],tblCustomers[CustomerID],tblCustomers[Gender],"not found")</f>
        <v>Female</v>
      </c>
      <c r="F1962" t="str">
        <f>_xlfn.XLOOKUP(tblOrders[[#This Row],[CustomerID]],tblCustomers[CustomerID],tblCustomers[Region],"not found")</f>
        <v>North</v>
      </c>
      <c r="G1962">
        <v>1046</v>
      </c>
      <c r="H1962" t="str">
        <f>_xlfn.XLOOKUP(tblOrders[[#This Row],[ProductID]],tblProducts[ProductID],tblProducts[ProductName],"not found")</f>
        <v>Edge</v>
      </c>
      <c r="I1962" t="str">
        <f>_xlfn.XLOOKUP(tblOrders[[#This Row],[ProductID]],tblProducts[ProductID],tblProducts[Category],"not found")</f>
        <v>Beauty</v>
      </c>
      <c r="J1962">
        <f>_xlfn.XLOOKUP(tblOrders[[#This Row],[ProductID]],tblProducts[ProductID],tblProducts[UnitPrice],"not found")</f>
        <v>259.04000000000002</v>
      </c>
      <c r="K1962" t="str">
        <f>_xlfn.XLOOKUP(tblOrders[[#This Row],[ProductID]],tblProducts[ProductID],tblProducts[Supplier],"not found")</f>
        <v>Reid Inc</v>
      </c>
      <c r="L1962" s="1">
        <v>44994</v>
      </c>
      <c r="M196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44994</v>
      </c>
      <c r="N1962">
        <v>9</v>
      </c>
      <c r="O1962">
        <v>2331.36</v>
      </c>
      <c r="P1962">
        <f>tblOrders[[#This Row],[Quantity]]*tblOrders[[#This Row],[Unit Price]]</f>
        <v>2331.36</v>
      </c>
      <c r="Q1962">
        <f>tblOrders[[#This Row],[TotalSales]]-tblOrders[[#This Row],[Calculated Sales]]</f>
        <v>0</v>
      </c>
    </row>
    <row r="1963" spans="1:17" x14ac:dyDescent="0.25">
      <c r="A1963">
        <v>1484</v>
      </c>
      <c r="B1963">
        <v>341</v>
      </c>
      <c r="C1963" t="str">
        <f>_xlfn.XLOOKUP(tblOrders[[#This Row],[CustomerID]],tblCustomers[CustomerID],tblCustomers[CustomerName],"not found")</f>
        <v>John Esparza</v>
      </c>
      <c r="D1963">
        <f>_xlfn.XLOOKUP(tblOrders[[#This Row],[CustomerID]],tblCustomers[CustomerID],tblCustomers[Age],"not found")</f>
        <v>49</v>
      </c>
      <c r="E1963" t="str">
        <f>_xlfn.XLOOKUP(tblOrders[[#This Row],[CustomerID]],tblCustomers[CustomerID],tblCustomers[Gender],"not found")</f>
        <v>Male</v>
      </c>
      <c r="F1963" t="str">
        <f>_xlfn.XLOOKUP(tblOrders[[#This Row],[CustomerID]],tblCustomers[CustomerID],tblCustomers[Region],"not found")</f>
        <v>East</v>
      </c>
      <c r="G1963">
        <v>1046</v>
      </c>
      <c r="H1963" t="str">
        <f>_xlfn.XLOOKUP(tblOrders[[#This Row],[ProductID]],tblProducts[ProductID],tblProducts[ProductName],"not found")</f>
        <v>Edge</v>
      </c>
      <c r="I1963" t="str">
        <f>_xlfn.XLOOKUP(tblOrders[[#This Row],[ProductID]],tblProducts[ProductID],tblProducts[Category],"not found")</f>
        <v>Beauty</v>
      </c>
      <c r="J1963">
        <f>_xlfn.XLOOKUP(tblOrders[[#This Row],[ProductID]],tblProducts[ProductID],tblProducts[UnitPrice],"not found")</f>
        <v>259.04000000000002</v>
      </c>
      <c r="K1963" t="str">
        <f>_xlfn.XLOOKUP(tblOrders[[#This Row],[ProductID]],tblProducts[ProductID],tblProducts[Supplier],"not found")</f>
        <v>Reid Inc</v>
      </c>
      <c r="L1963" s="1">
        <v>44937</v>
      </c>
      <c r="M196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44937</v>
      </c>
      <c r="N1963">
        <v>2</v>
      </c>
      <c r="O1963">
        <v>518.08000000000004</v>
      </c>
      <c r="P1963">
        <f>tblOrders[[#This Row],[Quantity]]*tblOrders[[#This Row],[Unit Price]]</f>
        <v>518.08000000000004</v>
      </c>
      <c r="Q1963">
        <f>tblOrders[[#This Row],[TotalSales]]-tblOrders[[#This Row],[Calculated Sales]]</f>
        <v>0</v>
      </c>
    </row>
    <row r="1964" spans="1:17" x14ac:dyDescent="0.25">
      <c r="A1964">
        <v>1504</v>
      </c>
      <c r="B1964">
        <v>739</v>
      </c>
      <c r="C1964" t="str">
        <f>_xlfn.XLOOKUP(tblOrders[[#This Row],[CustomerID]],tblCustomers[CustomerID],tblCustomers[CustomerName],"not found")</f>
        <v>Steven Young</v>
      </c>
      <c r="D1964">
        <f>_xlfn.XLOOKUP(tblOrders[[#This Row],[CustomerID]],tblCustomers[CustomerID],tblCustomers[Age],"not found")</f>
        <v>68</v>
      </c>
      <c r="E1964" t="str">
        <f>_xlfn.XLOOKUP(tblOrders[[#This Row],[CustomerID]],tblCustomers[CustomerID],tblCustomers[Gender],"not found")</f>
        <v>Male</v>
      </c>
      <c r="F1964" t="str">
        <f>_xlfn.XLOOKUP(tblOrders[[#This Row],[CustomerID]],tblCustomers[CustomerID],tblCustomers[Region],"not found")</f>
        <v>North</v>
      </c>
      <c r="G1964">
        <v>1046</v>
      </c>
      <c r="H1964" t="str">
        <f>_xlfn.XLOOKUP(tblOrders[[#This Row],[ProductID]],tblProducts[ProductID],tblProducts[ProductName],"not found")</f>
        <v>Edge</v>
      </c>
      <c r="I1964" t="str">
        <f>_xlfn.XLOOKUP(tblOrders[[#This Row],[ProductID]],tblProducts[ProductID],tblProducts[Category],"not found")</f>
        <v>Beauty</v>
      </c>
      <c r="J1964">
        <f>_xlfn.XLOOKUP(tblOrders[[#This Row],[ProductID]],tblProducts[ProductID],tblProducts[UnitPrice],"not found")</f>
        <v>259.04000000000002</v>
      </c>
      <c r="K1964" t="str">
        <f>_xlfn.XLOOKUP(tblOrders[[#This Row],[ProductID]],tblProducts[ProductID],tblProducts[Supplier],"not found")</f>
        <v>Reid Inc</v>
      </c>
      <c r="L1964" s="1" t="s">
        <v>2169</v>
      </c>
      <c r="M196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45167</v>
      </c>
      <c r="N1964">
        <v>9</v>
      </c>
      <c r="O1964">
        <v>2331.36</v>
      </c>
      <c r="P1964">
        <f>tblOrders[[#This Row],[Quantity]]*tblOrders[[#This Row],[Unit Price]]</f>
        <v>2331.36</v>
      </c>
      <c r="Q1964">
        <f>tblOrders[[#This Row],[TotalSales]]-tblOrders[[#This Row],[Calculated Sales]]</f>
        <v>0</v>
      </c>
    </row>
    <row r="1965" spans="1:17" x14ac:dyDescent="0.25">
      <c r="A1965">
        <v>1519</v>
      </c>
      <c r="B1965">
        <v>5</v>
      </c>
      <c r="C1965" t="str">
        <f>_xlfn.XLOOKUP(tblOrders[[#This Row],[CustomerID]],tblCustomers[CustomerID],tblCustomers[CustomerName],"not found")</f>
        <v>Brian Wheeler</v>
      </c>
      <c r="D1965">
        <f>_xlfn.XLOOKUP(tblOrders[[#This Row],[CustomerID]],tblCustomers[CustomerID],tblCustomers[Age],"not found")</f>
        <v>18</v>
      </c>
      <c r="E1965" t="str">
        <f>_xlfn.XLOOKUP(tblOrders[[#This Row],[CustomerID]],tblCustomers[CustomerID],tblCustomers[Gender],"not found")</f>
        <v>Female</v>
      </c>
      <c r="F1965" t="str">
        <f>_xlfn.XLOOKUP(tblOrders[[#This Row],[CustomerID]],tblCustomers[CustomerID],tblCustomers[Region],"not found")</f>
        <v>South</v>
      </c>
      <c r="G1965">
        <v>1046</v>
      </c>
      <c r="H1965" t="str">
        <f>_xlfn.XLOOKUP(tblOrders[[#This Row],[ProductID]],tblProducts[ProductID],tblProducts[ProductName],"not found")</f>
        <v>Edge</v>
      </c>
      <c r="I1965" t="str">
        <f>_xlfn.XLOOKUP(tblOrders[[#This Row],[ProductID]],tblProducts[ProductID],tblProducts[Category],"not found")</f>
        <v>Beauty</v>
      </c>
      <c r="J1965">
        <f>_xlfn.XLOOKUP(tblOrders[[#This Row],[ProductID]],tblProducts[ProductID],tblProducts[UnitPrice],"not found")</f>
        <v>259.04000000000002</v>
      </c>
      <c r="K1965" t="str">
        <f>_xlfn.XLOOKUP(tblOrders[[#This Row],[ProductID]],tblProducts[ProductID],tblProducts[Supplier],"not found")</f>
        <v>Reid Inc</v>
      </c>
      <c r="L1965" s="1" t="s">
        <v>2352</v>
      </c>
      <c r="M196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44913</v>
      </c>
      <c r="N1965">
        <v>3</v>
      </c>
      <c r="O1965">
        <v>777.12</v>
      </c>
      <c r="P1965">
        <f>tblOrders[[#This Row],[Quantity]]*tblOrders[[#This Row],[Unit Price]]</f>
        <v>777.12000000000012</v>
      </c>
      <c r="Q1965">
        <f>tblOrders[[#This Row],[TotalSales]]-tblOrders[[#This Row],[Calculated Sales]]</f>
        <v>0</v>
      </c>
    </row>
    <row r="1966" spans="1:17" x14ac:dyDescent="0.25">
      <c r="A1966">
        <v>1610</v>
      </c>
      <c r="B1966">
        <v>271</v>
      </c>
      <c r="C1966" t="str">
        <f>_xlfn.XLOOKUP(tblOrders[[#This Row],[CustomerID]],tblCustomers[CustomerID],tblCustomers[CustomerName],"not found")</f>
        <v>Katherine Bowman</v>
      </c>
      <c r="D1966">
        <f>_xlfn.XLOOKUP(tblOrders[[#This Row],[CustomerID]],tblCustomers[CustomerID],tblCustomers[Age],"not found")</f>
        <v>37</v>
      </c>
      <c r="E1966" t="str">
        <f>_xlfn.XLOOKUP(tblOrders[[#This Row],[CustomerID]],tblCustomers[CustomerID],tblCustomers[Gender],"not found")</f>
        <v>Female</v>
      </c>
      <c r="F1966" t="str">
        <f>_xlfn.XLOOKUP(tblOrders[[#This Row],[CustomerID]],tblCustomers[CustomerID],tblCustomers[Region],"not found")</f>
        <v>North</v>
      </c>
      <c r="G1966">
        <v>1046</v>
      </c>
      <c r="H1966" t="str">
        <f>_xlfn.XLOOKUP(tblOrders[[#This Row],[ProductID]],tblProducts[ProductID],tblProducts[ProductName],"not found")</f>
        <v>Edge</v>
      </c>
      <c r="I1966" t="str">
        <f>_xlfn.XLOOKUP(tblOrders[[#This Row],[ProductID]],tblProducts[ProductID],tblProducts[Category],"not found")</f>
        <v>Beauty</v>
      </c>
      <c r="J1966">
        <f>_xlfn.XLOOKUP(tblOrders[[#This Row],[ProductID]],tblProducts[ProductID],tblProducts[UnitPrice],"not found")</f>
        <v>259.04000000000002</v>
      </c>
      <c r="K1966" t="str">
        <f>_xlfn.XLOOKUP(tblOrders[[#This Row],[ProductID]],tblProducts[ProductID],tblProducts[Supplier],"not found")</f>
        <v>Reid Inc</v>
      </c>
      <c r="L1966" s="1">
        <v>44932</v>
      </c>
      <c r="M196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44932</v>
      </c>
      <c r="N1966">
        <v>2</v>
      </c>
      <c r="O1966">
        <v>518.08000000000004</v>
      </c>
      <c r="P1966">
        <f>tblOrders[[#This Row],[Quantity]]*tblOrders[[#This Row],[Unit Price]]</f>
        <v>518.08000000000004</v>
      </c>
      <c r="Q1966">
        <f>tblOrders[[#This Row],[TotalSales]]-tblOrders[[#This Row],[Calculated Sales]]</f>
        <v>0</v>
      </c>
    </row>
    <row r="1967" spans="1:17" x14ac:dyDescent="0.25">
      <c r="A1967">
        <v>1819</v>
      </c>
      <c r="B1967">
        <v>27</v>
      </c>
      <c r="C1967" t="str">
        <f>_xlfn.XLOOKUP(tblOrders[[#This Row],[CustomerID]],tblCustomers[CustomerID],tblCustomers[CustomerName],"not found")</f>
        <v>Rodney Armstrong</v>
      </c>
      <c r="D1967">
        <f>_xlfn.XLOOKUP(tblOrders[[#This Row],[CustomerID]],tblCustomers[CustomerID],tblCustomers[Age],"not found")</f>
        <v>66</v>
      </c>
      <c r="E1967" t="str">
        <f>_xlfn.XLOOKUP(tblOrders[[#This Row],[CustomerID]],tblCustomers[CustomerID],tblCustomers[Gender],"not found")</f>
        <v>Female</v>
      </c>
      <c r="F1967" t="str">
        <f>_xlfn.XLOOKUP(tblOrders[[#This Row],[CustomerID]],tblCustomers[CustomerID],tblCustomers[Region],"not found")</f>
        <v>East</v>
      </c>
      <c r="G1967">
        <v>1046</v>
      </c>
      <c r="H1967" t="str">
        <f>_xlfn.XLOOKUP(tblOrders[[#This Row],[ProductID]],tblProducts[ProductID],tblProducts[ProductName],"not found")</f>
        <v>Edge</v>
      </c>
      <c r="I1967" t="str">
        <f>_xlfn.XLOOKUP(tblOrders[[#This Row],[ProductID]],tblProducts[ProductID],tblProducts[Category],"not found")</f>
        <v>Beauty</v>
      </c>
      <c r="J1967">
        <f>_xlfn.XLOOKUP(tblOrders[[#This Row],[ProductID]],tblProducts[ProductID],tblProducts[UnitPrice],"not found")</f>
        <v>259.04000000000002</v>
      </c>
      <c r="K1967" t="str">
        <f>_xlfn.XLOOKUP(tblOrders[[#This Row],[ProductID]],tblProducts[ProductID],tblProducts[Supplier],"not found")</f>
        <v>Reid Inc</v>
      </c>
      <c r="L1967" s="1" t="s">
        <v>2281</v>
      </c>
      <c r="M196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45014</v>
      </c>
      <c r="N1967">
        <v>5</v>
      </c>
      <c r="O1967">
        <v>1295.2</v>
      </c>
      <c r="P1967">
        <f>tblOrders[[#This Row],[Quantity]]*tblOrders[[#This Row],[Unit Price]]</f>
        <v>1295.2</v>
      </c>
      <c r="Q1967">
        <f>tblOrders[[#This Row],[TotalSales]]-tblOrders[[#This Row],[Calculated Sales]]</f>
        <v>0</v>
      </c>
    </row>
    <row r="1968" spans="1:17" x14ac:dyDescent="0.25">
      <c r="A1968">
        <v>405</v>
      </c>
      <c r="B1968">
        <v>671</v>
      </c>
      <c r="C1968" t="str">
        <f>_xlfn.XLOOKUP(tblOrders[[#This Row],[CustomerID]],tblCustomers[CustomerID],tblCustomers[CustomerName],"not found")</f>
        <v>Joseph Reeves</v>
      </c>
      <c r="D1968">
        <f>_xlfn.XLOOKUP(tblOrders[[#This Row],[CustomerID]],tblCustomers[CustomerID],tblCustomers[Age],"not found")</f>
        <v>69</v>
      </c>
      <c r="E1968" t="str">
        <f>_xlfn.XLOOKUP(tblOrders[[#This Row],[CustomerID]],tblCustomers[CustomerID],tblCustomers[Gender],"not found")</f>
        <v>Male</v>
      </c>
      <c r="F1968" t="str">
        <f>_xlfn.XLOOKUP(tblOrders[[#This Row],[CustomerID]],tblCustomers[CustomerID],tblCustomers[Region],"not found")</f>
        <v>North</v>
      </c>
      <c r="G1968">
        <v>1051</v>
      </c>
      <c r="H1968" t="str">
        <f>_xlfn.XLOOKUP(tblOrders[[#This Row],[ProductID]],tblProducts[ProductID],tblProducts[ProductName],"not found")</f>
        <v>Rest</v>
      </c>
      <c r="I1968" t="str">
        <f>_xlfn.XLOOKUP(tblOrders[[#This Row],[ProductID]],tblProducts[ProductID],tblProducts[Category],"not found")</f>
        <v>Beauty</v>
      </c>
      <c r="J1968">
        <f>_xlfn.XLOOKUP(tblOrders[[#This Row],[ProductID]],tblProducts[ProductID],tblProducts[UnitPrice],"not found")</f>
        <v>64.47</v>
      </c>
      <c r="K1968" t="str">
        <f>_xlfn.XLOOKUP(tblOrders[[#This Row],[ProductID]],tblProducts[ProductID],tblProducts[Supplier],"not found")</f>
        <v>Scott-Roberson</v>
      </c>
      <c r="L1968" s="1" t="s">
        <v>2185</v>
      </c>
      <c r="M196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44890</v>
      </c>
      <c r="N1968">
        <v>3</v>
      </c>
      <c r="O1968">
        <v>193.41</v>
      </c>
      <c r="P1968">
        <f>tblOrders[[#This Row],[Quantity]]*tblOrders[[#This Row],[Unit Price]]</f>
        <v>193.41</v>
      </c>
      <c r="Q1968">
        <f>tblOrders[[#This Row],[TotalSales]]-tblOrders[[#This Row],[Calculated Sales]]</f>
        <v>0</v>
      </c>
    </row>
    <row r="1969" spans="1:17" x14ac:dyDescent="0.25">
      <c r="A1969">
        <v>413</v>
      </c>
      <c r="B1969">
        <v>328</v>
      </c>
      <c r="C1969" t="str">
        <f>_xlfn.XLOOKUP(tblOrders[[#This Row],[CustomerID]],tblCustomers[CustomerID],tblCustomers[CustomerName],"not found")</f>
        <v>Stephanie Norris</v>
      </c>
      <c r="D1969">
        <f>_xlfn.XLOOKUP(tblOrders[[#This Row],[CustomerID]],tblCustomers[CustomerID],tblCustomers[Age],"not found")</f>
        <v>43</v>
      </c>
      <c r="E1969" t="str">
        <f>_xlfn.XLOOKUP(tblOrders[[#This Row],[CustomerID]],tblCustomers[CustomerID],tblCustomers[Gender],"not found")</f>
        <v>Female</v>
      </c>
      <c r="F1969" t="str">
        <f>_xlfn.XLOOKUP(tblOrders[[#This Row],[CustomerID]],tblCustomers[CustomerID],tblCustomers[Region],"not found")</f>
        <v>West</v>
      </c>
      <c r="G1969">
        <v>1051</v>
      </c>
      <c r="H1969" t="str">
        <f>_xlfn.XLOOKUP(tblOrders[[#This Row],[ProductID]],tblProducts[ProductID],tblProducts[ProductName],"not found")</f>
        <v>Rest</v>
      </c>
      <c r="I1969" t="str">
        <f>_xlfn.XLOOKUP(tblOrders[[#This Row],[ProductID]],tblProducts[ProductID],tblProducts[Category],"not found")</f>
        <v>Beauty</v>
      </c>
      <c r="J1969">
        <f>_xlfn.XLOOKUP(tblOrders[[#This Row],[ProductID]],tblProducts[ProductID],tblProducts[UnitPrice],"not found")</f>
        <v>64.47</v>
      </c>
      <c r="K1969" t="str">
        <f>_xlfn.XLOOKUP(tblOrders[[#This Row],[ProductID]],tblProducts[ProductID],tblProducts[Supplier],"not found")</f>
        <v>Scott-Roberson</v>
      </c>
      <c r="L1969" s="1">
        <v>45201</v>
      </c>
      <c r="M196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45201</v>
      </c>
      <c r="N1969">
        <v>7</v>
      </c>
      <c r="O1969">
        <v>451.29</v>
      </c>
      <c r="P1969">
        <f>tblOrders[[#This Row],[Quantity]]*tblOrders[[#This Row],[Unit Price]]</f>
        <v>451.28999999999996</v>
      </c>
      <c r="Q1969">
        <f>tblOrders[[#This Row],[TotalSales]]-tblOrders[[#This Row],[Calculated Sales]]</f>
        <v>0</v>
      </c>
    </row>
    <row r="1970" spans="1:17" x14ac:dyDescent="0.25">
      <c r="A1970">
        <v>570</v>
      </c>
      <c r="B1970">
        <v>356</v>
      </c>
      <c r="C1970" t="str">
        <f>_xlfn.XLOOKUP(tblOrders[[#This Row],[CustomerID]],tblCustomers[CustomerID],tblCustomers[CustomerName],"not found")</f>
        <v>Justin Moreno</v>
      </c>
      <c r="D1970">
        <f>_xlfn.XLOOKUP(tblOrders[[#This Row],[CustomerID]],tblCustomers[CustomerID],tblCustomers[Age],"not found")</f>
        <v>35</v>
      </c>
      <c r="E1970" t="str">
        <f>_xlfn.XLOOKUP(tblOrders[[#This Row],[CustomerID]],tblCustomers[CustomerID],tblCustomers[Gender],"not found")</f>
        <v>Female</v>
      </c>
      <c r="F1970" t="str">
        <f>_xlfn.XLOOKUP(tblOrders[[#This Row],[CustomerID]],tblCustomers[CustomerID],tblCustomers[Region],"not found")</f>
        <v>East</v>
      </c>
      <c r="G1970">
        <v>1051</v>
      </c>
      <c r="H1970" t="str">
        <f>_xlfn.XLOOKUP(tblOrders[[#This Row],[ProductID]],tblProducts[ProductID],tblProducts[ProductName],"not found")</f>
        <v>Rest</v>
      </c>
      <c r="I1970" t="str">
        <f>_xlfn.XLOOKUP(tblOrders[[#This Row],[ProductID]],tblProducts[ProductID],tblProducts[Category],"not found")</f>
        <v>Beauty</v>
      </c>
      <c r="J1970">
        <f>_xlfn.XLOOKUP(tblOrders[[#This Row],[ProductID]],tblProducts[ProductID],tblProducts[UnitPrice],"not found")</f>
        <v>64.47</v>
      </c>
      <c r="K1970" t="str">
        <f>_xlfn.XLOOKUP(tblOrders[[#This Row],[ProductID]],tblProducts[ProductID],tblProducts[Supplier],"not found")</f>
        <v>Scott-Roberson</v>
      </c>
      <c r="L1970" s="1">
        <v>45331</v>
      </c>
      <c r="M197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45331</v>
      </c>
      <c r="N1970">
        <v>4</v>
      </c>
      <c r="O1970">
        <v>257.88</v>
      </c>
      <c r="P1970">
        <f>tblOrders[[#This Row],[Quantity]]*tblOrders[[#This Row],[Unit Price]]</f>
        <v>257.88</v>
      </c>
      <c r="Q1970">
        <f>tblOrders[[#This Row],[TotalSales]]-tblOrders[[#This Row],[Calculated Sales]]</f>
        <v>0</v>
      </c>
    </row>
    <row r="1971" spans="1:17" x14ac:dyDescent="0.25">
      <c r="A1971">
        <v>635</v>
      </c>
      <c r="B1971">
        <v>996</v>
      </c>
      <c r="C1971" t="str">
        <f>_xlfn.XLOOKUP(tblOrders[[#This Row],[CustomerID]],tblCustomers[CustomerID],tblCustomers[CustomerName],"not found")</f>
        <v>Dr. Hannah Pearson</v>
      </c>
      <c r="D1971">
        <f>_xlfn.XLOOKUP(tblOrders[[#This Row],[CustomerID]],tblCustomers[CustomerID],tblCustomers[Age],"not found")</f>
        <v>52</v>
      </c>
      <c r="E1971" t="str">
        <f>_xlfn.XLOOKUP(tblOrders[[#This Row],[CustomerID]],tblCustomers[CustomerID],tblCustomers[Gender],"not found")</f>
        <v>Male</v>
      </c>
      <c r="F1971" t="str">
        <f>_xlfn.XLOOKUP(tblOrders[[#This Row],[CustomerID]],tblCustomers[CustomerID],tblCustomers[Region],"not found")</f>
        <v>North</v>
      </c>
      <c r="G1971">
        <v>1051</v>
      </c>
      <c r="H1971" t="str">
        <f>_xlfn.XLOOKUP(tblOrders[[#This Row],[ProductID]],tblProducts[ProductID],tblProducts[ProductName],"not found")</f>
        <v>Rest</v>
      </c>
      <c r="I1971" t="str">
        <f>_xlfn.XLOOKUP(tblOrders[[#This Row],[ProductID]],tblProducts[ProductID],tblProducts[Category],"not found")</f>
        <v>Beauty</v>
      </c>
      <c r="J1971">
        <f>_xlfn.XLOOKUP(tblOrders[[#This Row],[ProductID]],tblProducts[ProductID],tblProducts[UnitPrice],"not found")</f>
        <v>64.47</v>
      </c>
      <c r="K1971" t="str">
        <f>_xlfn.XLOOKUP(tblOrders[[#This Row],[ProductID]],tblProducts[ProductID],tblProducts[Supplier],"not found")</f>
        <v>Scott-Roberson</v>
      </c>
      <c r="L1971" s="1">
        <v>44573</v>
      </c>
      <c r="M197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44573</v>
      </c>
      <c r="N1971">
        <v>1</v>
      </c>
      <c r="O1971">
        <v>64.47</v>
      </c>
      <c r="P1971">
        <f>tblOrders[[#This Row],[Quantity]]*tblOrders[[#This Row],[Unit Price]]</f>
        <v>64.47</v>
      </c>
      <c r="Q1971">
        <f>tblOrders[[#This Row],[TotalSales]]-tblOrders[[#This Row],[Calculated Sales]]</f>
        <v>0</v>
      </c>
    </row>
    <row r="1972" spans="1:17" x14ac:dyDescent="0.25">
      <c r="A1972">
        <v>854</v>
      </c>
      <c r="B1972">
        <v>221</v>
      </c>
      <c r="C1972" t="str">
        <f>_xlfn.XLOOKUP(tblOrders[[#This Row],[CustomerID]],tblCustomers[CustomerID],tblCustomers[CustomerName],"not found")</f>
        <v>Leslie Logan</v>
      </c>
      <c r="D1972">
        <f>_xlfn.XLOOKUP(tblOrders[[#This Row],[CustomerID]],tblCustomers[CustomerID],tblCustomers[Age],"not found")</f>
        <v>53</v>
      </c>
      <c r="E1972" t="str">
        <f>_xlfn.XLOOKUP(tblOrders[[#This Row],[CustomerID]],tblCustomers[CustomerID],tblCustomers[Gender],"not found")</f>
        <v>Male</v>
      </c>
      <c r="F1972" t="str">
        <f>_xlfn.XLOOKUP(tblOrders[[#This Row],[CustomerID]],tblCustomers[CustomerID],tblCustomers[Region],"not found")</f>
        <v>North</v>
      </c>
      <c r="G1972">
        <v>1051</v>
      </c>
      <c r="H1972" t="str">
        <f>_xlfn.XLOOKUP(tblOrders[[#This Row],[ProductID]],tblProducts[ProductID],tblProducts[ProductName],"not found")</f>
        <v>Rest</v>
      </c>
      <c r="I1972" t="str">
        <f>_xlfn.XLOOKUP(tblOrders[[#This Row],[ProductID]],tblProducts[ProductID],tblProducts[Category],"not found")</f>
        <v>Beauty</v>
      </c>
      <c r="J1972">
        <f>_xlfn.XLOOKUP(tblOrders[[#This Row],[ProductID]],tblProducts[ProductID],tblProducts[UnitPrice],"not found")</f>
        <v>64.47</v>
      </c>
      <c r="K1972" t="str">
        <f>_xlfn.XLOOKUP(tblOrders[[#This Row],[ProductID]],tblProducts[ProductID],tblProducts[Supplier],"not found")</f>
        <v>Scott-Roberson</v>
      </c>
      <c r="L1972" s="1">
        <v>44935</v>
      </c>
      <c r="M197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44935</v>
      </c>
      <c r="N1972">
        <v>5</v>
      </c>
      <c r="O1972">
        <v>322.35000000000002</v>
      </c>
      <c r="P1972">
        <f>tblOrders[[#This Row],[Quantity]]*tblOrders[[#This Row],[Unit Price]]</f>
        <v>322.35000000000002</v>
      </c>
      <c r="Q1972">
        <f>tblOrders[[#This Row],[TotalSales]]-tblOrders[[#This Row],[Calculated Sales]]</f>
        <v>0</v>
      </c>
    </row>
    <row r="1973" spans="1:17" x14ac:dyDescent="0.25">
      <c r="A1973">
        <v>1178</v>
      </c>
      <c r="B1973">
        <v>634</v>
      </c>
      <c r="C1973" t="str">
        <f>_xlfn.XLOOKUP(tblOrders[[#This Row],[CustomerID]],tblCustomers[CustomerID],tblCustomers[CustomerName],"not found")</f>
        <v>Chris Winters</v>
      </c>
      <c r="D1973">
        <f>_xlfn.XLOOKUP(tblOrders[[#This Row],[CustomerID]],tblCustomers[CustomerID],tblCustomers[Age],"not found")</f>
        <v>26</v>
      </c>
      <c r="E1973" t="str">
        <f>_xlfn.XLOOKUP(tblOrders[[#This Row],[CustomerID]],tblCustomers[CustomerID],tblCustomers[Gender],"not found")</f>
        <v>Male</v>
      </c>
      <c r="F1973" t="str">
        <f>_xlfn.XLOOKUP(tblOrders[[#This Row],[CustomerID]],tblCustomers[CustomerID],tblCustomers[Region],"not found")</f>
        <v>South</v>
      </c>
      <c r="G1973">
        <v>1051</v>
      </c>
      <c r="H1973" t="str">
        <f>_xlfn.XLOOKUP(tblOrders[[#This Row],[ProductID]],tblProducts[ProductID],tblProducts[ProductName],"not found")</f>
        <v>Rest</v>
      </c>
      <c r="I1973" t="str">
        <f>_xlfn.XLOOKUP(tblOrders[[#This Row],[ProductID]],tblProducts[ProductID],tblProducts[Category],"not found")</f>
        <v>Beauty</v>
      </c>
      <c r="J1973">
        <f>_xlfn.XLOOKUP(tblOrders[[#This Row],[ProductID]],tblProducts[ProductID],tblProducts[UnitPrice],"not found")</f>
        <v>64.47</v>
      </c>
      <c r="K1973" t="str">
        <f>_xlfn.XLOOKUP(tblOrders[[#This Row],[ProductID]],tblProducts[ProductID],tblProducts[Supplier],"not found")</f>
        <v>Scott-Roberson</v>
      </c>
      <c r="L1973" s="1" t="s">
        <v>2400</v>
      </c>
      <c r="M197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45274</v>
      </c>
      <c r="N1973">
        <v>9</v>
      </c>
      <c r="O1973">
        <v>580.23</v>
      </c>
      <c r="P1973">
        <f>tblOrders[[#This Row],[Quantity]]*tblOrders[[#This Row],[Unit Price]]</f>
        <v>580.23</v>
      </c>
      <c r="Q1973">
        <f>tblOrders[[#This Row],[TotalSales]]-tblOrders[[#This Row],[Calculated Sales]]</f>
        <v>0</v>
      </c>
    </row>
    <row r="1974" spans="1:17" x14ac:dyDescent="0.25">
      <c r="A1974">
        <v>1247</v>
      </c>
      <c r="B1974">
        <v>13</v>
      </c>
      <c r="C1974" t="str">
        <f>_xlfn.XLOOKUP(tblOrders[[#This Row],[CustomerID]],tblCustomers[CustomerID],tblCustomers[CustomerName],"not found")</f>
        <v>Chelsey Hunter</v>
      </c>
      <c r="D1974">
        <f>_xlfn.XLOOKUP(tblOrders[[#This Row],[CustomerID]],tblCustomers[CustomerID],tblCustomers[Age],"not found")</f>
        <v>32</v>
      </c>
      <c r="E1974" t="str">
        <f>_xlfn.XLOOKUP(tblOrders[[#This Row],[CustomerID]],tblCustomers[CustomerID],tblCustomers[Gender],"not found")</f>
        <v>Female</v>
      </c>
      <c r="F1974" t="str">
        <f>_xlfn.XLOOKUP(tblOrders[[#This Row],[CustomerID]],tblCustomers[CustomerID],tblCustomers[Region],"not found")</f>
        <v>East</v>
      </c>
      <c r="G1974">
        <v>1051</v>
      </c>
      <c r="H1974" t="str">
        <f>_xlfn.XLOOKUP(tblOrders[[#This Row],[ProductID]],tblProducts[ProductID],tblProducts[ProductName],"not found")</f>
        <v>Rest</v>
      </c>
      <c r="I1974" t="str">
        <f>_xlfn.XLOOKUP(tblOrders[[#This Row],[ProductID]],tblProducts[ProductID],tblProducts[Category],"not found")</f>
        <v>Beauty</v>
      </c>
      <c r="J1974">
        <f>_xlfn.XLOOKUP(tblOrders[[#This Row],[ProductID]],tblProducts[ProductID],tblProducts[UnitPrice],"not found")</f>
        <v>64.47</v>
      </c>
      <c r="K1974" t="str">
        <f>_xlfn.XLOOKUP(tblOrders[[#This Row],[ProductID]],tblProducts[ProductID],tblProducts[Supplier],"not found")</f>
        <v>Scott-Roberson</v>
      </c>
      <c r="L1974" s="1">
        <v>45330</v>
      </c>
      <c r="M197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45330</v>
      </c>
      <c r="N1974">
        <v>2</v>
      </c>
      <c r="O1974">
        <v>128.94</v>
      </c>
      <c r="P1974">
        <f>tblOrders[[#This Row],[Quantity]]*tblOrders[[#This Row],[Unit Price]]</f>
        <v>128.94</v>
      </c>
      <c r="Q1974">
        <f>tblOrders[[#This Row],[TotalSales]]-tblOrders[[#This Row],[Calculated Sales]]</f>
        <v>0</v>
      </c>
    </row>
    <row r="1975" spans="1:17" x14ac:dyDescent="0.25">
      <c r="A1975">
        <v>1268</v>
      </c>
      <c r="B1975">
        <v>579</v>
      </c>
      <c r="C1975" t="str">
        <f>_xlfn.XLOOKUP(tblOrders[[#This Row],[CustomerID]],tblCustomers[CustomerID],tblCustomers[CustomerName],"not found")</f>
        <v>Erik Morales</v>
      </c>
      <c r="D1975">
        <f>_xlfn.XLOOKUP(tblOrders[[#This Row],[CustomerID]],tblCustomers[CustomerID],tblCustomers[Age],"not found")</f>
        <v>44</v>
      </c>
      <c r="E1975" t="str">
        <f>_xlfn.XLOOKUP(tblOrders[[#This Row],[CustomerID]],tblCustomers[CustomerID],tblCustomers[Gender],"not found")</f>
        <v>Male</v>
      </c>
      <c r="F1975" t="str">
        <f>_xlfn.XLOOKUP(tblOrders[[#This Row],[CustomerID]],tblCustomers[CustomerID],tblCustomers[Region],"not found")</f>
        <v>East</v>
      </c>
      <c r="G1975">
        <v>1051</v>
      </c>
      <c r="H1975" t="str">
        <f>_xlfn.XLOOKUP(tblOrders[[#This Row],[ProductID]],tblProducts[ProductID],tblProducts[ProductName],"not found")</f>
        <v>Rest</v>
      </c>
      <c r="I1975" t="str">
        <f>_xlfn.XLOOKUP(tblOrders[[#This Row],[ProductID]],tblProducts[ProductID],tblProducts[Category],"not found")</f>
        <v>Beauty</v>
      </c>
      <c r="J1975">
        <f>_xlfn.XLOOKUP(tblOrders[[#This Row],[ProductID]],tblProducts[ProductID],tblProducts[UnitPrice],"not found")</f>
        <v>64.47</v>
      </c>
      <c r="K1975" t="str">
        <f>_xlfn.XLOOKUP(tblOrders[[#This Row],[ProductID]],tblProducts[ProductID],tblProducts[Supplier],"not found")</f>
        <v>Scott-Roberson</v>
      </c>
      <c r="L1975" s="1">
        <v>44724</v>
      </c>
      <c r="M197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44724</v>
      </c>
      <c r="N1975">
        <v>8</v>
      </c>
      <c r="O1975">
        <v>515.76</v>
      </c>
      <c r="P1975">
        <f>tblOrders[[#This Row],[Quantity]]*tblOrders[[#This Row],[Unit Price]]</f>
        <v>515.76</v>
      </c>
      <c r="Q1975">
        <f>tblOrders[[#This Row],[TotalSales]]-tblOrders[[#This Row],[Calculated Sales]]</f>
        <v>0</v>
      </c>
    </row>
    <row r="1976" spans="1:17" x14ac:dyDescent="0.25">
      <c r="A1976">
        <v>1606</v>
      </c>
      <c r="B1976">
        <v>467</v>
      </c>
      <c r="C1976" t="str">
        <f>_xlfn.XLOOKUP(tblOrders[[#This Row],[CustomerID]],tblCustomers[CustomerID],tblCustomers[CustomerName],"not found")</f>
        <v>David Williams PhD</v>
      </c>
      <c r="D1976">
        <f>_xlfn.XLOOKUP(tblOrders[[#This Row],[CustomerID]],tblCustomers[CustomerID],tblCustomers[Age],"not found")</f>
        <v>55</v>
      </c>
      <c r="E1976" t="str">
        <f>_xlfn.XLOOKUP(tblOrders[[#This Row],[CustomerID]],tblCustomers[CustomerID],tblCustomers[Gender],"not found")</f>
        <v>Female</v>
      </c>
      <c r="F1976" t="str">
        <f>_xlfn.XLOOKUP(tblOrders[[#This Row],[CustomerID]],tblCustomers[CustomerID],tblCustomers[Region],"not found")</f>
        <v>South</v>
      </c>
      <c r="G1976">
        <v>1051</v>
      </c>
      <c r="H1976" t="str">
        <f>_xlfn.XLOOKUP(tblOrders[[#This Row],[ProductID]],tblProducts[ProductID],tblProducts[ProductName],"not found")</f>
        <v>Rest</v>
      </c>
      <c r="I1976" t="str">
        <f>_xlfn.XLOOKUP(tblOrders[[#This Row],[ProductID]],tblProducts[ProductID],tblProducts[Category],"not found")</f>
        <v>Beauty</v>
      </c>
      <c r="J1976">
        <f>_xlfn.XLOOKUP(tblOrders[[#This Row],[ProductID]],tblProducts[ProductID],tblProducts[UnitPrice],"not found")</f>
        <v>64.47</v>
      </c>
      <c r="K1976" t="str">
        <f>_xlfn.XLOOKUP(tblOrders[[#This Row],[ProductID]],tblProducts[ProductID],tblProducts[Supplier],"not found")</f>
        <v>Scott-Roberson</v>
      </c>
      <c r="L1976" s="1">
        <v>45480</v>
      </c>
      <c r="M197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45480</v>
      </c>
      <c r="N1976">
        <v>8</v>
      </c>
      <c r="O1976">
        <v>515.76</v>
      </c>
      <c r="P1976">
        <f>tblOrders[[#This Row],[Quantity]]*tblOrders[[#This Row],[Unit Price]]</f>
        <v>515.76</v>
      </c>
      <c r="Q1976">
        <f>tblOrders[[#This Row],[TotalSales]]-tblOrders[[#This Row],[Calculated Sales]]</f>
        <v>0</v>
      </c>
    </row>
    <row r="1977" spans="1:17" x14ac:dyDescent="0.25">
      <c r="A1977">
        <v>1644</v>
      </c>
      <c r="B1977">
        <v>474</v>
      </c>
      <c r="C1977" t="str">
        <f>_xlfn.XLOOKUP(tblOrders[[#This Row],[CustomerID]],tblCustomers[CustomerID],tblCustomers[CustomerName],"not found")</f>
        <v>Erin Mccarty</v>
      </c>
      <c r="D1977">
        <f>_xlfn.XLOOKUP(tblOrders[[#This Row],[CustomerID]],tblCustomers[CustomerID],tblCustomers[Age],"not found")</f>
        <v>56</v>
      </c>
      <c r="E1977" t="str">
        <f>_xlfn.XLOOKUP(tblOrders[[#This Row],[CustomerID]],tblCustomers[CustomerID],tblCustomers[Gender],"not found")</f>
        <v>Female</v>
      </c>
      <c r="F1977" t="str">
        <f>_xlfn.XLOOKUP(tblOrders[[#This Row],[CustomerID]],tblCustomers[CustomerID],tblCustomers[Region],"not found")</f>
        <v>Central</v>
      </c>
      <c r="G1977">
        <v>1051</v>
      </c>
      <c r="H1977" t="str">
        <f>_xlfn.XLOOKUP(tblOrders[[#This Row],[ProductID]],tblProducts[ProductID],tblProducts[ProductName],"not found")</f>
        <v>Rest</v>
      </c>
      <c r="I1977" t="str">
        <f>_xlfn.XLOOKUP(tblOrders[[#This Row],[ProductID]],tblProducts[ProductID],tblProducts[Category],"not found")</f>
        <v>Beauty</v>
      </c>
      <c r="J1977">
        <f>_xlfn.XLOOKUP(tblOrders[[#This Row],[ProductID]],tblProducts[ProductID],tblProducts[UnitPrice],"not found")</f>
        <v>64.47</v>
      </c>
      <c r="K1977" t="str">
        <f>_xlfn.XLOOKUP(tblOrders[[#This Row],[ProductID]],tblProducts[ProductID],tblProducts[Supplier],"not found")</f>
        <v>Scott-Roberson</v>
      </c>
      <c r="L1977" s="1">
        <v>45266</v>
      </c>
      <c r="M197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45266</v>
      </c>
      <c r="N1977">
        <v>2</v>
      </c>
      <c r="O1977">
        <v>128.94</v>
      </c>
      <c r="P1977">
        <f>tblOrders[[#This Row],[Quantity]]*tblOrders[[#This Row],[Unit Price]]</f>
        <v>128.94</v>
      </c>
      <c r="Q1977">
        <f>tblOrders[[#This Row],[TotalSales]]-tblOrders[[#This Row],[Calculated Sales]]</f>
        <v>0</v>
      </c>
    </row>
    <row r="1978" spans="1:17" x14ac:dyDescent="0.25">
      <c r="A1978">
        <v>1711</v>
      </c>
      <c r="B1978">
        <v>399</v>
      </c>
      <c r="C1978" t="str">
        <f>_xlfn.XLOOKUP(tblOrders[[#This Row],[CustomerID]],tblCustomers[CustomerID],tblCustomers[CustomerName],"not found")</f>
        <v>Jason Fletcher</v>
      </c>
      <c r="D1978">
        <f>_xlfn.XLOOKUP(tblOrders[[#This Row],[CustomerID]],tblCustomers[CustomerID],tblCustomers[Age],"not found")</f>
        <v>53</v>
      </c>
      <c r="E1978" t="str">
        <f>_xlfn.XLOOKUP(tblOrders[[#This Row],[CustomerID]],tblCustomers[CustomerID],tblCustomers[Gender],"not found")</f>
        <v>Female</v>
      </c>
      <c r="F1978" t="str">
        <f>_xlfn.XLOOKUP(tblOrders[[#This Row],[CustomerID]],tblCustomers[CustomerID],tblCustomers[Region],"not found")</f>
        <v>West</v>
      </c>
      <c r="G1978">
        <v>1051</v>
      </c>
      <c r="H1978" t="str">
        <f>_xlfn.XLOOKUP(tblOrders[[#This Row],[ProductID]],tblProducts[ProductID],tblProducts[ProductName],"not found")</f>
        <v>Rest</v>
      </c>
      <c r="I1978" t="str">
        <f>_xlfn.XLOOKUP(tblOrders[[#This Row],[ProductID]],tblProducts[ProductID],tblProducts[Category],"not found")</f>
        <v>Beauty</v>
      </c>
      <c r="J1978">
        <f>_xlfn.XLOOKUP(tblOrders[[#This Row],[ProductID]],tblProducts[ProductID],tblProducts[UnitPrice],"not found")</f>
        <v>64.47</v>
      </c>
      <c r="K1978" t="str">
        <f>_xlfn.XLOOKUP(tblOrders[[#This Row],[ProductID]],tblProducts[ProductID],tblProducts[Supplier],"not found")</f>
        <v>Scott-Roberson</v>
      </c>
      <c r="L1978" s="1">
        <v>45058</v>
      </c>
      <c r="M197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45058</v>
      </c>
      <c r="N1978">
        <v>1</v>
      </c>
      <c r="O1978">
        <v>64.47</v>
      </c>
      <c r="P1978">
        <f>tblOrders[[#This Row],[Quantity]]*tblOrders[[#This Row],[Unit Price]]</f>
        <v>64.47</v>
      </c>
      <c r="Q1978">
        <f>tblOrders[[#This Row],[TotalSales]]-tblOrders[[#This Row],[Calculated Sales]]</f>
        <v>0</v>
      </c>
    </row>
    <row r="1979" spans="1:17" x14ac:dyDescent="0.25">
      <c r="A1979">
        <v>1742</v>
      </c>
      <c r="B1979">
        <v>719</v>
      </c>
      <c r="C1979" t="str">
        <f>_xlfn.XLOOKUP(tblOrders[[#This Row],[CustomerID]],tblCustomers[CustomerID],tblCustomers[CustomerName],"not found")</f>
        <v>Natasha Quinn</v>
      </c>
      <c r="D1979">
        <f>_xlfn.XLOOKUP(tblOrders[[#This Row],[CustomerID]],tblCustomers[CustomerID],tblCustomers[Age],"not found")</f>
        <v>47</v>
      </c>
      <c r="E1979" t="str">
        <f>_xlfn.XLOOKUP(tblOrders[[#This Row],[CustomerID]],tblCustomers[CustomerID],tblCustomers[Gender],"not found")</f>
        <v>Female</v>
      </c>
      <c r="F1979" t="str">
        <f>_xlfn.XLOOKUP(tblOrders[[#This Row],[CustomerID]],tblCustomers[CustomerID],tblCustomers[Region],"not found")</f>
        <v>North</v>
      </c>
      <c r="G1979">
        <v>1051</v>
      </c>
      <c r="H1979" t="str">
        <f>_xlfn.XLOOKUP(tblOrders[[#This Row],[ProductID]],tblProducts[ProductID],tblProducts[ProductName],"not found")</f>
        <v>Rest</v>
      </c>
      <c r="I1979" t="str">
        <f>_xlfn.XLOOKUP(tblOrders[[#This Row],[ProductID]],tblProducts[ProductID],tblProducts[Category],"not found")</f>
        <v>Beauty</v>
      </c>
      <c r="J1979">
        <f>_xlfn.XLOOKUP(tblOrders[[#This Row],[ProductID]],tblProducts[ProductID],tblProducts[UnitPrice],"not found")</f>
        <v>64.47</v>
      </c>
      <c r="K1979" t="str">
        <f>_xlfn.XLOOKUP(tblOrders[[#This Row],[ProductID]],tblProducts[ProductID],tblProducts[Supplier],"not found")</f>
        <v>Scott-Roberson</v>
      </c>
      <c r="L1979" s="1">
        <v>45479</v>
      </c>
      <c r="M197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45479</v>
      </c>
      <c r="N1979">
        <v>9</v>
      </c>
      <c r="O1979">
        <v>580.23</v>
      </c>
      <c r="P1979">
        <f>tblOrders[[#This Row],[Quantity]]*tblOrders[[#This Row],[Unit Price]]</f>
        <v>580.23</v>
      </c>
      <c r="Q1979">
        <f>tblOrders[[#This Row],[TotalSales]]-tblOrders[[#This Row],[Calculated Sales]]</f>
        <v>0</v>
      </c>
    </row>
    <row r="1980" spans="1:17" x14ac:dyDescent="0.25">
      <c r="A1980">
        <v>1818</v>
      </c>
      <c r="B1980">
        <v>961</v>
      </c>
      <c r="C1980" t="str">
        <f>_xlfn.XLOOKUP(tblOrders[[#This Row],[CustomerID]],tblCustomers[CustomerID],tblCustomers[CustomerName],"not found")</f>
        <v>Justin Howard</v>
      </c>
      <c r="D1980">
        <f>_xlfn.XLOOKUP(tblOrders[[#This Row],[CustomerID]],tblCustomers[CustomerID],tblCustomers[Age],"not found")</f>
        <v>45</v>
      </c>
      <c r="E1980" t="str">
        <f>_xlfn.XLOOKUP(tblOrders[[#This Row],[CustomerID]],tblCustomers[CustomerID],tblCustomers[Gender],"not found")</f>
        <v>Female</v>
      </c>
      <c r="F1980" t="str">
        <f>_xlfn.XLOOKUP(tblOrders[[#This Row],[CustomerID]],tblCustomers[CustomerID],tblCustomers[Region],"not found")</f>
        <v>West</v>
      </c>
      <c r="G1980">
        <v>1051</v>
      </c>
      <c r="H1980" t="str">
        <f>_xlfn.XLOOKUP(tblOrders[[#This Row],[ProductID]],tblProducts[ProductID],tblProducts[ProductName],"not found")</f>
        <v>Rest</v>
      </c>
      <c r="I1980" t="str">
        <f>_xlfn.XLOOKUP(tblOrders[[#This Row],[ProductID]],tblProducts[ProductID],tblProducts[Category],"not found")</f>
        <v>Beauty</v>
      </c>
      <c r="J1980">
        <f>_xlfn.XLOOKUP(tblOrders[[#This Row],[ProductID]],tblProducts[ProductID],tblProducts[UnitPrice],"not found")</f>
        <v>64.47</v>
      </c>
      <c r="K1980" t="str">
        <f>_xlfn.XLOOKUP(tblOrders[[#This Row],[ProductID]],tblProducts[ProductID],tblProducts[Supplier],"not found")</f>
        <v>Scott-Roberson</v>
      </c>
      <c r="L1980" s="1" t="s">
        <v>2189</v>
      </c>
      <c r="M198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44922</v>
      </c>
      <c r="N1980">
        <v>5</v>
      </c>
      <c r="O1980">
        <v>322.35000000000002</v>
      </c>
      <c r="P1980">
        <f>tblOrders[[#This Row],[Quantity]]*tblOrders[[#This Row],[Unit Price]]</f>
        <v>322.35000000000002</v>
      </c>
      <c r="Q1980">
        <f>tblOrders[[#This Row],[TotalSales]]-tblOrders[[#This Row],[Calculated Sales]]</f>
        <v>0</v>
      </c>
    </row>
    <row r="1981" spans="1:17" x14ac:dyDescent="0.25">
      <c r="A1981">
        <v>1880</v>
      </c>
      <c r="B1981">
        <v>950</v>
      </c>
      <c r="C1981" t="str">
        <f>_xlfn.XLOOKUP(tblOrders[[#This Row],[CustomerID]],tblCustomers[CustomerID],tblCustomers[CustomerName],"not found")</f>
        <v>Robert Cohen</v>
      </c>
      <c r="D1981">
        <f>_xlfn.XLOOKUP(tblOrders[[#This Row],[CustomerID]],tblCustomers[CustomerID],tblCustomers[Age],"not found")</f>
        <v>26</v>
      </c>
      <c r="E1981" t="str">
        <f>_xlfn.XLOOKUP(tblOrders[[#This Row],[CustomerID]],tblCustomers[CustomerID],tblCustomers[Gender],"not found")</f>
        <v>Female</v>
      </c>
      <c r="F1981" t="str">
        <f>_xlfn.XLOOKUP(tblOrders[[#This Row],[CustomerID]],tblCustomers[CustomerID],tblCustomers[Region],"not found")</f>
        <v>East</v>
      </c>
      <c r="G1981">
        <v>1051</v>
      </c>
      <c r="H1981" t="str">
        <f>_xlfn.XLOOKUP(tblOrders[[#This Row],[ProductID]],tblProducts[ProductID],tblProducts[ProductName],"not found")</f>
        <v>Rest</v>
      </c>
      <c r="I1981" t="str">
        <f>_xlfn.XLOOKUP(tblOrders[[#This Row],[ProductID]],tblProducts[ProductID],tblProducts[Category],"not found")</f>
        <v>Beauty</v>
      </c>
      <c r="J1981">
        <f>_xlfn.XLOOKUP(tblOrders[[#This Row],[ProductID]],tblProducts[ProductID],tblProducts[UnitPrice],"not found")</f>
        <v>64.47</v>
      </c>
      <c r="K1981" t="str">
        <f>_xlfn.XLOOKUP(tblOrders[[#This Row],[ProductID]],tblProducts[ProductID],tblProducts[Supplier],"not found")</f>
        <v>Scott-Roberson</v>
      </c>
      <c r="L1981" s="1" t="s">
        <v>2252</v>
      </c>
      <c r="M198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44977</v>
      </c>
      <c r="N1981">
        <v>2</v>
      </c>
      <c r="O1981">
        <v>128.94</v>
      </c>
      <c r="P1981">
        <f>tblOrders[[#This Row],[Quantity]]*tblOrders[[#This Row],[Unit Price]]</f>
        <v>128.94</v>
      </c>
      <c r="Q1981">
        <f>tblOrders[[#This Row],[TotalSales]]-tblOrders[[#This Row],[Calculated Sales]]</f>
        <v>0</v>
      </c>
    </row>
    <row r="1982" spans="1:17" x14ac:dyDescent="0.25">
      <c r="A1982">
        <v>1895</v>
      </c>
      <c r="B1982">
        <v>567</v>
      </c>
      <c r="C1982" t="str">
        <f>_xlfn.XLOOKUP(tblOrders[[#This Row],[CustomerID]],tblCustomers[CustomerID],tblCustomers[CustomerName],"not found")</f>
        <v>Alyssa Gilmore</v>
      </c>
      <c r="D1982">
        <f>_xlfn.XLOOKUP(tblOrders[[#This Row],[CustomerID]],tblCustomers[CustomerID],tblCustomers[Age],"not found")</f>
        <v>53</v>
      </c>
      <c r="E1982" t="str">
        <f>_xlfn.XLOOKUP(tblOrders[[#This Row],[CustomerID]],tblCustomers[CustomerID],tblCustomers[Gender],"not found")</f>
        <v>Female</v>
      </c>
      <c r="F1982" t="str">
        <f>_xlfn.XLOOKUP(tblOrders[[#This Row],[CustomerID]],tblCustomers[CustomerID],tblCustomers[Region],"not found")</f>
        <v>East</v>
      </c>
      <c r="G1982">
        <v>1051</v>
      </c>
      <c r="H1982" t="str">
        <f>_xlfn.XLOOKUP(tblOrders[[#This Row],[ProductID]],tblProducts[ProductID],tblProducts[ProductName],"not found")</f>
        <v>Rest</v>
      </c>
      <c r="I1982" t="str">
        <f>_xlfn.XLOOKUP(tblOrders[[#This Row],[ProductID]],tblProducts[ProductID],tblProducts[Category],"not found")</f>
        <v>Beauty</v>
      </c>
      <c r="J1982">
        <f>_xlfn.XLOOKUP(tblOrders[[#This Row],[ProductID]],tblProducts[ProductID],tblProducts[UnitPrice],"not found")</f>
        <v>64.47</v>
      </c>
      <c r="K1982" t="str">
        <f>_xlfn.XLOOKUP(tblOrders[[#This Row],[ProductID]],tblProducts[ProductID],tblProducts[Supplier],"not found")</f>
        <v>Scott-Roberson</v>
      </c>
      <c r="L1982" s="1" t="s">
        <v>2222</v>
      </c>
      <c r="M198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45074</v>
      </c>
      <c r="N1982">
        <v>8</v>
      </c>
      <c r="O1982">
        <v>515.76</v>
      </c>
      <c r="P1982">
        <f>tblOrders[[#This Row],[Quantity]]*tblOrders[[#This Row],[Unit Price]]</f>
        <v>515.76</v>
      </c>
      <c r="Q1982">
        <f>tblOrders[[#This Row],[TotalSales]]-tblOrders[[#This Row],[Calculated Sales]]</f>
        <v>0</v>
      </c>
    </row>
    <row r="1983" spans="1:17" x14ac:dyDescent="0.25">
      <c r="A1983">
        <v>1946</v>
      </c>
      <c r="B1983">
        <v>59</v>
      </c>
      <c r="C1983" t="str">
        <f>_xlfn.XLOOKUP(tblOrders[[#This Row],[CustomerID]],tblCustomers[CustomerID],tblCustomers[CustomerName],"not found")</f>
        <v>Rodney Rodriguez</v>
      </c>
      <c r="D1983">
        <f>_xlfn.XLOOKUP(tblOrders[[#This Row],[CustomerID]],tblCustomers[CustomerID],tblCustomers[Age],"not found")</f>
        <v>50</v>
      </c>
      <c r="E1983" t="str">
        <f>_xlfn.XLOOKUP(tblOrders[[#This Row],[CustomerID]],tblCustomers[CustomerID],tblCustomers[Gender],"not found")</f>
        <v>Male</v>
      </c>
      <c r="F1983" t="str">
        <f>_xlfn.XLOOKUP(tblOrders[[#This Row],[CustomerID]],tblCustomers[CustomerID],tblCustomers[Region],"not found")</f>
        <v>Central</v>
      </c>
      <c r="G1983">
        <v>1051</v>
      </c>
      <c r="H1983" t="str">
        <f>_xlfn.XLOOKUP(tblOrders[[#This Row],[ProductID]],tblProducts[ProductID],tblProducts[ProductName],"not found")</f>
        <v>Rest</v>
      </c>
      <c r="I1983" t="str">
        <f>_xlfn.XLOOKUP(tblOrders[[#This Row],[ProductID]],tblProducts[ProductID],tblProducts[Category],"not found")</f>
        <v>Beauty</v>
      </c>
      <c r="J1983">
        <f>_xlfn.XLOOKUP(tblOrders[[#This Row],[ProductID]],tblProducts[ProductID],tblProducts[UnitPrice],"not found")</f>
        <v>64.47</v>
      </c>
      <c r="K1983" t="str">
        <f>_xlfn.XLOOKUP(tblOrders[[#This Row],[ProductID]],tblProducts[ProductID],tblProducts[Supplier],"not found")</f>
        <v>Scott-Roberson</v>
      </c>
      <c r="L1983" s="1">
        <v>45270</v>
      </c>
      <c r="M198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45270</v>
      </c>
      <c r="N1983">
        <v>2</v>
      </c>
      <c r="O1983">
        <v>128.94</v>
      </c>
      <c r="P1983">
        <f>tblOrders[[#This Row],[Quantity]]*tblOrders[[#This Row],[Unit Price]]</f>
        <v>128.94</v>
      </c>
      <c r="Q1983">
        <f>tblOrders[[#This Row],[TotalSales]]-tblOrders[[#This Row],[Calculated Sales]]</f>
        <v>0</v>
      </c>
    </row>
    <row r="1984" spans="1:17" x14ac:dyDescent="0.25">
      <c r="A1984">
        <v>1982</v>
      </c>
      <c r="B1984">
        <v>790</v>
      </c>
      <c r="C1984" t="str">
        <f>_xlfn.XLOOKUP(tblOrders[[#This Row],[CustomerID]],tblCustomers[CustomerID],tblCustomers[CustomerName],"not found")</f>
        <v>Jennifer James</v>
      </c>
      <c r="D1984">
        <f>_xlfn.XLOOKUP(tblOrders[[#This Row],[CustomerID]],tblCustomers[CustomerID],tblCustomers[Age],"not found")</f>
        <v>19</v>
      </c>
      <c r="E1984" t="str">
        <f>_xlfn.XLOOKUP(tblOrders[[#This Row],[CustomerID]],tblCustomers[CustomerID],tblCustomers[Gender],"not found")</f>
        <v>Female</v>
      </c>
      <c r="F1984" t="str">
        <f>_xlfn.XLOOKUP(tblOrders[[#This Row],[CustomerID]],tblCustomers[CustomerID],tblCustomers[Region],"not found")</f>
        <v>West</v>
      </c>
      <c r="G1984">
        <v>1051</v>
      </c>
      <c r="H1984" t="str">
        <f>_xlfn.XLOOKUP(tblOrders[[#This Row],[ProductID]],tblProducts[ProductID],tblProducts[ProductName],"not found")</f>
        <v>Rest</v>
      </c>
      <c r="I1984" t="str">
        <f>_xlfn.XLOOKUP(tblOrders[[#This Row],[ProductID]],tblProducts[ProductID],tblProducts[Category],"not found")</f>
        <v>Beauty</v>
      </c>
      <c r="J1984">
        <f>_xlfn.XLOOKUP(tblOrders[[#This Row],[ProductID]],tblProducts[ProductID],tblProducts[UnitPrice],"not found")</f>
        <v>64.47</v>
      </c>
      <c r="K1984" t="str">
        <f>_xlfn.XLOOKUP(tblOrders[[#This Row],[ProductID]],tblProducts[ProductID],tblProducts[Supplier],"not found")</f>
        <v>Scott-Roberson</v>
      </c>
      <c r="L1984" s="1" t="s">
        <v>2346</v>
      </c>
      <c r="M198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44970</v>
      </c>
      <c r="N1984">
        <v>8</v>
      </c>
      <c r="O1984">
        <v>515.76</v>
      </c>
      <c r="P1984">
        <f>tblOrders[[#This Row],[Quantity]]*tblOrders[[#This Row],[Unit Price]]</f>
        <v>515.76</v>
      </c>
      <c r="Q1984">
        <f>tblOrders[[#This Row],[TotalSales]]-tblOrders[[#This Row],[Calculated Sales]]</f>
        <v>0</v>
      </c>
    </row>
    <row r="1985" spans="1:17" x14ac:dyDescent="0.25">
      <c r="A1985">
        <v>485</v>
      </c>
      <c r="B1985">
        <v>805</v>
      </c>
      <c r="C1985" t="str">
        <f>_xlfn.XLOOKUP(tblOrders[[#This Row],[CustomerID]],tblCustomers[CustomerID],tblCustomers[CustomerName],"not found")</f>
        <v>Jennifer Lindsey</v>
      </c>
      <c r="D1985">
        <f>_xlfn.XLOOKUP(tblOrders[[#This Row],[CustomerID]],tblCustomers[CustomerID],tblCustomers[Age],"not found")</f>
        <v>60</v>
      </c>
      <c r="E1985" t="str">
        <f>_xlfn.XLOOKUP(tblOrders[[#This Row],[CustomerID]],tblCustomers[CustomerID],tblCustomers[Gender],"not found")</f>
        <v>Male</v>
      </c>
      <c r="F1985" t="str">
        <f>_xlfn.XLOOKUP(tblOrders[[#This Row],[CustomerID]],tblCustomers[CustomerID],tblCustomers[Region],"not found")</f>
        <v>Central</v>
      </c>
      <c r="G1985">
        <v>1039</v>
      </c>
      <c r="H1985" t="str">
        <f>_xlfn.XLOOKUP(tblOrders[[#This Row],[ProductID]],tblProducts[ProductID],tblProducts[ProductName],"not found")</f>
        <v>Page</v>
      </c>
      <c r="I1985" t="str">
        <f>_xlfn.XLOOKUP(tblOrders[[#This Row],[ProductID]],tblProducts[ProductID],tblProducts[Category],"not found")</f>
        <v>Apparel</v>
      </c>
      <c r="J1985">
        <f>_xlfn.XLOOKUP(tblOrders[[#This Row],[ProductID]],tblProducts[ProductID],tblProducts[UnitPrice],"not found")</f>
        <v>159.99</v>
      </c>
      <c r="K1985" t="str">
        <f>_xlfn.XLOOKUP(tblOrders[[#This Row],[ProductID]],tblProducts[ProductID],tblProducts[Supplier],"not found")</f>
        <v>Brown PLC</v>
      </c>
      <c r="L1985" s="1">
        <v>45359</v>
      </c>
      <c r="M198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45359</v>
      </c>
      <c r="N1985">
        <v>3</v>
      </c>
      <c r="O1985">
        <v>479.97</v>
      </c>
      <c r="P1985">
        <f>tblOrders[[#This Row],[Quantity]]*tblOrders[[#This Row],[Unit Price]]</f>
        <v>479.97</v>
      </c>
      <c r="Q1985">
        <f>tblOrders[[#This Row],[TotalSales]]-tblOrders[[#This Row],[Calculated Sales]]</f>
        <v>0</v>
      </c>
    </row>
    <row r="1986" spans="1:17" x14ac:dyDescent="0.25">
      <c r="A1986">
        <v>506</v>
      </c>
      <c r="B1986">
        <v>486</v>
      </c>
      <c r="C1986" t="str">
        <f>_xlfn.XLOOKUP(tblOrders[[#This Row],[CustomerID]],tblCustomers[CustomerID],tblCustomers[CustomerName],"not found")</f>
        <v>Sandra Lewis</v>
      </c>
      <c r="D1986">
        <f>_xlfn.XLOOKUP(tblOrders[[#This Row],[CustomerID]],tblCustomers[CustomerID],tblCustomers[Age],"not found")</f>
        <v>22</v>
      </c>
      <c r="E1986" t="str">
        <f>_xlfn.XLOOKUP(tblOrders[[#This Row],[CustomerID]],tblCustomers[CustomerID],tblCustomers[Gender],"not found")</f>
        <v>Male</v>
      </c>
      <c r="F1986" t="str">
        <f>_xlfn.XLOOKUP(tblOrders[[#This Row],[CustomerID]],tblCustomers[CustomerID],tblCustomers[Region],"not found")</f>
        <v>North</v>
      </c>
      <c r="G1986">
        <v>1039</v>
      </c>
      <c r="H1986" t="str">
        <f>_xlfn.XLOOKUP(tblOrders[[#This Row],[ProductID]],tblProducts[ProductID],tblProducts[ProductName],"not found")</f>
        <v>Page</v>
      </c>
      <c r="I1986" t="str">
        <f>_xlfn.XLOOKUP(tblOrders[[#This Row],[ProductID]],tblProducts[ProductID],tblProducts[Category],"not found")</f>
        <v>Apparel</v>
      </c>
      <c r="J1986">
        <f>_xlfn.XLOOKUP(tblOrders[[#This Row],[ProductID]],tblProducts[ProductID],tblProducts[UnitPrice],"not found")</f>
        <v>159.99</v>
      </c>
      <c r="K1986" t="str">
        <f>_xlfn.XLOOKUP(tblOrders[[#This Row],[ProductID]],tblProducts[ProductID],tblProducts[Supplier],"not found")</f>
        <v>Brown PLC</v>
      </c>
      <c r="L1986" s="1">
        <v>45148</v>
      </c>
      <c r="M198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45148</v>
      </c>
      <c r="N1986">
        <v>1</v>
      </c>
      <c r="O1986">
        <v>159.99</v>
      </c>
      <c r="P1986">
        <f>tblOrders[[#This Row],[Quantity]]*tblOrders[[#This Row],[Unit Price]]</f>
        <v>159.99</v>
      </c>
      <c r="Q1986">
        <f>tblOrders[[#This Row],[TotalSales]]-tblOrders[[#This Row],[Calculated Sales]]</f>
        <v>0</v>
      </c>
    </row>
    <row r="1987" spans="1:17" x14ac:dyDescent="0.25">
      <c r="A1987">
        <v>726</v>
      </c>
      <c r="B1987">
        <v>698</v>
      </c>
      <c r="C1987" t="str">
        <f>_xlfn.XLOOKUP(tblOrders[[#This Row],[CustomerID]],tblCustomers[CustomerID],tblCustomers[CustomerName],"not found")</f>
        <v>Matthew Thomas</v>
      </c>
      <c r="D1987">
        <f>_xlfn.XLOOKUP(tblOrders[[#This Row],[CustomerID]],tblCustomers[CustomerID],tblCustomers[Age],"not found")</f>
        <v>35</v>
      </c>
      <c r="E1987" t="str">
        <f>_xlfn.XLOOKUP(tblOrders[[#This Row],[CustomerID]],tblCustomers[CustomerID],tblCustomers[Gender],"not found")</f>
        <v>Male</v>
      </c>
      <c r="F1987" t="str">
        <f>_xlfn.XLOOKUP(tblOrders[[#This Row],[CustomerID]],tblCustomers[CustomerID],tblCustomers[Region],"not found")</f>
        <v>North</v>
      </c>
      <c r="G1987">
        <v>1039</v>
      </c>
      <c r="H1987" t="str">
        <f>_xlfn.XLOOKUP(tblOrders[[#This Row],[ProductID]],tblProducts[ProductID],tblProducts[ProductName],"not found")</f>
        <v>Page</v>
      </c>
      <c r="I1987" t="str">
        <f>_xlfn.XLOOKUP(tblOrders[[#This Row],[ProductID]],tblProducts[ProductID],tblProducts[Category],"not found")</f>
        <v>Apparel</v>
      </c>
      <c r="J1987">
        <f>_xlfn.XLOOKUP(tblOrders[[#This Row],[ProductID]],tblProducts[ProductID],tblProducts[UnitPrice],"not found")</f>
        <v>159.99</v>
      </c>
      <c r="K1987" t="str">
        <f>_xlfn.XLOOKUP(tblOrders[[#This Row],[ProductID]],tblProducts[ProductID],tblProducts[Supplier],"not found")</f>
        <v>Brown PLC</v>
      </c>
      <c r="L1987" s="1" t="s">
        <v>2044</v>
      </c>
      <c r="M198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45160</v>
      </c>
      <c r="N1987">
        <v>6</v>
      </c>
      <c r="O1987">
        <v>959.94</v>
      </c>
      <c r="P1987">
        <f>tblOrders[[#This Row],[Quantity]]*tblOrders[[#This Row],[Unit Price]]</f>
        <v>959.94</v>
      </c>
      <c r="Q1987">
        <f>tblOrders[[#This Row],[TotalSales]]-tblOrders[[#This Row],[Calculated Sales]]</f>
        <v>0</v>
      </c>
    </row>
    <row r="1988" spans="1:17" x14ac:dyDescent="0.25">
      <c r="A1988">
        <v>798</v>
      </c>
      <c r="B1988">
        <v>61</v>
      </c>
      <c r="C1988" t="str">
        <f>_xlfn.XLOOKUP(tblOrders[[#This Row],[CustomerID]],tblCustomers[CustomerID],tblCustomers[CustomerName],"not found")</f>
        <v>Connor Huang</v>
      </c>
      <c r="D1988">
        <f>_xlfn.XLOOKUP(tblOrders[[#This Row],[CustomerID]],tblCustomers[CustomerID],tblCustomers[Age],"not found")</f>
        <v>22</v>
      </c>
      <c r="E1988" t="str">
        <f>_xlfn.XLOOKUP(tblOrders[[#This Row],[CustomerID]],tblCustomers[CustomerID],tblCustomers[Gender],"not found")</f>
        <v>Male</v>
      </c>
      <c r="F1988" t="str">
        <f>_xlfn.XLOOKUP(tblOrders[[#This Row],[CustomerID]],tblCustomers[CustomerID],tblCustomers[Region],"not found")</f>
        <v>West</v>
      </c>
      <c r="G1988">
        <v>1039</v>
      </c>
      <c r="H1988" t="str">
        <f>_xlfn.XLOOKUP(tblOrders[[#This Row],[ProductID]],tblProducts[ProductID],tblProducts[ProductName],"not found")</f>
        <v>Page</v>
      </c>
      <c r="I1988" t="str">
        <f>_xlfn.XLOOKUP(tblOrders[[#This Row],[ProductID]],tblProducts[ProductID],tblProducts[Category],"not found")</f>
        <v>Apparel</v>
      </c>
      <c r="J1988">
        <f>_xlfn.XLOOKUP(tblOrders[[#This Row],[ProductID]],tblProducts[ProductID],tblProducts[UnitPrice],"not found")</f>
        <v>159.99</v>
      </c>
      <c r="K1988" t="str">
        <f>_xlfn.XLOOKUP(tblOrders[[#This Row],[ProductID]],tblProducts[ProductID],tblProducts[Supplier],"not found")</f>
        <v>Brown PLC</v>
      </c>
      <c r="L1988" s="1" t="s">
        <v>2212</v>
      </c>
      <c r="M198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45439</v>
      </c>
      <c r="N1988">
        <v>4</v>
      </c>
      <c r="O1988">
        <v>639.96</v>
      </c>
      <c r="P1988">
        <f>tblOrders[[#This Row],[Quantity]]*tblOrders[[#This Row],[Unit Price]]</f>
        <v>639.96</v>
      </c>
      <c r="Q1988">
        <f>tblOrders[[#This Row],[TotalSales]]-tblOrders[[#This Row],[Calculated Sales]]</f>
        <v>0</v>
      </c>
    </row>
    <row r="1989" spans="1:17" x14ac:dyDescent="0.25">
      <c r="A1989">
        <v>952</v>
      </c>
      <c r="B1989">
        <v>437</v>
      </c>
      <c r="C1989" t="str">
        <f>_xlfn.XLOOKUP(tblOrders[[#This Row],[CustomerID]],tblCustomers[CustomerID],tblCustomers[CustomerName],"not found")</f>
        <v>John Brown</v>
      </c>
      <c r="D1989">
        <f>_xlfn.XLOOKUP(tblOrders[[#This Row],[CustomerID]],tblCustomers[CustomerID],tblCustomers[Age],"not found")</f>
        <v>49</v>
      </c>
      <c r="E1989" t="str">
        <f>_xlfn.XLOOKUP(tblOrders[[#This Row],[CustomerID]],tblCustomers[CustomerID],tblCustomers[Gender],"not found")</f>
        <v>Female</v>
      </c>
      <c r="F1989" t="str">
        <f>_xlfn.XLOOKUP(tblOrders[[#This Row],[CustomerID]],tblCustomers[CustomerID],tblCustomers[Region],"not found")</f>
        <v>South</v>
      </c>
      <c r="G1989">
        <v>1039</v>
      </c>
      <c r="H1989" t="str">
        <f>_xlfn.XLOOKUP(tblOrders[[#This Row],[ProductID]],tblProducts[ProductID],tblProducts[ProductName],"not found")</f>
        <v>Page</v>
      </c>
      <c r="I1989" t="str">
        <f>_xlfn.XLOOKUP(tblOrders[[#This Row],[ProductID]],tblProducts[ProductID],tblProducts[Category],"not found")</f>
        <v>Apparel</v>
      </c>
      <c r="J1989">
        <f>_xlfn.XLOOKUP(tblOrders[[#This Row],[ProductID]],tblProducts[ProductID],tblProducts[UnitPrice],"not found")</f>
        <v>159.99</v>
      </c>
      <c r="K1989" t="str">
        <f>_xlfn.XLOOKUP(tblOrders[[#This Row],[ProductID]],tblProducts[ProductID],tblProducts[Supplier],"not found")</f>
        <v>Brown PLC</v>
      </c>
      <c r="L1989" s="1">
        <v>45544</v>
      </c>
      <c r="M198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45544</v>
      </c>
      <c r="N1989">
        <v>8</v>
      </c>
      <c r="O1989">
        <v>1279.92</v>
      </c>
      <c r="P1989">
        <f>tblOrders[[#This Row],[Quantity]]*tblOrders[[#This Row],[Unit Price]]</f>
        <v>1279.92</v>
      </c>
      <c r="Q1989">
        <f>tblOrders[[#This Row],[TotalSales]]-tblOrders[[#This Row],[Calculated Sales]]</f>
        <v>0</v>
      </c>
    </row>
    <row r="1990" spans="1:17" x14ac:dyDescent="0.25">
      <c r="A1990">
        <v>954</v>
      </c>
      <c r="B1990">
        <v>874</v>
      </c>
      <c r="C1990" t="str">
        <f>_xlfn.XLOOKUP(tblOrders[[#This Row],[CustomerID]],tblCustomers[CustomerID],tblCustomers[CustomerName],"not found")</f>
        <v>Michael Smith</v>
      </c>
      <c r="D1990">
        <f>_xlfn.XLOOKUP(tblOrders[[#This Row],[CustomerID]],tblCustomers[CustomerID],tblCustomers[Age],"not found")</f>
        <v>20</v>
      </c>
      <c r="E1990" t="str">
        <f>_xlfn.XLOOKUP(tblOrders[[#This Row],[CustomerID]],tblCustomers[CustomerID],tblCustomers[Gender],"not found")</f>
        <v>Female</v>
      </c>
      <c r="F1990" t="str">
        <f>_xlfn.XLOOKUP(tblOrders[[#This Row],[CustomerID]],tblCustomers[CustomerID],tblCustomers[Region],"not found")</f>
        <v>West</v>
      </c>
      <c r="G1990">
        <v>1039</v>
      </c>
      <c r="H1990" t="str">
        <f>_xlfn.XLOOKUP(tblOrders[[#This Row],[ProductID]],tblProducts[ProductID],tblProducts[ProductName],"not found")</f>
        <v>Page</v>
      </c>
      <c r="I1990" t="str">
        <f>_xlfn.XLOOKUP(tblOrders[[#This Row],[ProductID]],tblProducts[ProductID],tblProducts[Category],"not found")</f>
        <v>Apparel</v>
      </c>
      <c r="J1990">
        <f>_xlfn.XLOOKUP(tblOrders[[#This Row],[ProductID]],tblProducts[ProductID],tblProducts[UnitPrice],"not found")</f>
        <v>159.99</v>
      </c>
      <c r="K1990" t="str">
        <f>_xlfn.XLOOKUP(tblOrders[[#This Row],[ProductID]],tblProducts[ProductID],tblProducts[Supplier],"not found")</f>
        <v>Brown PLC</v>
      </c>
      <c r="L1990" s="1" t="s">
        <v>2307</v>
      </c>
      <c r="M199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45276</v>
      </c>
      <c r="N1990">
        <v>2</v>
      </c>
      <c r="O1990">
        <v>319.98</v>
      </c>
      <c r="P1990">
        <f>tblOrders[[#This Row],[Quantity]]*tblOrders[[#This Row],[Unit Price]]</f>
        <v>319.98</v>
      </c>
      <c r="Q1990">
        <f>tblOrders[[#This Row],[TotalSales]]-tblOrders[[#This Row],[Calculated Sales]]</f>
        <v>0</v>
      </c>
    </row>
    <row r="1991" spans="1:17" x14ac:dyDescent="0.25">
      <c r="A1991">
        <v>988</v>
      </c>
      <c r="B1991">
        <v>781</v>
      </c>
      <c r="C1991" t="str">
        <f>_xlfn.XLOOKUP(tblOrders[[#This Row],[CustomerID]],tblCustomers[CustomerID],tblCustomers[CustomerName],"not found")</f>
        <v>Jennifer Allen</v>
      </c>
      <c r="D1991">
        <f>_xlfn.XLOOKUP(tblOrders[[#This Row],[CustomerID]],tblCustomers[CustomerID],tblCustomers[Age],"not found")</f>
        <v>20</v>
      </c>
      <c r="E1991" t="str">
        <f>_xlfn.XLOOKUP(tblOrders[[#This Row],[CustomerID]],tblCustomers[CustomerID],tblCustomers[Gender],"not found")</f>
        <v>Female</v>
      </c>
      <c r="F1991" t="str">
        <f>_xlfn.XLOOKUP(tblOrders[[#This Row],[CustomerID]],tblCustomers[CustomerID],tblCustomers[Region],"not found")</f>
        <v>North</v>
      </c>
      <c r="G1991">
        <v>1039</v>
      </c>
      <c r="H1991" t="str">
        <f>_xlfn.XLOOKUP(tblOrders[[#This Row],[ProductID]],tblProducts[ProductID],tblProducts[ProductName],"not found")</f>
        <v>Page</v>
      </c>
      <c r="I1991" t="str">
        <f>_xlfn.XLOOKUP(tblOrders[[#This Row],[ProductID]],tblProducts[ProductID],tblProducts[Category],"not found")</f>
        <v>Apparel</v>
      </c>
      <c r="J1991">
        <f>_xlfn.XLOOKUP(tblOrders[[#This Row],[ProductID]],tblProducts[ProductID],tblProducts[UnitPrice],"not found")</f>
        <v>159.99</v>
      </c>
      <c r="K1991" t="str">
        <f>_xlfn.XLOOKUP(tblOrders[[#This Row],[ProductID]],tblProducts[ProductID],tblProducts[Supplier],"not found")</f>
        <v>Brown PLC</v>
      </c>
      <c r="L1991" s="1" t="s">
        <v>2402</v>
      </c>
      <c r="M199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45005</v>
      </c>
      <c r="N1991">
        <v>2</v>
      </c>
      <c r="O1991">
        <v>319.98</v>
      </c>
      <c r="P1991">
        <f>tblOrders[[#This Row],[Quantity]]*tblOrders[[#This Row],[Unit Price]]</f>
        <v>319.98</v>
      </c>
      <c r="Q1991">
        <f>tblOrders[[#This Row],[TotalSales]]-tblOrders[[#This Row],[Calculated Sales]]</f>
        <v>0</v>
      </c>
    </row>
    <row r="1992" spans="1:17" x14ac:dyDescent="0.25">
      <c r="A1992">
        <v>1042</v>
      </c>
      <c r="B1992">
        <v>489</v>
      </c>
      <c r="C1992" t="str">
        <f>_xlfn.XLOOKUP(tblOrders[[#This Row],[CustomerID]],tblCustomers[CustomerID],tblCustomers[CustomerName],"not found")</f>
        <v>Amber Lopez</v>
      </c>
      <c r="D1992">
        <f>_xlfn.XLOOKUP(tblOrders[[#This Row],[CustomerID]],tblCustomers[CustomerID],tblCustomers[Age],"not found")</f>
        <v>33</v>
      </c>
      <c r="E1992" t="str">
        <f>_xlfn.XLOOKUP(tblOrders[[#This Row],[CustomerID]],tblCustomers[CustomerID],tblCustomers[Gender],"not found")</f>
        <v>Female</v>
      </c>
      <c r="F1992" t="str">
        <f>_xlfn.XLOOKUP(tblOrders[[#This Row],[CustomerID]],tblCustomers[CustomerID],tblCustomers[Region],"not found")</f>
        <v>East</v>
      </c>
      <c r="G1992">
        <v>1039</v>
      </c>
      <c r="H1992" t="str">
        <f>_xlfn.XLOOKUP(tblOrders[[#This Row],[ProductID]],tblProducts[ProductID],tblProducts[ProductName],"not found")</f>
        <v>Page</v>
      </c>
      <c r="I1992" t="str">
        <f>_xlfn.XLOOKUP(tblOrders[[#This Row],[ProductID]],tblProducts[ProductID],tblProducts[Category],"not found")</f>
        <v>Apparel</v>
      </c>
      <c r="J1992">
        <f>_xlfn.XLOOKUP(tblOrders[[#This Row],[ProductID]],tblProducts[ProductID],tblProducts[UnitPrice],"not found")</f>
        <v>159.99</v>
      </c>
      <c r="K1992" t="str">
        <f>_xlfn.XLOOKUP(tblOrders[[#This Row],[ProductID]],tblProducts[ProductID],tblProducts[Supplier],"not found")</f>
        <v>Brown PLC</v>
      </c>
      <c r="L1992" s="1" t="s">
        <v>2354</v>
      </c>
      <c r="M1992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45090</v>
      </c>
      <c r="N1992">
        <v>3</v>
      </c>
      <c r="O1992">
        <v>479.97</v>
      </c>
      <c r="P1992">
        <f>tblOrders[[#This Row],[Quantity]]*tblOrders[[#This Row],[Unit Price]]</f>
        <v>479.97</v>
      </c>
      <c r="Q1992">
        <f>tblOrders[[#This Row],[TotalSales]]-tblOrders[[#This Row],[Calculated Sales]]</f>
        <v>0</v>
      </c>
    </row>
    <row r="1993" spans="1:17" x14ac:dyDescent="0.25">
      <c r="A1993">
        <v>1054</v>
      </c>
      <c r="B1993">
        <v>377</v>
      </c>
      <c r="C1993" t="str">
        <f>_xlfn.XLOOKUP(tblOrders[[#This Row],[CustomerID]],tblCustomers[CustomerID],tblCustomers[CustomerName],"not found")</f>
        <v>Dr. Colton Schneider DDS</v>
      </c>
      <c r="D1993">
        <f>_xlfn.XLOOKUP(tblOrders[[#This Row],[CustomerID]],tblCustomers[CustomerID],tblCustomers[Age],"not found")</f>
        <v>66</v>
      </c>
      <c r="E1993" t="str">
        <f>_xlfn.XLOOKUP(tblOrders[[#This Row],[CustomerID]],tblCustomers[CustomerID],tblCustomers[Gender],"not found")</f>
        <v>Female</v>
      </c>
      <c r="F1993" t="str">
        <f>_xlfn.XLOOKUP(tblOrders[[#This Row],[CustomerID]],tblCustomers[CustomerID],tblCustomers[Region],"not found")</f>
        <v>North</v>
      </c>
      <c r="G1993">
        <v>1039</v>
      </c>
      <c r="H1993" t="str">
        <f>_xlfn.XLOOKUP(tblOrders[[#This Row],[ProductID]],tblProducts[ProductID],tblProducts[ProductName],"not found")</f>
        <v>Page</v>
      </c>
      <c r="I1993" t="str">
        <f>_xlfn.XLOOKUP(tblOrders[[#This Row],[ProductID]],tblProducts[ProductID],tblProducts[Category],"not found")</f>
        <v>Apparel</v>
      </c>
      <c r="J1993">
        <f>_xlfn.XLOOKUP(tblOrders[[#This Row],[ProductID]],tblProducts[ProductID],tblProducts[UnitPrice],"not found")</f>
        <v>159.99</v>
      </c>
      <c r="K1993" t="str">
        <f>_xlfn.XLOOKUP(tblOrders[[#This Row],[ProductID]],tblProducts[ProductID],tblProducts[Supplier],"not found")</f>
        <v>Brown PLC</v>
      </c>
      <c r="L1993" s="1" t="s">
        <v>2244</v>
      </c>
      <c r="M1993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45498</v>
      </c>
      <c r="N1993">
        <v>3</v>
      </c>
      <c r="O1993">
        <v>479.97</v>
      </c>
      <c r="P1993">
        <f>tblOrders[[#This Row],[Quantity]]*tblOrders[[#This Row],[Unit Price]]</f>
        <v>479.97</v>
      </c>
      <c r="Q1993">
        <f>tblOrders[[#This Row],[TotalSales]]-tblOrders[[#This Row],[Calculated Sales]]</f>
        <v>0</v>
      </c>
    </row>
    <row r="1994" spans="1:17" x14ac:dyDescent="0.25">
      <c r="A1994">
        <v>1081</v>
      </c>
      <c r="B1994">
        <v>93</v>
      </c>
      <c r="C1994" t="str">
        <f>_xlfn.XLOOKUP(tblOrders[[#This Row],[CustomerID]],tblCustomers[CustomerID],tblCustomers[CustomerName],"not found")</f>
        <v>Dean Rogers</v>
      </c>
      <c r="D1994">
        <f>_xlfn.XLOOKUP(tblOrders[[#This Row],[CustomerID]],tblCustomers[CustomerID],tblCustomers[Age],"not found")</f>
        <v>51</v>
      </c>
      <c r="E1994" t="str">
        <f>_xlfn.XLOOKUP(tblOrders[[#This Row],[CustomerID]],tblCustomers[CustomerID],tblCustomers[Gender],"not found")</f>
        <v>Female</v>
      </c>
      <c r="F1994" t="str">
        <f>_xlfn.XLOOKUP(tblOrders[[#This Row],[CustomerID]],tblCustomers[CustomerID],tblCustomers[Region],"not found")</f>
        <v>South</v>
      </c>
      <c r="G1994">
        <v>1039</v>
      </c>
      <c r="H1994" t="str">
        <f>_xlfn.XLOOKUP(tblOrders[[#This Row],[ProductID]],tblProducts[ProductID],tblProducts[ProductName],"not found")</f>
        <v>Page</v>
      </c>
      <c r="I1994" t="str">
        <f>_xlfn.XLOOKUP(tblOrders[[#This Row],[ProductID]],tblProducts[ProductID],tblProducts[Category],"not found")</f>
        <v>Apparel</v>
      </c>
      <c r="J1994">
        <f>_xlfn.XLOOKUP(tblOrders[[#This Row],[ProductID]],tblProducts[ProductID],tblProducts[UnitPrice],"not found")</f>
        <v>159.99</v>
      </c>
      <c r="K1994" t="str">
        <f>_xlfn.XLOOKUP(tblOrders[[#This Row],[ProductID]],tblProducts[ProductID],tblProducts[Supplier],"not found")</f>
        <v>Brown PLC</v>
      </c>
      <c r="L1994" s="1" t="s">
        <v>2278</v>
      </c>
      <c r="M1994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45289</v>
      </c>
      <c r="N1994">
        <v>3</v>
      </c>
      <c r="O1994">
        <v>479.97</v>
      </c>
      <c r="P1994">
        <f>tblOrders[[#This Row],[Quantity]]*tblOrders[[#This Row],[Unit Price]]</f>
        <v>479.97</v>
      </c>
      <c r="Q1994">
        <f>tblOrders[[#This Row],[TotalSales]]-tblOrders[[#This Row],[Calculated Sales]]</f>
        <v>0</v>
      </c>
    </row>
    <row r="1995" spans="1:17" x14ac:dyDescent="0.25">
      <c r="A1995">
        <v>1136</v>
      </c>
      <c r="B1995">
        <v>808</v>
      </c>
      <c r="C1995" t="str">
        <f>_xlfn.XLOOKUP(tblOrders[[#This Row],[CustomerID]],tblCustomers[CustomerID],tblCustomers[CustomerName],"not found")</f>
        <v>Chad Francis</v>
      </c>
      <c r="D1995">
        <f>_xlfn.XLOOKUP(tblOrders[[#This Row],[CustomerID]],tblCustomers[CustomerID],tblCustomers[Age],"not found")</f>
        <v>27</v>
      </c>
      <c r="E1995" t="str">
        <f>_xlfn.XLOOKUP(tblOrders[[#This Row],[CustomerID]],tblCustomers[CustomerID],tblCustomers[Gender],"not found")</f>
        <v>Male</v>
      </c>
      <c r="F1995" t="str">
        <f>_xlfn.XLOOKUP(tblOrders[[#This Row],[CustomerID]],tblCustomers[CustomerID],tblCustomers[Region],"not found")</f>
        <v>East</v>
      </c>
      <c r="G1995">
        <v>1039</v>
      </c>
      <c r="H1995" t="str">
        <f>_xlfn.XLOOKUP(tblOrders[[#This Row],[ProductID]],tblProducts[ProductID],tblProducts[ProductName],"not found")</f>
        <v>Page</v>
      </c>
      <c r="I1995" t="str">
        <f>_xlfn.XLOOKUP(tblOrders[[#This Row],[ProductID]],tblProducts[ProductID],tblProducts[Category],"not found")</f>
        <v>Apparel</v>
      </c>
      <c r="J1995">
        <f>_xlfn.XLOOKUP(tblOrders[[#This Row],[ProductID]],tblProducts[ProductID],tblProducts[UnitPrice],"not found")</f>
        <v>159.99</v>
      </c>
      <c r="K1995" t="str">
        <f>_xlfn.XLOOKUP(tblOrders[[#This Row],[ProductID]],tblProducts[ProductID],tblProducts[Supplier],"not found")</f>
        <v>Brown PLC</v>
      </c>
      <c r="L1995" s="1">
        <v>45300</v>
      </c>
      <c r="M1995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45300</v>
      </c>
      <c r="N1995">
        <v>3</v>
      </c>
      <c r="O1995">
        <v>479.97</v>
      </c>
      <c r="P1995">
        <f>tblOrders[[#This Row],[Quantity]]*tblOrders[[#This Row],[Unit Price]]</f>
        <v>479.97</v>
      </c>
      <c r="Q1995">
        <f>tblOrders[[#This Row],[TotalSales]]-tblOrders[[#This Row],[Calculated Sales]]</f>
        <v>0</v>
      </c>
    </row>
    <row r="1996" spans="1:17" x14ac:dyDescent="0.25">
      <c r="A1996">
        <v>1296</v>
      </c>
      <c r="B1996">
        <v>781</v>
      </c>
      <c r="C1996" t="str">
        <f>_xlfn.XLOOKUP(tblOrders[[#This Row],[CustomerID]],tblCustomers[CustomerID],tblCustomers[CustomerName],"not found")</f>
        <v>Jennifer Allen</v>
      </c>
      <c r="D1996">
        <f>_xlfn.XLOOKUP(tblOrders[[#This Row],[CustomerID]],tblCustomers[CustomerID],tblCustomers[Age],"not found")</f>
        <v>20</v>
      </c>
      <c r="E1996" t="str">
        <f>_xlfn.XLOOKUP(tblOrders[[#This Row],[CustomerID]],tblCustomers[CustomerID],tblCustomers[Gender],"not found")</f>
        <v>Female</v>
      </c>
      <c r="F1996" t="str">
        <f>_xlfn.XLOOKUP(tblOrders[[#This Row],[CustomerID]],tblCustomers[CustomerID],tblCustomers[Region],"not found")</f>
        <v>North</v>
      </c>
      <c r="G1996">
        <v>1039</v>
      </c>
      <c r="H1996" t="str">
        <f>_xlfn.XLOOKUP(tblOrders[[#This Row],[ProductID]],tblProducts[ProductID],tblProducts[ProductName],"not found")</f>
        <v>Page</v>
      </c>
      <c r="I1996" t="str">
        <f>_xlfn.XLOOKUP(tblOrders[[#This Row],[ProductID]],tblProducts[ProductID],tblProducts[Category],"not found")</f>
        <v>Apparel</v>
      </c>
      <c r="J1996">
        <f>_xlfn.XLOOKUP(tblOrders[[#This Row],[ProductID]],tblProducts[ProductID],tblProducts[UnitPrice],"not found")</f>
        <v>159.99</v>
      </c>
      <c r="K1996" t="str">
        <f>_xlfn.XLOOKUP(tblOrders[[#This Row],[ProductID]],tblProducts[ProductID],tblProducts[Supplier],"not found")</f>
        <v>Brown PLC</v>
      </c>
      <c r="L1996" s="1" t="s">
        <v>2143</v>
      </c>
      <c r="M1996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45364</v>
      </c>
      <c r="N1996">
        <v>3</v>
      </c>
      <c r="O1996">
        <v>479.97</v>
      </c>
      <c r="P1996">
        <f>tblOrders[[#This Row],[Quantity]]*tblOrders[[#This Row],[Unit Price]]</f>
        <v>479.97</v>
      </c>
      <c r="Q1996">
        <f>tblOrders[[#This Row],[TotalSales]]-tblOrders[[#This Row],[Calculated Sales]]</f>
        <v>0</v>
      </c>
    </row>
    <row r="1997" spans="1:17" x14ac:dyDescent="0.25">
      <c r="A1997">
        <v>1304</v>
      </c>
      <c r="B1997">
        <v>93</v>
      </c>
      <c r="C1997" t="str">
        <f>_xlfn.XLOOKUP(tblOrders[[#This Row],[CustomerID]],tblCustomers[CustomerID],tblCustomers[CustomerName],"not found")</f>
        <v>Dean Rogers</v>
      </c>
      <c r="D1997">
        <f>_xlfn.XLOOKUP(tblOrders[[#This Row],[CustomerID]],tblCustomers[CustomerID],tblCustomers[Age],"not found")</f>
        <v>51</v>
      </c>
      <c r="E1997" t="str">
        <f>_xlfn.XLOOKUP(tblOrders[[#This Row],[CustomerID]],tblCustomers[CustomerID],tblCustomers[Gender],"not found")</f>
        <v>Female</v>
      </c>
      <c r="F1997" t="str">
        <f>_xlfn.XLOOKUP(tblOrders[[#This Row],[CustomerID]],tblCustomers[CustomerID],tblCustomers[Region],"not found")</f>
        <v>South</v>
      </c>
      <c r="G1997">
        <v>1039</v>
      </c>
      <c r="H1997" t="str">
        <f>_xlfn.XLOOKUP(tblOrders[[#This Row],[ProductID]],tblProducts[ProductID],tblProducts[ProductName],"not found")</f>
        <v>Page</v>
      </c>
      <c r="I1997" t="str">
        <f>_xlfn.XLOOKUP(tblOrders[[#This Row],[ProductID]],tblProducts[ProductID],tblProducts[Category],"not found")</f>
        <v>Apparel</v>
      </c>
      <c r="J1997">
        <f>_xlfn.XLOOKUP(tblOrders[[#This Row],[ProductID]],tblProducts[ProductID],tblProducts[UnitPrice],"not found")</f>
        <v>159.99</v>
      </c>
      <c r="K1997" t="str">
        <f>_xlfn.XLOOKUP(tblOrders[[#This Row],[ProductID]],tblProducts[ProductID],tblProducts[Supplier],"not found")</f>
        <v>Brown PLC</v>
      </c>
      <c r="L1997" s="1" t="s">
        <v>2354</v>
      </c>
      <c r="M1997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45090</v>
      </c>
      <c r="N1997">
        <v>6</v>
      </c>
      <c r="O1997">
        <v>959.94</v>
      </c>
      <c r="P1997">
        <f>tblOrders[[#This Row],[Quantity]]*tblOrders[[#This Row],[Unit Price]]</f>
        <v>959.94</v>
      </c>
      <c r="Q1997">
        <f>tblOrders[[#This Row],[TotalSales]]-tblOrders[[#This Row],[Calculated Sales]]</f>
        <v>0</v>
      </c>
    </row>
    <row r="1998" spans="1:17" x14ac:dyDescent="0.25">
      <c r="A1998">
        <v>1886</v>
      </c>
      <c r="B1998">
        <v>148</v>
      </c>
      <c r="C1998" t="str">
        <f>_xlfn.XLOOKUP(tblOrders[[#This Row],[CustomerID]],tblCustomers[CustomerID],tblCustomers[CustomerName],"not found")</f>
        <v>Dana Young</v>
      </c>
      <c r="D1998">
        <f>_xlfn.XLOOKUP(tblOrders[[#This Row],[CustomerID]],tblCustomers[CustomerID],tblCustomers[Age],"not found")</f>
        <v>33</v>
      </c>
      <c r="E1998" t="str">
        <f>_xlfn.XLOOKUP(tblOrders[[#This Row],[CustomerID]],tblCustomers[CustomerID],tblCustomers[Gender],"not found")</f>
        <v>Male</v>
      </c>
      <c r="F1998" t="str">
        <f>_xlfn.XLOOKUP(tblOrders[[#This Row],[CustomerID]],tblCustomers[CustomerID],tblCustomers[Region],"not found")</f>
        <v>South</v>
      </c>
      <c r="G1998">
        <v>1039</v>
      </c>
      <c r="H1998" t="str">
        <f>_xlfn.XLOOKUP(tblOrders[[#This Row],[ProductID]],tblProducts[ProductID],tblProducts[ProductName],"not found")</f>
        <v>Page</v>
      </c>
      <c r="I1998" t="str">
        <f>_xlfn.XLOOKUP(tblOrders[[#This Row],[ProductID]],tblProducts[ProductID],tblProducts[Category],"not found")</f>
        <v>Apparel</v>
      </c>
      <c r="J1998">
        <f>_xlfn.XLOOKUP(tblOrders[[#This Row],[ProductID]],tblProducts[ProductID],tblProducts[UnitPrice],"not found")</f>
        <v>159.99</v>
      </c>
      <c r="K1998" t="str">
        <f>_xlfn.XLOOKUP(tblOrders[[#This Row],[ProductID]],tblProducts[ProductID],tblProducts[Supplier],"not found")</f>
        <v>Brown PLC</v>
      </c>
      <c r="L1998" s="1" t="s">
        <v>2052</v>
      </c>
      <c r="M1998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44980</v>
      </c>
      <c r="N1998">
        <v>9</v>
      </c>
      <c r="O1998">
        <v>1439.91</v>
      </c>
      <c r="P1998">
        <f>tblOrders[[#This Row],[Quantity]]*tblOrders[[#This Row],[Unit Price]]</f>
        <v>1439.91</v>
      </c>
      <c r="Q1998">
        <f>tblOrders[[#This Row],[TotalSales]]-tblOrders[[#This Row],[Calculated Sales]]</f>
        <v>0</v>
      </c>
    </row>
    <row r="1999" spans="1:17" x14ac:dyDescent="0.25">
      <c r="A1999">
        <v>1914</v>
      </c>
      <c r="B1999">
        <v>534</v>
      </c>
      <c r="C1999" t="str">
        <f>_xlfn.XLOOKUP(tblOrders[[#This Row],[CustomerID]],tblCustomers[CustomerID],tblCustomers[CustomerName],"not found")</f>
        <v>Brett Solis</v>
      </c>
      <c r="D1999">
        <f>_xlfn.XLOOKUP(tblOrders[[#This Row],[CustomerID]],tblCustomers[CustomerID],tblCustomers[Age],"not found")</f>
        <v>33</v>
      </c>
      <c r="E1999" t="str">
        <f>_xlfn.XLOOKUP(tblOrders[[#This Row],[CustomerID]],tblCustomers[CustomerID],tblCustomers[Gender],"not found")</f>
        <v>Male</v>
      </c>
      <c r="F1999" t="str">
        <f>_xlfn.XLOOKUP(tblOrders[[#This Row],[CustomerID]],tblCustomers[CustomerID],tblCustomers[Region],"not found")</f>
        <v>West</v>
      </c>
      <c r="G1999">
        <v>1039</v>
      </c>
      <c r="H1999" t="str">
        <f>_xlfn.XLOOKUP(tblOrders[[#This Row],[ProductID]],tblProducts[ProductID],tblProducts[ProductName],"not found")</f>
        <v>Page</v>
      </c>
      <c r="I1999" t="str">
        <f>_xlfn.XLOOKUP(tblOrders[[#This Row],[ProductID]],tblProducts[ProductID],tblProducts[Category],"not found")</f>
        <v>Apparel</v>
      </c>
      <c r="J1999">
        <f>_xlfn.XLOOKUP(tblOrders[[#This Row],[ProductID]],tblProducts[ProductID],tblProducts[UnitPrice],"not found")</f>
        <v>159.99</v>
      </c>
      <c r="K1999" t="str">
        <f>_xlfn.XLOOKUP(tblOrders[[#This Row],[ProductID]],tblProducts[ProductID],tblProducts[Supplier],"not found")</f>
        <v>Brown PLC</v>
      </c>
      <c r="L1999" s="1" t="s">
        <v>2178</v>
      </c>
      <c r="M1999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45069</v>
      </c>
      <c r="N1999">
        <v>5</v>
      </c>
      <c r="O1999">
        <v>799.95</v>
      </c>
      <c r="P1999">
        <f>tblOrders[[#This Row],[Quantity]]*tblOrders[[#This Row],[Unit Price]]</f>
        <v>799.95</v>
      </c>
      <c r="Q1999">
        <f>tblOrders[[#This Row],[TotalSales]]-tblOrders[[#This Row],[Calculated Sales]]</f>
        <v>0</v>
      </c>
    </row>
    <row r="2000" spans="1:17" x14ac:dyDescent="0.25">
      <c r="A2000">
        <v>1915</v>
      </c>
      <c r="B2000">
        <v>825</v>
      </c>
      <c r="C2000" t="str">
        <f>_xlfn.XLOOKUP(tblOrders[[#This Row],[CustomerID]],tblCustomers[CustomerID],tblCustomers[CustomerName],"not found")</f>
        <v>Francisco Ramos</v>
      </c>
      <c r="D2000">
        <f>_xlfn.XLOOKUP(tblOrders[[#This Row],[CustomerID]],tblCustomers[CustomerID],tblCustomers[Age],"not found")</f>
        <v>66</v>
      </c>
      <c r="E2000" t="str">
        <f>_xlfn.XLOOKUP(tblOrders[[#This Row],[CustomerID]],tblCustomers[CustomerID],tblCustomers[Gender],"not found")</f>
        <v>Female</v>
      </c>
      <c r="F2000" t="str">
        <f>_xlfn.XLOOKUP(tblOrders[[#This Row],[CustomerID]],tblCustomers[CustomerID],tblCustomers[Region],"not found")</f>
        <v>North</v>
      </c>
      <c r="G2000">
        <v>1039</v>
      </c>
      <c r="H2000" t="str">
        <f>_xlfn.XLOOKUP(tblOrders[[#This Row],[ProductID]],tblProducts[ProductID],tblProducts[ProductName],"not found")</f>
        <v>Page</v>
      </c>
      <c r="I2000" t="str">
        <f>_xlfn.XLOOKUP(tblOrders[[#This Row],[ProductID]],tblProducts[ProductID],tblProducts[Category],"not found")</f>
        <v>Apparel</v>
      </c>
      <c r="J2000">
        <f>_xlfn.XLOOKUP(tblOrders[[#This Row],[ProductID]],tblProducts[ProductID],tblProducts[UnitPrice],"not found")</f>
        <v>159.99</v>
      </c>
      <c r="K2000" t="str">
        <f>_xlfn.XLOOKUP(tblOrders[[#This Row],[ProductID]],tblProducts[ProductID],tblProducts[Supplier],"not found")</f>
        <v>Brown PLC</v>
      </c>
      <c r="L2000" s="1" t="s">
        <v>2295</v>
      </c>
      <c r="M2000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45275</v>
      </c>
      <c r="N2000">
        <v>1</v>
      </c>
      <c r="O2000">
        <v>159.99</v>
      </c>
      <c r="P2000">
        <f>tblOrders[[#This Row],[Quantity]]*tblOrders[[#This Row],[Unit Price]]</f>
        <v>159.99</v>
      </c>
      <c r="Q2000">
        <f>tblOrders[[#This Row],[TotalSales]]-tblOrders[[#This Row],[Calculated Sales]]</f>
        <v>0</v>
      </c>
    </row>
    <row r="2001" spans="1:17" x14ac:dyDescent="0.25">
      <c r="A2001">
        <v>1926</v>
      </c>
      <c r="B2001">
        <v>985</v>
      </c>
      <c r="C2001" t="str">
        <f>_xlfn.XLOOKUP(tblOrders[[#This Row],[CustomerID]],tblCustomers[CustomerID],tblCustomers[CustomerName],"not found")</f>
        <v>Juan Miller</v>
      </c>
      <c r="D2001">
        <f>_xlfn.XLOOKUP(tblOrders[[#This Row],[CustomerID]],tblCustomers[CustomerID],tblCustomers[Age],"not found")</f>
        <v>30</v>
      </c>
      <c r="E2001" t="str">
        <f>_xlfn.XLOOKUP(tblOrders[[#This Row],[CustomerID]],tblCustomers[CustomerID],tblCustomers[Gender],"not found")</f>
        <v>Female</v>
      </c>
      <c r="F2001" t="str">
        <f>_xlfn.XLOOKUP(tblOrders[[#This Row],[CustomerID]],tblCustomers[CustomerID],tblCustomers[Region],"not found")</f>
        <v>North</v>
      </c>
      <c r="G2001">
        <v>1039</v>
      </c>
      <c r="H2001" t="str">
        <f>_xlfn.XLOOKUP(tblOrders[[#This Row],[ProductID]],tblProducts[ProductID],tblProducts[ProductName],"not found")</f>
        <v>Page</v>
      </c>
      <c r="I2001" t="str">
        <f>_xlfn.XLOOKUP(tblOrders[[#This Row],[ProductID]],tblProducts[ProductID],tblProducts[Category],"not found")</f>
        <v>Apparel</v>
      </c>
      <c r="J2001">
        <f>_xlfn.XLOOKUP(tblOrders[[#This Row],[ProductID]],tblProducts[ProductID],tblProducts[UnitPrice],"not found")</f>
        <v>159.99</v>
      </c>
      <c r="K2001" t="str">
        <f>_xlfn.XLOOKUP(tblOrders[[#This Row],[ProductID]],tblProducts[ProductID],tblProducts[Supplier],"not found")</f>
        <v>Brown PLC</v>
      </c>
      <c r="L2001" s="1" t="s">
        <v>2084</v>
      </c>
      <c r="M2001" s="2">
        <f>IF(ISNUMBER(tblOrders[[#This Row],[OrderDate]]),tblOrders[[#This Row],[OrderDate]],_xlfn.LET(_xlpm.x,SUBSTITUTE(TRIM(tblOrders[[#This Row],[OrderDate]]),"-","/"),_xlpm.P,_xlfn.TEXTSPLIT(_xlpm.x,"/"),DATE(INDEX(_xlpm.P,1,3),INDEX(_xlpm.P,1,2),INDEX(_xlpm.P,1,1))))</f>
        <v>45460</v>
      </c>
      <c r="N2001">
        <v>9</v>
      </c>
      <c r="O2001">
        <v>1439.91</v>
      </c>
      <c r="P2001">
        <f>tblOrders[[#This Row],[Quantity]]*tblOrders[[#This Row],[Unit Price]]</f>
        <v>1439.91</v>
      </c>
      <c r="Q2001">
        <f>tblOrders[[#This Row],[TotalSales]]-tblOrders[[#This Row],[Calculated Sales]]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5D9A-28B8-4691-BD23-80B0AA17E83A}">
  <dimension ref="A1:E101"/>
  <sheetViews>
    <sheetView workbookViewId="0"/>
  </sheetViews>
  <sheetFormatPr defaultRowHeight="15" x14ac:dyDescent="0.25"/>
  <cols>
    <col min="1" max="1" width="12.140625" customWidth="1"/>
    <col min="2" max="2" width="15.42578125" customWidth="1"/>
    <col min="3" max="3" width="11.28515625" customWidth="1"/>
    <col min="4" max="4" width="11.42578125" customWidth="1"/>
    <col min="5" max="5" width="29.140625" customWidth="1"/>
  </cols>
  <sheetData>
    <row r="1" spans="1:5" x14ac:dyDescent="0.25">
      <c r="A1" t="s">
        <v>2006</v>
      </c>
      <c r="B1" t="s">
        <v>2423</v>
      </c>
      <c r="C1" t="s">
        <v>2424</v>
      </c>
      <c r="D1" t="s">
        <v>2425</v>
      </c>
      <c r="E1" t="s">
        <v>2426</v>
      </c>
    </row>
    <row r="2" spans="1:5" x14ac:dyDescent="0.25">
      <c r="A2">
        <v>1001</v>
      </c>
      <c r="B2" t="s">
        <v>2427</v>
      </c>
      <c r="C2" t="s">
        <v>2428</v>
      </c>
      <c r="D2">
        <v>99.32</v>
      </c>
      <c r="E2" t="s">
        <v>2429</v>
      </c>
    </row>
    <row r="3" spans="1:5" x14ac:dyDescent="0.25">
      <c r="A3">
        <v>1002</v>
      </c>
      <c r="B3" t="s">
        <v>2430</v>
      </c>
      <c r="C3" t="s">
        <v>2431</v>
      </c>
      <c r="D3">
        <v>290.67</v>
      </c>
      <c r="E3" t="s">
        <v>2432</v>
      </c>
    </row>
    <row r="4" spans="1:5" x14ac:dyDescent="0.25">
      <c r="A4">
        <v>1003</v>
      </c>
      <c r="B4" t="s">
        <v>2433</v>
      </c>
      <c r="C4" t="s">
        <v>2434</v>
      </c>
      <c r="D4">
        <v>37.75</v>
      </c>
      <c r="E4" t="s">
        <v>2435</v>
      </c>
    </row>
    <row r="5" spans="1:5" x14ac:dyDescent="0.25">
      <c r="A5">
        <v>1004</v>
      </c>
      <c r="B5" t="s">
        <v>2436</v>
      </c>
      <c r="C5" t="s">
        <v>2437</v>
      </c>
      <c r="D5">
        <v>75.319999999999993</v>
      </c>
      <c r="E5" t="s">
        <v>2438</v>
      </c>
    </row>
    <row r="6" spans="1:5" x14ac:dyDescent="0.25">
      <c r="A6">
        <v>1005</v>
      </c>
      <c r="B6" t="s">
        <v>2439</v>
      </c>
      <c r="C6" t="s">
        <v>2437</v>
      </c>
      <c r="D6">
        <v>332.12</v>
      </c>
      <c r="E6" t="s">
        <v>2440</v>
      </c>
    </row>
    <row r="7" spans="1:5" x14ac:dyDescent="0.25">
      <c r="A7">
        <v>1006</v>
      </c>
      <c r="B7" t="s">
        <v>2441</v>
      </c>
      <c r="C7" t="s">
        <v>2437</v>
      </c>
      <c r="D7">
        <v>111.79</v>
      </c>
      <c r="E7" t="s">
        <v>2442</v>
      </c>
    </row>
    <row r="8" spans="1:5" x14ac:dyDescent="0.25">
      <c r="A8">
        <v>1007</v>
      </c>
      <c r="B8" t="s">
        <v>2443</v>
      </c>
      <c r="C8" t="s">
        <v>2437</v>
      </c>
      <c r="D8">
        <v>242.95</v>
      </c>
      <c r="E8" t="s">
        <v>2444</v>
      </c>
    </row>
    <row r="9" spans="1:5" x14ac:dyDescent="0.25">
      <c r="A9">
        <v>1008</v>
      </c>
      <c r="B9" t="s">
        <v>2445</v>
      </c>
      <c r="C9" t="s">
        <v>2431</v>
      </c>
      <c r="D9">
        <v>81.239999999999995</v>
      </c>
      <c r="E9" t="s">
        <v>2446</v>
      </c>
    </row>
    <row r="10" spans="1:5" x14ac:dyDescent="0.25">
      <c r="A10">
        <v>1009</v>
      </c>
      <c r="B10" t="s">
        <v>2447</v>
      </c>
      <c r="C10" t="s">
        <v>2437</v>
      </c>
      <c r="D10">
        <v>50.94</v>
      </c>
      <c r="E10" t="s">
        <v>2448</v>
      </c>
    </row>
    <row r="11" spans="1:5" x14ac:dyDescent="0.25">
      <c r="A11">
        <v>1010</v>
      </c>
      <c r="B11" t="s">
        <v>2449</v>
      </c>
      <c r="C11" t="s">
        <v>2428</v>
      </c>
      <c r="D11">
        <v>98.5</v>
      </c>
      <c r="E11" t="s">
        <v>2450</v>
      </c>
    </row>
    <row r="12" spans="1:5" x14ac:dyDescent="0.25">
      <c r="A12">
        <v>1011</v>
      </c>
      <c r="B12" t="s">
        <v>2451</v>
      </c>
      <c r="C12" t="s">
        <v>2452</v>
      </c>
      <c r="D12">
        <v>443.16</v>
      </c>
      <c r="E12" t="s">
        <v>2453</v>
      </c>
    </row>
    <row r="13" spans="1:5" x14ac:dyDescent="0.25">
      <c r="A13">
        <v>1012</v>
      </c>
      <c r="B13" t="s">
        <v>2454</v>
      </c>
      <c r="C13" t="s">
        <v>2431</v>
      </c>
      <c r="D13">
        <v>89.12</v>
      </c>
      <c r="E13" t="s">
        <v>2455</v>
      </c>
    </row>
    <row r="14" spans="1:5" x14ac:dyDescent="0.25">
      <c r="A14">
        <v>1013</v>
      </c>
      <c r="B14" t="s">
        <v>2456</v>
      </c>
      <c r="C14" t="s">
        <v>2452</v>
      </c>
      <c r="D14">
        <v>82.85</v>
      </c>
      <c r="E14" t="s">
        <v>2457</v>
      </c>
    </row>
    <row r="15" spans="1:5" x14ac:dyDescent="0.25">
      <c r="A15">
        <v>1014</v>
      </c>
      <c r="B15" t="s">
        <v>2458</v>
      </c>
      <c r="C15" t="s">
        <v>2428</v>
      </c>
      <c r="D15">
        <v>226.96</v>
      </c>
      <c r="E15" t="s">
        <v>2459</v>
      </c>
    </row>
    <row r="16" spans="1:5" x14ac:dyDescent="0.25">
      <c r="A16">
        <v>1015</v>
      </c>
      <c r="B16" t="s">
        <v>2460</v>
      </c>
      <c r="C16" t="s">
        <v>2452</v>
      </c>
      <c r="D16">
        <v>460.12</v>
      </c>
      <c r="E16" t="s">
        <v>2461</v>
      </c>
    </row>
    <row r="17" spans="1:5" x14ac:dyDescent="0.25">
      <c r="A17">
        <v>1016</v>
      </c>
      <c r="B17" t="s">
        <v>2462</v>
      </c>
      <c r="C17" t="s">
        <v>2452</v>
      </c>
      <c r="D17">
        <v>287.68</v>
      </c>
      <c r="E17" t="s">
        <v>2463</v>
      </c>
    </row>
    <row r="18" spans="1:5" x14ac:dyDescent="0.25">
      <c r="A18">
        <v>1017</v>
      </c>
      <c r="B18" t="s">
        <v>2464</v>
      </c>
      <c r="C18" t="s">
        <v>2431</v>
      </c>
      <c r="D18">
        <v>25.7</v>
      </c>
      <c r="E18" t="s">
        <v>2465</v>
      </c>
    </row>
    <row r="19" spans="1:5" x14ac:dyDescent="0.25">
      <c r="A19">
        <v>1018</v>
      </c>
      <c r="B19" t="s">
        <v>2466</v>
      </c>
      <c r="C19" t="s">
        <v>2437</v>
      </c>
      <c r="D19">
        <v>352.12</v>
      </c>
      <c r="E19" t="s">
        <v>2467</v>
      </c>
    </row>
    <row r="20" spans="1:5" x14ac:dyDescent="0.25">
      <c r="A20">
        <v>1019</v>
      </c>
      <c r="B20" t="s">
        <v>2462</v>
      </c>
      <c r="C20" t="s">
        <v>2452</v>
      </c>
      <c r="D20">
        <v>303.17</v>
      </c>
      <c r="E20" t="s">
        <v>2468</v>
      </c>
    </row>
    <row r="21" spans="1:5" x14ac:dyDescent="0.25">
      <c r="A21">
        <v>1020</v>
      </c>
      <c r="B21" t="s">
        <v>2469</v>
      </c>
      <c r="C21" t="s">
        <v>2437</v>
      </c>
      <c r="D21">
        <v>344.34</v>
      </c>
      <c r="E21" t="s">
        <v>2470</v>
      </c>
    </row>
    <row r="22" spans="1:5" x14ac:dyDescent="0.25">
      <c r="A22">
        <v>1021</v>
      </c>
      <c r="B22" t="s">
        <v>2471</v>
      </c>
      <c r="C22" t="s">
        <v>2434</v>
      </c>
      <c r="D22">
        <v>389.41</v>
      </c>
      <c r="E22" t="s">
        <v>2472</v>
      </c>
    </row>
    <row r="23" spans="1:5" x14ac:dyDescent="0.25">
      <c r="A23">
        <v>1022</v>
      </c>
      <c r="B23" t="s">
        <v>2473</v>
      </c>
      <c r="C23" t="s">
        <v>2437</v>
      </c>
      <c r="D23">
        <v>328.56</v>
      </c>
      <c r="E23" t="s">
        <v>2474</v>
      </c>
    </row>
    <row r="24" spans="1:5" x14ac:dyDescent="0.25">
      <c r="A24">
        <v>1023</v>
      </c>
      <c r="B24" t="s">
        <v>2475</v>
      </c>
      <c r="C24" t="s">
        <v>2434</v>
      </c>
      <c r="D24">
        <v>239.03</v>
      </c>
      <c r="E24" t="s">
        <v>2476</v>
      </c>
    </row>
    <row r="25" spans="1:5" x14ac:dyDescent="0.25">
      <c r="A25">
        <v>1024</v>
      </c>
      <c r="B25" t="s">
        <v>2477</v>
      </c>
      <c r="C25" t="s">
        <v>2437</v>
      </c>
      <c r="D25">
        <v>250.77</v>
      </c>
      <c r="E25" t="s">
        <v>2478</v>
      </c>
    </row>
    <row r="26" spans="1:5" x14ac:dyDescent="0.25">
      <c r="A26">
        <v>1025</v>
      </c>
      <c r="B26" t="b">
        <v>1</v>
      </c>
      <c r="C26" t="s">
        <v>2437</v>
      </c>
      <c r="D26">
        <v>204.52</v>
      </c>
      <c r="E26" t="s">
        <v>2479</v>
      </c>
    </row>
    <row r="27" spans="1:5" x14ac:dyDescent="0.25">
      <c r="A27">
        <v>1026</v>
      </c>
      <c r="B27" t="s">
        <v>2464</v>
      </c>
      <c r="C27" t="s">
        <v>2434</v>
      </c>
      <c r="D27">
        <v>372.11</v>
      </c>
      <c r="E27" t="s">
        <v>2480</v>
      </c>
    </row>
    <row r="28" spans="1:5" x14ac:dyDescent="0.25">
      <c r="A28">
        <v>1027</v>
      </c>
      <c r="B28" t="s">
        <v>2481</v>
      </c>
      <c r="C28" t="s">
        <v>2437</v>
      </c>
      <c r="D28">
        <v>32.61</v>
      </c>
      <c r="E28" t="s">
        <v>2482</v>
      </c>
    </row>
    <row r="29" spans="1:5" x14ac:dyDescent="0.25">
      <c r="A29">
        <v>1028</v>
      </c>
      <c r="B29" t="s">
        <v>2483</v>
      </c>
      <c r="C29" t="s">
        <v>2452</v>
      </c>
      <c r="D29">
        <v>174.79</v>
      </c>
      <c r="E29" t="s">
        <v>2484</v>
      </c>
    </row>
    <row r="30" spans="1:5" x14ac:dyDescent="0.25">
      <c r="A30">
        <v>1029</v>
      </c>
      <c r="B30" t="s">
        <v>2485</v>
      </c>
      <c r="C30" t="s">
        <v>2437</v>
      </c>
      <c r="D30">
        <v>112.53</v>
      </c>
      <c r="E30" t="s">
        <v>2486</v>
      </c>
    </row>
    <row r="31" spans="1:5" x14ac:dyDescent="0.25">
      <c r="A31">
        <v>1030</v>
      </c>
      <c r="B31" t="s">
        <v>2487</v>
      </c>
      <c r="C31" t="s">
        <v>2428</v>
      </c>
      <c r="D31">
        <v>159.69999999999999</v>
      </c>
      <c r="E31" t="s">
        <v>2488</v>
      </c>
    </row>
    <row r="32" spans="1:5" x14ac:dyDescent="0.25">
      <c r="A32">
        <v>1031</v>
      </c>
      <c r="B32" t="s">
        <v>2489</v>
      </c>
      <c r="C32" t="s">
        <v>2428</v>
      </c>
      <c r="D32">
        <v>169.11</v>
      </c>
      <c r="E32" t="s">
        <v>2490</v>
      </c>
    </row>
    <row r="33" spans="1:5" x14ac:dyDescent="0.25">
      <c r="A33">
        <v>1032</v>
      </c>
      <c r="B33" t="s">
        <v>2491</v>
      </c>
      <c r="C33" t="s">
        <v>2437</v>
      </c>
      <c r="D33">
        <v>366.37</v>
      </c>
      <c r="E33" t="s">
        <v>2492</v>
      </c>
    </row>
    <row r="34" spans="1:5" x14ac:dyDescent="0.25">
      <c r="A34">
        <v>1033</v>
      </c>
      <c r="B34" t="s">
        <v>2493</v>
      </c>
      <c r="C34" t="s">
        <v>2452</v>
      </c>
      <c r="D34">
        <v>433.44</v>
      </c>
      <c r="E34" t="s">
        <v>2494</v>
      </c>
    </row>
    <row r="35" spans="1:5" x14ac:dyDescent="0.25">
      <c r="A35">
        <v>1034</v>
      </c>
      <c r="B35" t="s">
        <v>2495</v>
      </c>
      <c r="C35" t="s">
        <v>2452</v>
      </c>
      <c r="D35">
        <v>196.45</v>
      </c>
      <c r="E35" t="s">
        <v>2496</v>
      </c>
    </row>
    <row r="36" spans="1:5" x14ac:dyDescent="0.25">
      <c r="A36">
        <v>1035</v>
      </c>
      <c r="B36" t="s">
        <v>2497</v>
      </c>
      <c r="C36" t="s">
        <v>2431</v>
      </c>
      <c r="D36">
        <v>449.01</v>
      </c>
      <c r="E36" t="s">
        <v>2498</v>
      </c>
    </row>
    <row r="37" spans="1:5" x14ac:dyDescent="0.25">
      <c r="A37">
        <v>1036</v>
      </c>
      <c r="B37" t="s">
        <v>2499</v>
      </c>
      <c r="C37" t="s">
        <v>2452</v>
      </c>
      <c r="D37">
        <v>226.7</v>
      </c>
      <c r="E37" t="s">
        <v>2500</v>
      </c>
    </row>
    <row r="38" spans="1:5" x14ac:dyDescent="0.25">
      <c r="A38">
        <v>1037</v>
      </c>
      <c r="B38" t="s">
        <v>2501</v>
      </c>
      <c r="C38" t="s">
        <v>2434</v>
      </c>
      <c r="D38">
        <v>70.42</v>
      </c>
      <c r="E38" t="s">
        <v>2502</v>
      </c>
    </row>
    <row r="39" spans="1:5" x14ac:dyDescent="0.25">
      <c r="A39">
        <v>1038</v>
      </c>
      <c r="B39" t="s">
        <v>2503</v>
      </c>
      <c r="C39" t="s">
        <v>2428</v>
      </c>
      <c r="D39">
        <v>410.2</v>
      </c>
      <c r="E39" t="s">
        <v>2504</v>
      </c>
    </row>
    <row r="40" spans="1:5" x14ac:dyDescent="0.25">
      <c r="A40">
        <v>1039</v>
      </c>
      <c r="B40" t="s">
        <v>2505</v>
      </c>
      <c r="C40" t="s">
        <v>2428</v>
      </c>
      <c r="D40">
        <v>159.99</v>
      </c>
      <c r="E40" t="s">
        <v>2506</v>
      </c>
    </row>
    <row r="41" spans="1:5" x14ac:dyDescent="0.25">
      <c r="A41">
        <v>1040</v>
      </c>
      <c r="B41" t="s">
        <v>2507</v>
      </c>
      <c r="C41" t="s">
        <v>2428</v>
      </c>
      <c r="D41">
        <v>490.48</v>
      </c>
      <c r="E41" t="s">
        <v>2508</v>
      </c>
    </row>
    <row r="42" spans="1:5" x14ac:dyDescent="0.25">
      <c r="A42">
        <v>1041</v>
      </c>
      <c r="B42" t="s">
        <v>2509</v>
      </c>
      <c r="C42" t="s">
        <v>2437</v>
      </c>
      <c r="D42">
        <v>290.95999999999998</v>
      </c>
      <c r="E42" t="s">
        <v>2510</v>
      </c>
    </row>
    <row r="43" spans="1:5" x14ac:dyDescent="0.25">
      <c r="A43">
        <v>1042</v>
      </c>
      <c r="B43" t="s">
        <v>2511</v>
      </c>
      <c r="C43" t="s">
        <v>2431</v>
      </c>
      <c r="D43">
        <v>60.66</v>
      </c>
      <c r="E43" t="s">
        <v>2512</v>
      </c>
    </row>
    <row r="44" spans="1:5" x14ac:dyDescent="0.25">
      <c r="A44">
        <v>1043</v>
      </c>
      <c r="B44" t="s">
        <v>2513</v>
      </c>
      <c r="C44" t="s">
        <v>2434</v>
      </c>
      <c r="D44">
        <v>377.27</v>
      </c>
      <c r="E44" t="s">
        <v>2514</v>
      </c>
    </row>
    <row r="45" spans="1:5" x14ac:dyDescent="0.25">
      <c r="A45">
        <v>1044</v>
      </c>
      <c r="B45" t="s">
        <v>2515</v>
      </c>
      <c r="C45" t="s">
        <v>2428</v>
      </c>
      <c r="D45">
        <v>198.89</v>
      </c>
      <c r="E45" t="s">
        <v>2516</v>
      </c>
    </row>
    <row r="46" spans="1:5" x14ac:dyDescent="0.25">
      <c r="A46">
        <v>1045</v>
      </c>
      <c r="B46" t="s">
        <v>2517</v>
      </c>
      <c r="C46" t="s">
        <v>2428</v>
      </c>
      <c r="D46">
        <v>75.489999999999995</v>
      </c>
      <c r="E46" t="s">
        <v>2518</v>
      </c>
    </row>
    <row r="47" spans="1:5" x14ac:dyDescent="0.25">
      <c r="A47">
        <v>1046</v>
      </c>
      <c r="B47" t="s">
        <v>2519</v>
      </c>
      <c r="C47" t="s">
        <v>2437</v>
      </c>
      <c r="D47">
        <v>259.04000000000002</v>
      </c>
      <c r="E47" t="s">
        <v>2520</v>
      </c>
    </row>
    <row r="48" spans="1:5" x14ac:dyDescent="0.25">
      <c r="A48">
        <v>1047</v>
      </c>
      <c r="B48" t="s">
        <v>2521</v>
      </c>
      <c r="C48" t="s">
        <v>2437</v>
      </c>
      <c r="D48">
        <v>46.96</v>
      </c>
      <c r="E48" t="s">
        <v>2522</v>
      </c>
    </row>
    <row r="49" spans="1:5" x14ac:dyDescent="0.25">
      <c r="A49">
        <v>1048</v>
      </c>
      <c r="B49" t="s">
        <v>2523</v>
      </c>
      <c r="C49" t="s">
        <v>2431</v>
      </c>
      <c r="D49">
        <v>217.37</v>
      </c>
      <c r="E49" t="s">
        <v>2524</v>
      </c>
    </row>
    <row r="50" spans="1:5" x14ac:dyDescent="0.25">
      <c r="A50">
        <v>1049</v>
      </c>
      <c r="B50" t="s">
        <v>2525</v>
      </c>
      <c r="C50" t="s">
        <v>2434</v>
      </c>
      <c r="D50">
        <v>168.28</v>
      </c>
      <c r="E50" t="s">
        <v>2526</v>
      </c>
    </row>
    <row r="51" spans="1:5" x14ac:dyDescent="0.25">
      <c r="A51">
        <v>1050</v>
      </c>
      <c r="B51" t="s">
        <v>2527</v>
      </c>
      <c r="C51" t="s">
        <v>2431</v>
      </c>
      <c r="D51">
        <v>286.77</v>
      </c>
      <c r="E51" t="s">
        <v>2528</v>
      </c>
    </row>
    <row r="52" spans="1:5" x14ac:dyDescent="0.25">
      <c r="A52">
        <v>1051</v>
      </c>
      <c r="B52" t="s">
        <v>2529</v>
      </c>
      <c r="C52" t="s">
        <v>2437</v>
      </c>
      <c r="D52">
        <v>64.47</v>
      </c>
      <c r="E52" t="s">
        <v>2530</v>
      </c>
    </row>
    <row r="53" spans="1:5" x14ac:dyDescent="0.25">
      <c r="A53">
        <v>1052</v>
      </c>
      <c r="B53" t="s">
        <v>2531</v>
      </c>
      <c r="C53" t="s">
        <v>2431</v>
      </c>
      <c r="D53">
        <v>161.47</v>
      </c>
      <c r="E53" t="s">
        <v>2532</v>
      </c>
    </row>
    <row r="54" spans="1:5" x14ac:dyDescent="0.25">
      <c r="A54">
        <v>1053</v>
      </c>
      <c r="B54" t="s">
        <v>2533</v>
      </c>
      <c r="C54" t="s">
        <v>2452</v>
      </c>
      <c r="D54">
        <v>250.29</v>
      </c>
      <c r="E54" t="s">
        <v>2534</v>
      </c>
    </row>
    <row r="55" spans="1:5" x14ac:dyDescent="0.25">
      <c r="A55">
        <v>1054</v>
      </c>
      <c r="B55" t="s">
        <v>2535</v>
      </c>
      <c r="C55" t="s">
        <v>2434</v>
      </c>
      <c r="D55">
        <v>27.44</v>
      </c>
      <c r="E55" t="s">
        <v>2536</v>
      </c>
    </row>
    <row r="56" spans="1:5" x14ac:dyDescent="0.25">
      <c r="A56">
        <v>1055</v>
      </c>
      <c r="B56" t="s">
        <v>2537</v>
      </c>
      <c r="C56" t="s">
        <v>2452</v>
      </c>
      <c r="D56">
        <v>286.47000000000003</v>
      </c>
      <c r="E56" t="s">
        <v>2538</v>
      </c>
    </row>
    <row r="57" spans="1:5" x14ac:dyDescent="0.25">
      <c r="A57">
        <v>1056</v>
      </c>
      <c r="B57" t="s">
        <v>2539</v>
      </c>
      <c r="C57" t="s">
        <v>2431</v>
      </c>
      <c r="D57">
        <v>210.69</v>
      </c>
      <c r="E57" t="s">
        <v>2506</v>
      </c>
    </row>
    <row r="58" spans="1:5" x14ac:dyDescent="0.25">
      <c r="A58">
        <v>1057</v>
      </c>
      <c r="B58" t="s">
        <v>2540</v>
      </c>
      <c r="C58" t="s">
        <v>2437</v>
      </c>
      <c r="D58">
        <v>445.58</v>
      </c>
      <c r="E58" t="s">
        <v>2541</v>
      </c>
    </row>
    <row r="59" spans="1:5" x14ac:dyDescent="0.25">
      <c r="A59">
        <v>1058</v>
      </c>
      <c r="B59" t="s">
        <v>2542</v>
      </c>
      <c r="C59" t="s">
        <v>2428</v>
      </c>
      <c r="D59">
        <v>149.99</v>
      </c>
      <c r="E59" t="s">
        <v>2543</v>
      </c>
    </row>
    <row r="60" spans="1:5" x14ac:dyDescent="0.25">
      <c r="A60">
        <v>1059</v>
      </c>
      <c r="B60" t="s">
        <v>2544</v>
      </c>
      <c r="C60" t="s">
        <v>2434</v>
      </c>
      <c r="D60">
        <v>481.42</v>
      </c>
      <c r="E60" t="s">
        <v>2545</v>
      </c>
    </row>
    <row r="61" spans="1:5" x14ac:dyDescent="0.25">
      <c r="A61">
        <v>1060</v>
      </c>
      <c r="B61" t="s">
        <v>2546</v>
      </c>
      <c r="C61" t="s">
        <v>2452</v>
      </c>
      <c r="D61">
        <v>66.709999999999994</v>
      </c>
      <c r="E61" t="s">
        <v>2547</v>
      </c>
    </row>
    <row r="62" spans="1:5" x14ac:dyDescent="0.25">
      <c r="A62">
        <v>1061</v>
      </c>
      <c r="B62" t="s">
        <v>2548</v>
      </c>
      <c r="C62" t="s">
        <v>2431</v>
      </c>
      <c r="D62">
        <v>434.18</v>
      </c>
      <c r="E62" t="s">
        <v>2549</v>
      </c>
    </row>
    <row r="63" spans="1:5" x14ac:dyDescent="0.25">
      <c r="A63">
        <v>1062</v>
      </c>
      <c r="B63" t="s">
        <v>2550</v>
      </c>
      <c r="C63" t="s">
        <v>2428</v>
      </c>
      <c r="D63">
        <v>416.54</v>
      </c>
      <c r="E63" t="s">
        <v>2551</v>
      </c>
    </row>
    <row r="64" spans="1:5" x14ac:dyDescent="0.25">
      <c r="A64">
        <v>1063</v>
      </c>
      <c r="B64" t="s">
        <v>2552</v>
      </c>
      <c r="C64" t="s">
        <v>2437</v>
      </c>
      <c r="D64">
        <v>313.13</v>
      </c>
      <c r="E64" t="s">
        <v>2553</v>
      </c>
    </row>
    <row r="65" spans="1:5" x14ac:dyDescent="0.25">
      <c r="A65">
        <v>1064</v>
      </c>
      <c r="B65" t="s">
        <v>2433</v>
      </c>
      <c r="C65" t="s">
        <v>2431</v>
      </c>
      <c r="D65">
        <v>411.31</v>
      </c>
      <c r="E65" t="s">
        <v>2554</v>
      </c>
    </row>
    <row r="66" spans="1:5" x14ac:dyDescent="0.25">
      <c r="A66">
        <v>1065</v>
      </c>
      <c r="B66" t="s">
        <v>2555</v>
      </c>
      <c r="C66" t="s">
        <v>2437</v>
      </c>
      <c r="D66">
        <v>424.18</v>
      </c>
      <c r="E66" t="s">
        <v>2556</v>
      </c>
    </row>
    <row r="67" spans="1:5" x14ac:dyDescent="0.25">
      <c r="A67">
        <v>1066</v>
      </c>
      <c r="B67" t="s">
        <v>2557</v>
      </c>
      <c r="C67" t="s">
        <v>2428</v>
      </c>
      <c r="D67">
        <v>306.88</v>
      </c>
      <c r="E67" t="s">
        <v>2558</v>
      </c>
    </row>
    <row r="68" spans="1:5" x14ac:dyDescent="0.25">
      <c r="A68">
        <v>1067</v>
      </c>
      <c r="B68" t="s">
        <v>2559</v>
      </c>
      <c r="C68" t="s">
        <v>2428</v>
      </c>
      <c r="D68">
        <v>35.71</v>
      </c>
      <c r="E68" t="s">
        <v>2560</v>
      </c>
    </row>
    <row r="69" spans="1:5" x14ac:dyDescent="0.25">
      <c r="A69">
        <v>1068</v>
      </c>
      <c r="B69" t="s">
        <v>2561</v>
      </c>
      <c r="C69" t="s">
        <v>2431</v>
      </c>
      <c r="D69">
        <v>322.33999999999997</v>
      </c>
      <c r="E69" t="s">
        <v>2562</v>
      </c>
    </row>
    <row r="70" spans="1:5" x14ac:dyDescent="0.25">
      <c r="A70">
        <v>1069</v>
      </c>
      <c r="B70" t="s">
        <v>2563</v>
      </c>
      <c r="C70" t="s">
        <v>2434</v>
      </c>
      <c r="D70">
        <v>448.29</v>
      </c>
      <c r="E70" t="s">
        <v>2564</v>
      </c>
    </row>
    <row r="71" spans="1:5" x14ac:dyDescent="0.25">
      <c r="A71">
        <v>1070</v>
      </c>
      <c r="B71" t="s">
        <v>2565</v>
      </c>
      <c r="C71" t="s">
        <v>2437</v>
      </c>
      <c r="D71">
        <v>149.4</v>
      </c>
      <c r="E71" t="s">
        <v>2566</v>
      </c>
    </row>
    <row r="72" spans="1:5" x14ac:dyDescent="0.25">
      <c r="A72">
        <v>1071</v>
      </c>
      <c r="B72" t="s">
        <v>2567</v>
      </c>
      <c r="C72" t="s">
        <v>2428</v>
      </c>
      <c r="D72">
        <v>103.89</v>
      </c>
      <c r="E72" t="s">
        <v>2568</v>
      </c>
    </row>
    <row r="73" spans="1:5" x14ac:dyDescent="0.25">
      <c r="A73">
        <v>1072</v>
      </c>
      <c r="B73" t="s">
        <v>2569</v>
      </c>
      <c r="C73" t="s">
        <v>2452</v>
      </c>
      <c r="D73">
        <v>334.9</v>
      </c>
      <c r="E73" t="s">
        <v>2570</v>
      </c>
    </row>
    <row r="74" spans="1:5" x14ac:dyDescent="0.25">
      <c r="A74">
        <v>1073</v>
      </c>
      <c r="B74" t="s">
        <v>2571</v>
      </c>
      <c r="C74" t="s">
        <v>2434</v>
      </c>
      <c r="D74">
        <v>356.32</v>
      </c>
      <c r="E74" t="s">
        <v>2572</v>
      </c>
    </row>
    <row r="75" spans="1:5" x14ac:dyDescent="0.25">
      <c r="A75">
        <v>1074</v>
      </c>
      <c r="B75" t="s">
        <v>2548</v>
      </c>
      <c r="C75" t="s">
        <v>2431</v>
      </c>
      <c r="D75">
        <v>347.87</v>
      </c>
      <c r="E75" t="s">
        <v>2573</v>
      </c>
    </row>
    <row r="76" spans="1:5" x14ac:dyDescent="0.25">
      <c r="A76">
        <v>1075</v>
      </c>
      <c r="B76" t="s">
        <v>2574</v>
      </c>
      <c r="C76" t="s">
        <v>2431</v>
      </c>
      <c r="D76">
        <v>385.86</v>
      </c>
      <c r="E76" t="s">
        <v>2575</v>
      </c>
    </row>
    <row r="77" spans="1:5" x14ac:dyDescent="0.25">
      <c r="A77">
        <v>1076</v>
      </c>
      <c r="B77" t="s">
        <v>2576</v>
      </c>
      <c r="C77" t="s">
        <v>2431</v>
      </c>
      <c r="D77">
        <v>290.18</v>
      </c>
      <c r="E77" t="s">
        <v>2577</v>
      </c>
    </row>
    <row r="78" spans="1:5" x14ac:dyDescent="0.25">
      <c r="A78">
        <v>1077</v>
      </c>
      <c r="B78" t="s">
        <v>2578</v>
      </c>
      <c r="C78" t="s">
        <v>2431</v>
      </c>
      <c r="D78">
        <v>428.55</v>
      </c>
      <c r="E78" t="s">
        <v>2579</v>
      </c>
    </row>
    <row r="79" spans="1:5" x14ac:dyDescent="0.25">
      <c r="A79">
        <v>1078</v>
      </c>
      <c r="B79" t="s">
        <v>2580</v>
      </c>
      <c r="C79" t="s">
        <v>2428</v>
      </c>
      <c r="D79">
        <v>40.01</v>
      </c>
      <c r="E79" t="s">
        <v>2581</v>
      </c>
    </row>
    <row r="80" spans="1:5" x14ac:dyDescent="0.25">
      <c r="A80">
        <v>1079</v>
      </c>
      <c r="B80" t="s">
        <v>2582</v>
      </c>
      <c r="C80" t="s">
        <v>2428</v>
      </c>
      <c r="D80">
        <v>230.9</v>
      </c>
      <c r="E80" t="s">
        <v>2583</v>
      </c>
    </row>
    <row r="81" spans="1:5" x14ac:dyDescent="0.25">
      <c r="A81">
        <v>1080</v>
      </c>
      <c r="B81" t="s">
        <v>2584</v>
      </c>
      <c r="C81" t="s">
        <v>2434</v>
      </c>
      <c r="D81">
        <v>62.14</v>
      </c>
      <c r="E81" t="s">
        <v>2585</v>
      </c>
    </row>
    <row r="82" spans="1:5" x14ac:dyDescent="0.25">
      <c r="A82">
        <v>1081</v>
      </c>
      <c r="B82" t="s">
        <v>2576</v>
      </c>
      <c r="C82" t="s">
        <v>2431</v>
      </c>
      <c r="D82">
        <v>125.7</v>
      </c>
      <c r="E82" t="s">
        <v>2586</v>
      </c>
    </row>
    <row r="83" spans="1:5" x14ac:dyDescent="0.25">
      <c r="A83">
        <v>1082</v>
      </c>
      <c r="B83" t="s">
        <v>2587</v>
      </c>
      <c r="C83" t="s">
        <v>2437</v>
      </c>
      <c r="D83">
        <v>271.83999999999997</v>
      </c>
      <c r="E83" t="s">
        <v>2588</v>
      </c>
    </row>
    <row r="84" spans="1:5" x14ac:dyDescent="0.25">
      <c r="A84">
        <v>1083</v>
      </c>
      <c r="B84" t="s">
        <v>2589</v>
      </c>
      <c r="C84" t="s">
        <v>2452</v>
      </c>
      <c r="D84">
        <v>199.18</v>
      </c>
      <c r="E84" t="s">
        <v>2590</v>
      </c>
    </row>
    <row r="85" spans="1:5" x14ac:dyDescent="0.25">
      <c r="A85">
        <v>1084</v>
      </c>
      <c r="B85" t="s">
        <v>2591</v>
      </c>
      <c r="C85" t="s">
        <v>2434</v>
      </c>
      <c r="D85">
        <v>381.99</v>
      </c>
      <c r="E85" t="s">
        <v>2592</v>
      </c>
    </row>
    <row r="86" spans="1:5" x14ac:dyDescent="0.25">
      <c r="A86">
        <v>1085</v>
      </c>
      <c r="B86" t="s">
        <v>2593</v>
      </c>
      <c r="C86" t="s">
        <v>2452</v>
      </c>
      <c r="D86">
        <v>294.11</v>
      </c>
      <c r="E86" t="s">
        <v>2594</v>
      </c>
    </row>
    <row r="87" spans="1:5" x14ac:dyDescent="0.25">
      <c r="A87">
        <v>1086</v>
      </c>
      <c r="B87" t="s">
        <v>2595</v>
      </c>
      <c r="C87" t="s">
        <v>2452</v>
      </c>
      <c r="D87">
        <v>185.36</v>
      </c>
      <c r="E87" t="s">
        <v>2596</v>
      </c>
    </row>
    <row r="88" spans="1:5" x14ac:dyDescent="0.25">
      <c r="A88">
        <v>1087</v>
      </c>
      <c r="B88" t="s">
        <v>2597</v>
      </c>
      <c r="C88" t="s">
        <v>2452</v>
      </c>
      <c r="D88">
        <v>390.52</v>
      </c>
      <c r="E88" t="s">
        <v>2598</v>
      </c>
    </row>
    <row r="89" spans="1:5" x14ac:dyDescent="0.25">
      <c r="A89">
        <v>1088</v>
      </c>
      <c r="B89" t="s">
        <v>2443</v>
      </c>
      <c r="C89" t="s">
        <v>2431</v>
      </c>
      <c r="D89">
        <v>388.62</v>
      </c>
      <c r="E89" t="s">
        <v>2599</v>
      </c>
    </row>
    <row r="90" spans="1:5" x14ac:dyDescent="0.25">
      <c r="A90">
        <v>1089</v>
      </c>
      <c r="B90" t="s">
        <v>2600</v>
      </c>
      <c r="C90" t="s">
        <v>2437</v>
      </c>
      <c r="D90">
        <v>78.08</v>
      </c>
      <c r="E90" t="s">
        <v>2601</v>
      </c>
    </row>
    <row r="91" spans="1:5" x14ac:dyDescent="0.25">
      <c r="A91">
        <v>1090</v>
      </c>
      <c r="B91" t="s">
        <v>2602</v>
      </c>
      <c r="C91" t="s">
        <v>2431</v>
      </c>
      <c r="D91">
        <v>142.49</v>
      </c>
      <c r="E91" t="s">
        <v>2603</v>
      </c>
    </row>
    <row r="92" spans="1:5" x14ac:dyDescent="0.25">
      <c r="A92">
        <v>1091</v>
      </c>
      <c r="B92" t="s">
        <v>2604</v>
      </c>
      <c r="C92" t="s">
        <v>2428</v>
      </c>
      <c r="D92">
        <v>250.02</v>
      </c>
      <c r="E92" t="s">
        <v>2605</v>
      </c>
    </row>
    <row r="93" spans="1:5" x14ac:dyDescent="0.25">
      <c r="A93">
        <v>1092</v>
      </c>
      <c r="B93" t="s">
        <v>2606</v>
      </c>
      <c r="C93" t="s">
        <v>2428</v>
      </c>
      <c r="D93">
        <v>267</v>
      </c>
      <c r="E93" t="s">
        <v>2607</v>
      </c>
    </row>
    <row r="94" spans="1:5" x14ac:dyDescent="0.25">
      <c r="A94">
        <v>1093</v>
      </c>
      <c r="B94" t="s">
        <v>2608</v>
      </c>
      <c r="C94" t="s">
        <v>2428</v>
      </c>
      <c r="D94">
        <v>257.88</v>
      </c>
      <c r="E94" t="s">
        <v>2609</v>
      </c>
    </row>
    <row r="95" spans="1:5" x14ac:dyDescent="0.25">
      <c r="A95">
        <v>1094</v>
      </c>
      <c r="B95" t="s">
        <v>2587</v>
      </c>
      <c r="C95" t="s">
        <v>2428</v>
      </c>
      <c r="D95">
        <v>232.36</v>
      </c>
      <c r="E95" t="s">
        <v>2610</v>
      </c>
    </row>
    <row r="96" spans="1:5" x14ac:dyDescent="0.25">
      <c r="A96">
        <v>1095</v>
      </c>
      <c r="B96" t="s">
        <v>2611</v>
      </c>
      <c r="C96" t="s">
        <v>2431</v>
      </c>
      <c r="D96">
        <v>377.45</v>
      </c>
      <c r="E96" t="s">
        <v>2612</v>
      </c>
    </row>
    <row r="97" spans="1:5" x14ac:dyDescent="0.25">
      <c r="A97">
        <v>1096</v>
      </c>
      <c r="B97" t="s">
        <v>2613</v>
      </c>
      <c r="C97" t="s">
        <v>2428</v>
      </c>
      <c r="D97">
        <v>308.39</v>
      </c>
      <c r="E97" t="s">
        <v>2614</v>
      </c>
    </row>
    <row r="98" spans="1:5" x14ac:dyDescent="0.25">
      <c r="A98">
        <v>1097</v>
      </c>
      <c r="B98" t="s">
        <v>2615</v>
      </c>
      <c r="C98" t="s">
        <v>2437</v>
      </c>
      <c r="D98">
        <v>250.75</v>
      </c>
      <c r="E98" t="s">
        <v>2616</v>
      </c>
    </row>
    <row r="99" spans="1:5" x14ac:dyDescent="0.25">
      <c r="A99">
        <v>1098</v>
      </c>
      <c r="B99" t="s">
        <v>2617</v>
      </c>
      <c r="C99" t="s">
        <v>2428</v>
      </c>
      <c r="D99">
        <v>270.37</v>
      </c>
      <c r="E99" t="s">
        <v>2618</v>
      </c>
    </row>
    <row r="100" spans="1:5" x14ac:dyDescent="0.25">
      <c r="A100">
        <v>1099</v>
      </c>
      <c r="B100" t="s">
        <v>2619</v>
      </c>
      <c r="C100" t="s">
        <v>2428</v>
      </c>
      <c r="D100">
        <v>183.29</v>
      </c>
      <c r="E100" t="s">
        <v>2620</v>
      </c>
    </row>
    <row r="101" spans="1:5" x14ac:dyDescent="0.25">
      <c r="A101">
        <v>1100</v>
      </c>
      <c r="B101" t="s">
        <v>2621</v>
      </c>
      <c r="C101" t="s">
        <v>2428</v>
      </c>
      <c r="D101">
        <v>331.2</v>
      </c>
      <c r="E101" t="s">
        <v>2622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Israel-Judah Ibiobamimo (2502514)</dc:creator>
  <cp:lastModifiedBy>Israel-Judah Ibiobamimo (2502514)</cp:lastModifiedBy>
  <dcterms:created xsi:type="dcterms:W3CDTF">2026-08-25T12:38:32Z</dcterms:created>
  <dcterms:modified xsi:type="dcterms:W3CDTF">2026-08-25T13:15:31Z</dcterms:modified>
</cp:coreProperties>
</file>